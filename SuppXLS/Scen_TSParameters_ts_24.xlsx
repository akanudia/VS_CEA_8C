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S_CEA_8C\SuppXLS\"/>
    </mc:Choice>
  </mc:AlternateContent>
  <xr:revisionPtr revIDLastSave="0" documentId="13_ncr:1_{B877C231-BA62-4B62-BC04-7609D544D0B5}" xr6:coauthVersionLast="47" xr6:coauthVersionMax="47" xr10:uidLastSave="{00000000-0000-0000-0000-000000000000}"/>
  <bookViews>
    <workbookView xWindow="368" yWindow="368" windowWidth="21599" windowHeight="12772" firstSheet="21" activeTab="25" xr2:uid="{A2B3DA0F-E5F8-4628-8BF2-BFD0B03E7B08}"/>
  </bookViews>
  <sheets>
    <sheet name="resource_profiles_FRA" sheetId="2" r:id="rId1"/>
    <sheet name="firmness_FRA" sheetId="3" r:id="rId2"/>
    <sheet name="load_demand_peak_hydro_FRA" sheetId="4" r:id="rId3"/>
    <sheet name="resource_profiles_GBR" sheetId="5" r:id="rId4"/>
    <sheet name="firmness_GBR" sheetId="6" r:id="rId5"/>
    <sheet name="load_demand_peak_hydro_GBR" sheetId="7" r:id="rId6"/>
    <sheet name="resource_profiles_BEL" sheetId="8" r:id="rId7"/>
    <sheet name="firmness_BEL" sheetId="9" r:id="rId8"/>
    <sheet name="load_demand_peak_hydro_BEL" sheetId="10" r:id="rId9"/>
    <sheet name="resource_profiles_DEU" sheetId="11" r:id="rId10"/>
    <sheet name="firmness_DEU" sheetId="12" r:id="rId11"/>
    <sheet name="load_demand_peak_hydro_DEU" sheetId="13" r:id="rId12"/>
    <sheet name="resource_profiles_CHE" sheetId="14" r:id="rId13"/>
    <sheet name="firmness_CHE" sheetId="15" r:id="rId14"/>
    <sheet name="load_demand_peak_hydro_CHE" sheetId="16" r:id="rId15"/>
    <sheet name="resource_profiles_ITA" sheetId="17" r:id="rId16"/>
    <sheet name="firmness_ITA" sheetId="18" r:id="rId17"/>
    <sheet name="load_demand_peak_hydro_ITA" sheetId="19" r:id="rId18"/>
    <sheet name="resource_profiles_ESP" sheetId="20" r:id="rId19"/>
    <sheet name="firmness_ESP" sheetId="21" r:id="rId20"/>
    <sheet name="load_demand_peak_hydro_ESP" sheetId="22" r:id="rId21"/>
    <sheet name="resource_profiles_NLD" sheetId="23" r:id="rId22"/>
    <sheet name="firmness_NLD" sheetId="24" r:id="rId23"/>
    <sheet name="load_demand_peak_hydro_NLD" sheetId="25" r:id="rId24"/>
    <sheet name="ev_charging_uc" sheetId="26" r:id="rId25"/>
    <sheet name="timeslice_def" sheetId="27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7" l="1"/>
  <c r="I24" i="26"/>
  <c r="I23" i="26" s="1"/>
  <c r="H24" i="26"/>
  <c r="E24" i="26"/>
  <c r="H23" i="26"/>
  <c r="H21" i="26" s="1"/>
  <c r="E23" i="26"/>
  <c r="P9" i="25"/>
  <c r="L9" i="25"/>
  <c r="H9" i="25"/>
  <c r="C9" i="25"/>
  <c r="DE9" i="24"/>
  <c r="CE9" i="24"/>
  <c r="BD9" i="24"/>
  <c r="AC9" i="24"/>
  <c r="B9" i="24"/>
  <c r="L9" i="23"/>
  <c r="G9" i="23"/>
  <c r="B9" i="23"/>
  <c r="P9" i="22" l="1"/>
  <c r="L9" i="22"/>
  <c r="H9" i="22"/>
  <c r="C9" i="22"/>
  <c r="DE9" i="21"/>
  <c r="CE9" i="21"/>
  <c r="BD9" i="21"/>
  <c r="AC9" i="21"/>
  <c r="B9" i="21"/>
  <c r="L9" i="20"/>
  <c r="G9" i="20"/>
  <c r="B9" i="20"/>
  <c r="P9" i="19" l="1"/>
  <c r="L9" i="19"/>
  <c r="H9" i="19"/>
  <c r="C9" i="19"/>
  <c r="DE9" i="18"/>
  <c r="CE9" i="18"/>
  <c r="BD9" i="18"/>
  <c r="AC9" i="18"/>
  <c r="B9" i="18"/>
  <c r="L9" i="17"/>
  <c r="G9" i="17"/>
  <c r="B9" i="17"/>
  <c r="P9" i="16" l="1"/>
  <c r="L9" i="16"/>
  <c r="H9" i="16"/>
  <c r="C9" i="16"/>
  <c r="DE9" i="15"/>
  <c r="CE9" i="15"/>
  <c r="BD9" i="15"/>
  <c r="AC9" i="15"/>
  <c r="B9" i="15"/>
  <c r="G9" i="14"/>
  <c r="B9" i="14"/>
  <c r="P9" i="13" l="1"/>
  <c r="L9" i="13"/>
  <c r="H9" i="13"/>
  <c r="C9" i="13"/>
  <c r="DE9" i="12"/>
  <c r="CE9" i="12"/>
  <c r="BD9" i="12"/>
  <c r="AC9" i="12"/>
  <c r="B9" i="12"/>
  <c r="L9" i="11"/>
  <c r="G9" i="11"/>
  <c r="B9" i="11"/>
  <c r="P9" i="10" l="1"/>
  <c r="L9" i="10"/>
  <c r="H9" i="10"/>
  <c r="C9" i="10"/>
  <c r="DE9" i="9"/>
  <c r="CE9" i="9"/>
  <c r="BD9" i="9"/>
  <c r="AC9" i="9"/>
  <c r="B9" i="9"/>
  <c r="G9" i="8"/>
  <c r="B9" i="8"/>
  <c r="P9" i="7" l="1"/>
  <c r="L9" i="7"/>
  <c r="H9" i="7"/>
  <c r="C9" i="7"/>
  <c r="DE9" i="6"/>
  <c r="CE9" i="6"/>
  <c r="BD9" i="6"/>
  <c r="AC9" i="6"/>
  <c r="B9" i="6"/>
  <c r="L9" i="5"/>
  <c r="G9" i="5"/>
  <c r="B9" i="5"/>
  <c r="P9" i="4" l="1"/>
  <c r="L9" i="4"/>
  <c r="H9" i="4"/>
  <c r="C9" i="4"/>
  <c r="DE9" i="3"/>
  <c r="CE9" i="3"/>
  <c r="BD9" i="3"/>
  <c r="AC9" i="3"/>
  <c r="B9" i="3"/>
  <c r="L9" i="2"/>
  <c r="G9" i="2"/>
  <c r="B9" i="2"/>
</calcChain>
</file>

<file path=xl/sharedStrings.xml><?xml version="1.0" encoding="utf-8"?>
<sst xmlns="http://schemas.openxmlformats.org/spreadsheetml/2006/main" count="35607" uniqueCount="902">
  <si>
    <t>commodity</t>
  </si>
  <si>
    <t>timeslice</t>
  </si>
  <si>
    <t>com_fr</t>
  </si>
  <si>
    <t>process</t>
  </si>
  <si>
    <t>elc_spv_FRA_001</t>
  </si>
  <si>
    <t>S01aH01</t>
  </si>
  <si>
    <t>IMPNRGZ</t>
  </si>
  <si>
    <t>elc_won_FRA_001</t>
  </si>
  <si>
    <t>elc_wof_FRA_001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</si>
  <si>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</si>
  <si>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</si>
  <si>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</si>
  <si>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</si>
  <si>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</si>
  <si>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</si>
  <si>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</si>
  <si>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</si>
  <si>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</si>
  <si>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</si>
  <si>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</si>
  <si>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</si>
  <si>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</si>
  <si>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</si>
  <si>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</si>
  <si>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</si>
  <si>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</si>
  <si>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</si>
  <si>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</si>
  <si>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</si>
  <si>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</si>
  <si>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</si>
  <si>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</si>
  <si>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elc_spv_FRA_002</t>
  </si>
  <si>
    <t>elc_won_FRA_002</t>
  </si>
  <si>
    <t>elc_wof_FRA_002</t>
  </si>
  <si>
    <t>elc_spv_FRA_003</t>
  </si>
  <si>
    <t>elc_won_FRA_003</t>
  </si>
  <si>
    <t>elc_wof_FRA_003</t>
  </si>
  <si>
    <t>elc_spv_FRA_004</t>
  </si>
  <si>
    <t>elc_won_FRA_004</t>
  </si>
  <si>
    <t>elc_wof_FRA_004</t>
  </si>
  <si>
    <t>elc_spv_FRA_005</t>
  </si>
  <si>
    <t>elc_won_FRA_005</t>
  </si>
  <si>
    <t>elc_wof_FRA_005</t>
  </si>
  <si>
    <t>elc_spv_FRA_006</t>
  </si>
  <si>
    <t>elc_won_FRA_006</t>
  </si>
  <si>
    <t>elc_wof_FRA_006</t>
  </si>
  <si>
    <t>elc_spv_FRA_007</t>
  </si>
  <si>
    <t>elc_won_FRA_007</t>
  </si>
  <si>
    <t>elc_wof_FRA_007</t>
  </si>
  <si>
    <t>elc_spv_FRA_008</t>
  </si>
  <si>
    <t>elc_won_FRA_008</t>
  </si>
  <si>
    <t>elc_wof_FRA_008</t>
  </si>
  <si>
    <t>elc_spv_FRA_009</t>
  </si>
  <si>
    <t>elc_won_FRA_009</t>
  </si>
  <si>
    <t>elc_wof_FRA_009</t>
  </si>
  <si>
    <t>elc_spv_FRA_010</t>
  </si>
  <si>
    <t>elc_won_FRA_010</t>
  </si>
  <si>
    <t>elc_wof_FRA_010</t>
  </si>
  <si>
    <t>elc_spv_FRA_011</t>
  </si>
  <si>
    <t>elc_won_FRA_011</t>
  </si>
  <si>
    <t>elc_wof_FRA_011</t>
  </si>
  <si>
    <t>elc_spv_FRA_012</t>
  </si>
  <si>
    <t>elc_won_FRA_012</t>
  </si>
  <si>
    <t>elc_wof_FRA_012</t>
  </si>
  <si>
    <t>elc_spv_FRA_013</t>
  </si>
  <si>
    <t>elc_won_FRA_013</t>
  </si>
  <si>
    <t>elc_wof_FRA_013</t>
  </si>
  <si>
    <t>elc_spv_FRA_014</t>
  </si>
  <si>
    <t>elc_won_FRA_014</t>
  </si>
  <si>
    <t>elc_wof_FRA_014</t>
  </si>
  <si>
    <t>elc_spv_FRA_015</t>
  </si>
  <si>
    <t>elc_won_FRA_015</t>
  </si>
  <si>
    <t>elc_wof_FRA_015</t>
  </si>
  <si>
    <t>elc_spv_FRA_016</t>
  </si>
  <si>
    <t>elc_won_FRA_016</t>
  </si>
  <si>
    <t>elc_wof_FRA_016</t>
  </si>
  <si>
    <t>elc_spv_FRA_017</t>
  </si>
  <si>
    <t>elc_won_FRA_017</t>
  </si>
  <si>
    <t>elc_wof_FRA_017</t>
  </si>
  <si>
    <t>elc_spv_FRA_018</t>
  </si>
  <si>
    <t>elc_won_FRA_018</t>
  </si>
  <si>
    <t>elc_spv_FRA_019</t>
  </si>
  <si>
    <t>elc_won_FRA_019</t>
  </si>
  <si>
    <t>elc_spv_FRA_020</t>
  </si>
  <si>
    <t>elc_won_FRA_020</t>
  </si>
  <si>
    <t>elc_spv_FRA_021</t>
  </si>
  <si>
    <t>elc_won_FRA_021</t>
  </si>
  <si>
    <t>elc_spv_FRA_022</t>
  </si>
  <si>
    <t>elc_won_FRA_022</t>
  </si>
  <si>
    <t>elc_spv_FRA_023</t>
  </si>
  <si>
    <t>elc_won_FRA_023</t>
  </si>
  <si>
    <t>elc_spv_FRA_024</t>
  </si>
  <si>
    <t>elc_won_FRA_024</t>
  </si>
  <si>
    <t>elc_spv_FRA_025</t>
  </si>
  <si>
    <t>elc_won_FRA_025</t>
  </si>
  <si>
    <t>elc_spv_FRA_026</t>
  </si>
  <si>
    <t>elc_won_FRA_026</t>
  </si>
  <si>
    <t>elc_spv_FRA_027</t>
  </si>
  <si>
    <t>elc_won_FRA_027</t>
  </si>
  <si>
    <t>elc_spv_FRA_028</t>
  </si>
  <si>
    <t>elc_won_FRA_028</t>
  </si>
  <si>
    <t>elc_spv_FRA_029</t>
  </si>
  <si>
    <t>elc_spv_FRA_030</t>
  </si>
  <si>
    <t>other_indexes</t>
  </si>
  <si>
    <t>ncap_com</t>
  </si>
  <si>
    <t>distr_solelc_spv_FRA_001</t>
  </si>
  <si>
    <t>DEF_E</t>
  </si>
  <si>
    <t>distr_sol*</t>
  </si>
  <si>
    <t>ELC4H</t>
  </si>
  <si>
    <t>ELC8H</t>
  </si>
  <si>
    <t>DEF_C</t>
  </si>
  <si>
    <t>OUT</t>
  </si>
  <si>
    <t>distr_solelc_spv_FRA_002</t>
  </si>
  <si>
    <t>distr_won*</t>
  </si>
  <si>
    <t>distr_solelc_spv_FRA_003</t>
  </si>
  <si>
    <t>distr_wof*</t>
  </si>
  <si>
    <t>distr_solelc_spv_FRA_004</t>
  </si>
  <si>
    <t>distr_solelc_spv_FRA_005</t>
  </si>
  <si>
    <t>distr_solelc_spv_FRA_006</t>
  </si>
  <si>
    <t>distr_solelc_spv_FRA_007</t>
  </si>
  <si>
    <t>distr_solelc_spv_FRA_008</t>
  </si>
  <si>
    <t>distr_solelc_spv_FRA_009</t>
  </si>
  <si>
    <t>distr_solelc_spv_FRA_010</t>
  </si>
  <si>
    <t>distr_solelc_spv_FRA_011</t>
  </si>
  <si>
    <t>distr_solelc_spv_FRA_012</t>
  </si>
  <si>
    <t>distr_solelc_spv_FRA_013</t>
  </si>
  <si>
    <t>distr_solelc_spv_FRA_014</t>
  </si>
  <si>
    <t>distr_solelc_spv_FRA_015</t>
  </si>
  <si>
    <t>distr_solelc_spv_FRA_016</t>
  </si>
  <si>
    <t>distr_solelc_spv_FRA_017</t>
  </si>
  <si>
    <t>distr_solelc_spv_FRA_018</t>
  </si>
  <si>
    <t>distr_solelc_spv_FRA_019</t>
  </si>
  <si>
    <t>distr_solelc_spv_FRA_020</t>
  </si>
  <si>
    <t>distr_solelc_spv_FRA_021</t>
  </si>
  <si>
    <t>distr_solelc_spv_FRA_022</t>
  </si>
  <si>
    <t>distr_solelc_spv_FRA_023</t>
  </si>
  <si>
    <t>distr_solelc_spv_FRA_024</t>
  </si>
  <si>
    <t>distr_solelc_spv_FRA_025</t>
  </si>
  <si>
    <t>distr_solelc_spv_FRA_026</t>
  </si>
  <si>
    <t>distr_solelc_spv_FRA_027</t>
  </si>
  <si>
    <t>distr_solelc_spv_FRA_028</t>
  </si>
  <si>
    <t>distr_solelc_spv_FRA_029</t>
  </si>
  <si>
    <t>distr_solelc_spv_FRA_030</t>
  </si>
  <si>
    <t>distr_wofelc_wof_FRA_001</t>
  </si>
  <si>
    <t>distr_wonelc_won_FRA_001</t>
  </si>
  <si>
    <t>distr_wofelc_wof_FRA_002</t>
  </si>
  <si>
    <t>distr_wonelc_won_FRA_002</t>
  </si>
  <si>
    <t>distr_wofelc_wof_FRA_003</t>
  </si>
  <si>
    <t>distr_wonelc_won_FRA_003</t>
  </si>
  <si>
    <t>distr_wofelc_wof_FRA_004</t>
  </si>
  <si>
    <t>distr_wonelc_won_FRA_004</t>
  </si>
  <si>
    <t>distr_wofelc_wof_FRA_005</t>
  </si>
  <si>
    <t>distr_wonelc_won_FRA_005</t>
  </si>
  <si>
    <t>distr_wofelc_wof_FRA_006</t>
  </si>
  <si>
    <t>distr_wonelc_won_FRA_006</t>
  </si>
  <si>
    <t>distr_wofelc_wof_FRA_007</t>
  </si>
  <si>
    <t>distr_wonelc_won_FRA_007</t>
  </si>
  <si>
    <t>distr_wofelc_wof_FRA_008</t>
  </si>
  <si>
    <t>distr_wonelc_won_FRA_008</t>
  </si>
  <si>
    <t>distr_wofelc_wof_FRA_009</t>
  </si>
  <si>
    <t>distr_wonelc_won_FRA_009</t>
  </si>
  <si>
    <t>distr_wofelc_wof_FRA_010</t>
  </si>
  <si>
    <t>distr_wonelc_won_FRA_010</t>
  </si>
  <si>
    <t>distr_wofelc_wof_FRA_011</t>
  </si>
  <si>
    <t>distr_wonelc_won_FRA_011</t>
  </si>
  <si>
    <t>distr_wofelc_wof_FRA_012</t>
  </si>
  <si>
    <t>distr_wonelc_won_FRA_012</t>
  </si>
  <si>
    <t>distr_wofelc_wof_FRA_013</t>
  </si>
  <si>
    <t>distr_wonelc_won_FRA_013</t>
  </si>
  <si>
    <t>distr_wofelc_wof_FRA_014</t>
  </si>
  <si>
    <t>distr_wonelc_won_FRA_014</t>
  </si>
  <si>
    <t>distr_wofelc_wof_FRA_015</t>
  </si>
  <si>
    <t>distr_wonelc_won_FRA_015</t>
  </si>
  <si>
    <t>distr_wofelc_wof_FRA_016</t>
  </si>
  <si>
    <t>distr_wonelc_won_FRA_016</t>
  </si>
  <si>
    <t>distr_wofelc_wof_FRA_017</t>
  </si>
  <si>
    <t>distr_wonelc_won_FRA_017</t>
  </si>
  <si>
    <t>distr_wonelc_won_FRA_018</t>
  </si>
  <si>
    <t>distr_wonelc_won_FRA_019</t>
  </si>
  <si>
    <t>distr_wonelc_won_FRA_020</t>
  </si>
  <si>
    <t>distr_wonelc_won_FRA_021</t>
  </si>
  <si>
    <t>distr_wonelc_won_FRA_022</t>
  </si>
  <si>
    <t>distr_wonelc_won_FRA_023</t>
  </si>
  <si>
    <t>distr_wonelc_won_FRA_024</t>
  </si>
  <si>
    <t>distr_wonelc_won_FRA_025</t>
  </si>
  <si>
    <t>distr_wonelc_won_FRA_026</t>
  </si>
  <si>
    <t>distr_wonelc_won_FRA_027</t>
  </si>
  <si>
    <t>distr_wonelc_won_FRA_028</t>
  </si>
  <si>
    <t>ts_24</t>
  </si>
  <si>
    <t>g_yrfr</t>
  </si>
  <si>
    <t>com_pkflx</t>
  </si>
  <si>
    <t>Year</t>
  </si>
  <si>
    <t>ncap_afs</t>
  </si>
  <si>
    <t>pset_ci</t>
  </si>
  <si>
    <t>elc_roadtransport</t>
  </si>
  <si>
    <t>elc_buildings</t>
  </si>
  <si>
    <t>ELC</t>
  </si>
  <si>
    <t>S01</t>
  </si>
  <si>
    <t>hydro</t>
  </si>
  <si>
    <t>S02</t>
  </si>
  <si>
    <t>S03</t>
  </si>
  <si>
    <t>S04</t>
  </si>
  <si>
    <t>elc_industry</t>
  </si>
  <si>
    <t>elc_spv_GBR_001</t>
  </si>
  <si>
    <t>elc_won_GBR_001</t>
  </si>
  <si>
    <t>elc_wof_GBR_001</t>
  </si>
  <si>
    <t>elc_spv_GBR_002</t>
  </si>
  <si>
    <t>elc_won_GBR_002</t>
  </si>
  <si>
    <t>elc_wof_GBR_002</t>
  </si>
  <si>
    <t>elc_spv_GBR_003</t>
  </si>
  <si>
    <t>elc_won_GBR_003</t>
  </si>
  <si>
    <t>elc_wof_GBR_003</t>
  </si>
  <si>
    <t>elc_spv_GBR_004</t>
  </si>
  <si>
    <t>elc_won_GBR_004</t>
  </si>
  <si>
    <t>elc_wof_GBR_004</t>
  </si>
  <si>
    <t>elc_spv_GBR_005</t>
  </si>
  <si>
    <t>elc_won_GBR_005</t>
  </si>
  <si>
    <t>elc_wof_GBR_005</t>
  </si>
  <si>
    <t>elc_spv_GBR_006</t>
  </si>
  <si>
    <t>elc_won_GBR_006</t>
  </si>
  <si>
    <t>elc_wof_GBR_006</t>
  </si>
  <si>
    <t>elc_spv_GBR_007</t>
  </si>
  <si>
    <t>elc_won_GBR_007</t>
  </si>
  <si>
    <t>elc_wof_GBR_007</t>
  </si>
  <si>
    <t>elc_spv_GBR_008</t>
  </si>
  <si>
    <t>elc_won_GBR_008</t>
  </si>
  <si>
    <t>elc_wof_GBR_008</t>
  </si>
  <si>
    <t>elc_spv_GBR_009</t>
  </si>
  <si>
    <t>elc_won_GBR_009</t>
  </si>
  <si>
    <t>elc_wof_GBR_009</t>
  </si>
  <si>
    <t>elc_spv_GBR_010</t>
  </si>
  <si>
    <t>elc_won_GBR_010</t>
  </si>
  <si>
    <t>elc_wof_GBR_010</t>
  </si>
  <si>
    <t>elc_spv_GBR_011</t>
  </si>
  <si>
    <t>elc_won_GBR_011</t>
  </si>
  <si>
    <t>elc_wof_GBR_011</t>
  </si>
  <si>
    <t>elc_spv_GBR_012</t>
  </si>
  <si>
    <t>elc_won_GBR_012</t>
  </si>
  <si>
    <t>elc_wof_GBR_012</t>
  </si>
  <si>
    <t>elc_spv_GBR_013</t>
  </si>
  <si>
    <t>elc_won_GBR_013</t>
  </si>
  <si>
    <t>elc_wof_GBR_013</t>
  </si>
  <si>
    <t>elc_spv_GBR_014</t>
  </si>
  <si>
    <t>elc_won_GBR_014</t>
  </si>
  <si>
    <t>elc_wof_GBR_014</t>
  </si>
  <si>
    <t>elc_spv_GBR_015</t>
  </si>
  <si>
    <t>elc_won_GBR_015</t>
  </si>
  <si>
    <t>elc_wof_GBR_015</t>
  </si>
  <si>
    <t>elc_spv_GBR_016</t>
  </si>
  <si>
    <t>elc_won_GBR_016</t>
  </si>
  <si>
    <t>elc_wof_GBR_016</t>
  </si>
  <si>
    <t>elc_spv_GBR_017</t>
  </si>
  <si>
    <t>elc_won_GBR_017</t>
  </si>
  <si>
    <t>elc_wof_GBR_017</t>
  </si>
  <si>
    <t>elc_spv_GBR_018</t>
  </si>
  <si>
    <t>elc_won_GBR_018</t>
  </si>
  <si>
    <t>elc_wof_GBR_018</t>
  </si>
  <si>
    <t>elc_spv_GBR_019</t>
  </si>
  <si>
    <t>elc_won_GBR_019</t>
  </si>
  <si>
    <t>elc_wof_GBR_019</t>
  </si>
  <si>
    <t>elc_spv_GBR_020</t>
  </si>
  <si>
    <t>elc_won_GBR_020</t>
  </si>
  <si>
    <t>elc_wof_GBR_020</t>
  </si>
  <si>
    <t>elc_spv_GBR_021</t>
  </si>
  <si>
    <t>elc_won_GBR_021</t>
  </si>
  <si>
    <t>elc_wof_GBR_021</t>
  </si>
  <si>
    <t>elc_wof_GBR_022</t>
  </si>
  <si>
    <t>elc_wof_GBR_023</t>
  </si>
  <si>
    <t>elc_wof_GBR_024</t>
  </si>
  <si>
    <t>elc_wof_GBR_025</t>
  </si>
  <si>
    <t>elc_wof_GBR_026</t>
  </si>
  <si>
    <t>elc_wof_GBR_027</t>
  </si>
  <si>
    <t>elc_wof_GBR_028</t>
  </si>
  <si>
    <t>elc_wof_GBR_029</t>
  </si>
  <si>
    <t>elc_wof_GBR_030</t>
  </si>
  <si>
    <t>elc_wof_GBR_031</t>
  </si>
  <si>
    <t>elc_wof_GBR_032</t>
  </si>
  <si>
    <t>elc_wof_GBR_033</t>
  </si>
  <si>
    <t>elc_wof_GBR_034</t>
  </si>
  <si>
    <t>distr_solelc_spv_GBR_001</t>
  </si>
  <si>
    <t>distr_solelc_spv_GBR_002</t>
  </si>
  <si>
    <t>distr_solelc_spv_GBR_003</t>
  </si>
  <si>
    <t>distr_solelc_spv_GBR_004</t>
  </si>
  <si>
    <t>distr_solelc_spv_GBR_005</t>
  </si>
  <si>
    <t>distr_solelc_spv_GBR_006</t>
  </si>
  <si>
    <t>distr_solelc_spv_GBR_007</t>
  </si>
  <si>
    <t>distr_solelc_spv_GBR_008</t>
  </si>
  <si>
    <t>distr_solelc_spv_GBR_009</t>
  </si>
  <si>
    <t>distr_solelc_spv_GBR_010</t>
  </si>
  <si>
    <t>distr_solelc_spv_GBR_011</t>
  </si>
  <si>
    <t>distr_solelc_spv_GBR_012</t>
  </si>
  <si>
    <t>distr_solelc_spv_GBR_013</t>
  </si>
  <si>
    <t>distr_solelc_spv_GBR_014</t>
  </si>
  <si>
    <t>distr_solelc_spv_GBR_015</t>
  </si>
  <si>
    <t>distr_solelc_spv_GBR_016</t>
  </si>
  <si>
    <t>distr_solelc_spv_GBR_017</t>
  </si>
  <si>
    <t>distr_solelc_spv_GBR_018</t>
  </si>
  <si>
    <t>distr_solelc_spv_GBR_019</t>
  </si>
  <si>
    <t>distr_solelc_spv_GBR_020</t>
  </si>
  <si>
    <t>distr_solelc_spv_GBR_021</t>
  </si>
  <si>
    <t>distr_wofelc_wof_GBR_001</t>
  </si>
  <si>
    <t>distr_wonelc_won_GBR_001</t>
  </si>
  <si>
    <t>distr_wofelc_wof_GBR_002</t>
  </si>
  <si>
    <t>distr_wonelc_won_GBR_002</t>
  </si>
  <si>
    <t>distr_wofelc_wof_GBR_003</t>
  </si>
  <si>
    <t>distr_wonelc_won_GBR_003</t>
  </si>
  <si>
    <t>distr_wofelc_wof_GBR_004</t>
  </si>
  <si>
    <t>distr_wonelc_won_GBR_004</t>
  </si>
  <si>
    <t>distr_wofelc_wof_GBR_005</t>
  </si>
  <si>
    <t>distr_wonelc_won_GBR_005</t>
  </si>
  <si>
    <t>distr_wofelc_wof_GBR_006</t>
  </si>
  <si>
    <t>distr_wonelc_won_GBR_006</t>
  </si>
  <si>
    <t>distr_wofelc_wof_GBR_007</t>
  </si>
  <si>
    <t>distr_wonelc_won_GBR_007</t>
  </si>
  <si>
    <t>distr_wofelc_wof_GBR_008</t>
  </si>
  <si>
    <t>distr_wonelc_won_GBR_008</t>
  </si>
  <si>
    <t>distr_wofelc_wof_GBR_009</t>
  </si>
  <si>
    <t>distr_wonelc_won_GBR_009</t>
  </si>
  <si>
    <t>distr_wofelc_wof_GBR_010</t>
  </si>
  <si>
    <t>distr_wonelc_won_GBR_010</t>
  </si>
  <si>
    <t>distr_wofelc_wof_GBR_011</t>
  </si>
  <si>
    <t>distr_wonelc_won_GBR_011</t>
  </si>
  <si>
    <t>distr_wofelc_wof_GBR_012</t>
  </si>
  <si>
    <t>distr_wonelc_won_GBR_012</t>
  </si>
  <si>
    <t>distr_wofelc_wof_GBR_013</t>
  </si>
  <si>
    <t>distr_wonelc_won_GBR_013</t>
  </si>
  <si>
    <t>distr_wofelc_wof_GBR_014</t>
  </si>
  <si>
    <t>distr_wonelc_won_GBR_014</t>
  </si>
  <si>
    <t>distr_wofelc_wof_GBR_015</t>
  </si>
  <si>
    <t>distr_wonelc_won_GBR_015</t>
  </si>
  <si>
    <t>distr_wofelc_wof_GBR_016</t>
  </si>
  <si>
    <t>distr_wonelc_won_GBR_016</t>
  </si>
  <si>
    <t>distr_wofelc_wof_GBR_017</t>
  </si>
  <si>
    <t>distr_wonelc_won_GBR_017</t>
  </si>
  <si>
    <t>distr_wofelc_wof_GBR_018</t>
  </si>
  <si>
    <t>distr_wonelc_won_GBR_018</t>
  </si>
  <si>
    <t>distr_wofelc_wof_GBR_019</t>
  </si>
  <si>
    <t>distr_wonelc_won_GBR_019</t>
  </si>
  <si>
    <t>distr_wofelc_wof_GBR_020</t>
  </si>
  <si>
    <t>distr_wonelc_won_GBR_020</t>
  </si>
  <si>
    <t>distr_wofelc_wof_GBR_021</t>
  </si>
  <si>
    <t>distr_wonelc_won_GBR_021</t>
  </si>
  <si>
    <t>distr_wofelc_wof_GBR_022</t>
  </si>
  <si>
    <t>distr_wofelc_wof_GBR_023</t>
  </si>
  <si>
    <t>distr_wofelc_wof_GBR_024</t>
  </si>
  <si>
    <t>distr_wofelc_wof_GBR_025</t>
  </si>
  <si>
    <t>distr_wofelc_wof_GBR_026</t>
  </si>
  <si>
    <t>distr_wofelc_wof_GBR_027</t>
  </si>
  <si>
    <t>distr_wofelc_wof_GBR_028</t>
  </si>
  <si>
    <t>distr_wofelc_wof_GBR_029</t>
  </si>
  <si>
    <t>distr_wofelc_wof_GBR_030</t>
  </si>
  <si>
    <t>distr_wofelc_wof_GBR_031</t>
  </si>
  <si>
    <t>distr_wofelc_wof_GBR_032</t>
  </si>
  <si>
    <t>distr_wofelc_wof_GBR_033</t>
  </si>
  <si>
    <t>distr_wofelc_wof_GBR_034</t>
  </si>
  <si>
    <t>elc_spv_BEL_001</t>
  </si>
  <si>
    <t>elc_won_BEL_001</t>
  </si>
  <si>
    <t>elc_spv_BEL_002</t>
  </si>
  <si>
    <t>elc_won_BEL_002</t>
  </si>
  <si>
    <t>elc_spv_BEL_003</t>
  </si>
  <si>
    <t>elc_won_BEL_003</t>
  </si>
  <si>
    <t>elc_spv_BEL_004</t>
  </si>
  <si>
    <t>elc_won_BEL_004</t>
  </si>
  <si>
    <t>elc_spv_BEL_005</t>
  </si>
  <si>
    <t>elc_won_BEL_005</t>
  </si>
  <si>
    <t>elc_spv_BEL_006</t>
  </si>
  <si>
    <t>elc_won_BEL_006</t>
  </si>
  <si>
    <t>elc_spv_BEL_007</t>
  </si>
  <si>
    <t>elc_won_BEL_007</t>
  </si>
  <si>
    <t>elc_spv_BEL_008</t>
  </si>
  <si>
    <t>elc_won_BEL_008</t>
  </si>
  <si>
    <t>elc_spv_BEL_009</t>
  </si>
  <si>
    <t>elc_won_BEL_009</t>
  </si>
  <si>
    <t>elc_spv_BEL_010</t>
  </si>
  <si>
    <t>elc_won_BEL_010</t>
  </si>
  <si>
    <t>distr_solelc_spv_BEL_001</t>
  </si>
  <si>
    <t>distr_solelc_spv_BEL_002</t>
  </si>
  <si>
    <t>distr_solelc_spv_BEL_003</t>
  </si>
  <si>
    <t>distr_solelc_spv_BEL_004</t>
  </si>
  <si>
    <t>distr_solelc_spv_BEL_005</t>
  </si>
  <si>
    <t>distr_solelc_spv_BEL_006</t>
  </si>
  <si>
    <t>distr_solelc_spv_BEL_007</t>
  </si>
  <si>
    <t>distr_solelc_spv_BEL_008</t>
  </si>
  <si>
    <t>distr_solelc_spv_BEL_009</t>
  </si>
  <si>
    <t>distr_solelc_spv_BEL_010</t>
  </si>
  <si>
    <t>distr_wonelc_won_BEL_001</t>
  </si>
  <si>
    <t>distr_wonelc_won_BEL_002</t>
  </si>
  <si>
    <t>distr_wonelc_won_BEL_003</t>
  </si>
  <si>
    <t>distr_wonelc_won_BEL_004</t>
  </si>
  <si>
    <t>distr_wonelc_won_BEL_005</t>
  </si>
  <si>
    <t>distr_wonelc_won_BEL_006</t>
  </si>
  <si>
    <t>distr_wonelc_won_BEL_007</t>
  </si>
  <si>
    <t>distr_wonelc_won_BEL_008</t>
  </si>
  <si>
    <t>distr_wonelc_won_BEL_009</t>
  </si>
  <si>
    <t>distr_wonelc_won_BEL_010</t>
  </si>
  <si>
    <t>elc_spv_DEU_001</t>
  </si>
  <si>
    <t>elc_won_DEU_001</t>
  </si>
  <si>
    <t>elc_wof_DEU_001</t>
  </si>
  <si>
    <t>elc_spv_DEU_002</t>
  </si>
  <si>
    <t>elc_won_DEU_002</t>
  </si>
  <si>
    <t>elc_wof_DEU_002</t>
  </si>
  <si>
    <t>elc_spv_DEU_003</t>
  </si>
  <si>
    <t>elc_won_DEU_003</t>
  </si>
  <si>
    <t>elc_wof_DEU_003</t>
  </si>
  <si>
    <t>elc_spv_DEU_004</t>
  </si>
  <si>
    <t>elc_won_DEU_004</t>
  </si>
  <si>
    <t>elc_wof_DEU_004</t>
  </si>
  <si>
    <t>elc_spv_DEU_005</t>
  </si>
  <si>
    <t>elc_won_DEU_005</t>
  </si>
  <si>
    <t>elc_wof_DEU_005</t>
  </si>
  <si>
    <t>elc_spv_DEU_006</t>
  </si>
  <si>
    <t>elc_won_DEU_006</t>
  </si>
  <si>
    <t>elc_wof_DEU_006</t>
  </si>
  <si>
    <t>elc_spv_DEU_007</t>
  </si>
  <si>
    <t>elc_won_DEU_007</t>
  </si>
  <si>
    <t>elc_wof_DEU_007</t>
  </si>
  <si>
    <t>elc_spv_DEU_008</t>
  </si>
  <si>
    <t>elc_won_DEU_008</t>
  </si>
  <si>
    <t>elc_wof_DEU_008</t>
  </si>
  <si>
    <t>elc_spv_DEU_009</t>
  </si>
  <si>
    <t>elc_won_DEU_009</t>
  </si>
  <si>
    <t>elc_wof_DEU_009</t>
  </si>
  <si>
    <t>elc_spv_DEU_010</t>
  </si>
  <si>
    <t>elc_won_DEU_010</t>
  </si>
  <si>
    <t>elc_wof_DEU_010</t>
  </si>
  <si>
    <t>elc_spv_DEU_011</t>
  </si>
  <si>
    <t>elc_won_DEU_011</t>
  </si>
  <si>
    <t>elc_spv_DEU_012</t>
  </si>
  <si>
    <t>elc_won_DEU_012</t>
  </si>
  <si>
    <t>elc_spv_DEU_013</t>
  </si>
  <si>
    <t>elc_won_DEU_013</t>
  </si>
  <si>
    <t>elc_spv_DEU_014</t>
  </si>
  <si>
    <t>elc_won_DEU_014</t>
  </si>
  <si>
    <t>elc_spv_DEU_015</t>
  </si>
  <si>
    <t>elc_won_DEU_015</t>
  </si>
  <si>
    <t>elc_spv_DEU_016</t>
  </si>
  <si>
    <t>elc_won_DEU_016</t>
  </si>
  <si>
    <t>elc_spv_DEU_017</t>
  </si>
  <si>
    <t>elc_won_DEU_017</t>
  </si>
  <si>
    <t>elc_spv_DEU_018</t>
  </si>
  <si>
    <t>elc_won_DEU_018</t>
  </si>
  <si>
    <t>elc_spv_DEU_019</t>
  </si>
  <si>
    <t>elc_won_DEU_019</t>
  </si>
  <si>
    <t>elc_spv_DEU_020</t>
  </si>
  <si>
    <t>elc_won_DEU_020</t>
  </si>
  <si>
    <t>elc_spv_DEU_021</t>
  </si>
  <si>
    <t>elc_won_DEU_021</t>
  </si>
  <si>
    <t>elc_spv_DEU_022</t>
  </si>
  <si>
    <t>elc_won_DEU_022</t>
  </si>
  <si>
    <t>elc_spv_DEU_023</t>
  </si>
  <si>
    <t>distr_solelc_spv_DEU_001</t>
  </si>
  <si>
    <t>distr_solelc_spv_DEU_002</t>
  </si>
  <si>
    <t>distr_solelc_spv_DEU_003</t>
  </si>
  <si>
    <t>distr_solelc_spv_DEU_004</t>
  </si>
  <si>
    <t>distr_solelc_spv_DEU_005</t>
  </si>
  <si>
    <t>distr_solelc_spv_DEU_006</t>
  </si>
  <si>
    <t>distr_solelc_spv_DEU_007</t>
  </si>
  <si>
    <t>distr_solelc_spv_DEU_008</t>
  </si>
  <si>
    <t>distr_solelc_spv_DEU_009</t>
  </si>
  <si>
    <t>distr_solelc_spv_DEU_010</t>
  </si>
  <si>
    <t>distr_solelc_spv_DEU_011</t>
  </si>
  <si>
    <t>distr_solelc_spv_DEU_012</t>
  </si>
  <si>
    <t>distr_solelc_spv_DEU_013</t>
  </si>
  <si>
    <t>distr_solelc_spv_DEU_014</t>
  </si>
  <si>
    <t>distr_solelc_spv_DEU_015</t>
  </si>
  <si>
    <t>distr_solelc_spv_DEU_016</t>
  </si>
  <si>
    <t>distr_solelc_spv_DEU_017</t>
  </si>
  <si>
    <t>distr_solelc_spv_DEU_018</t>
  </si>
  <si>
    <t>distr_solelc_spv_DEU_019</t>
  </si>
  <si>
    <t>distr_solelc_spv_DEU_020</t>
  </si>
  <si>
    <t>distr_solelc_spv_DEU_021</t>
  </si>
  <si>
    <t>distr_solelc_spv_DEU_022</t>
  </si>
  <si>
    <t>distr_solelc_spv_DEU_023</t>
  </si>
  <si>
    <t>distr_wofelc_wof_DEU_001</t>
  </si>
  <si>
    <t>distr_wonelc_won_DEU_001</t>
  </si>
  <si>
    <t>distr_wofelc_wof_DEU_002</t>
  </si>
  <si>
    <t>distr_wonelc_won_DEU_002</t>
  </si>
  <si>
    <t>distr_wofelc_wof_DEU_003</t>
  </si>
  <si>
    <t>distr_wonelc_won_DEU_003</t>
  </si>
  <si>
    <t>distr_wofelc_wof_DEU_004</t>
  </si>
  <si>
    <t>distr_wonelc_won_DEU_004</t>
  </si>
  <si>
    <t>distr_wofelc_wof_DEU_005</t>
  </si>
  <si>
    <t>distr_wonelc_won_DEU_005</t>
  </si>
  <si>
    <t>distr_wofelc_wof_DEU_006</t>
  </si>
  <si>
    <t>distr_wonelc_won_DEU_006</t>
  </si>
  <si>
    <t>distr_wofelc_wof_DEU_007</t>
  </si>
  <si>
    <t>distr_wonelc_won_DEU_007</t>
  </si>
  <si>
    <t>distr_wofelc_wof_DEU_008</t>
  </si>
  <si>
    <t>distr_wonelc_won_DEU_008</t>
  </si>
  <si>
    <t>distr_wofelc_wof_DEU_009</t>
  </si>
  <si>
    <t>distr_wonelc_won_DEU_009</t>
  </si>
  <si>
    <t>distr_wofelc_wof_DEU_010</t>
  </si>
  <si>
    <t>distr_wonelc_won_DEU_010</t>
  </si>
  <si>
    <t>distr_wonelc_won_DEU_011</t>
  </si>
  <si>
    <t>distr_wonelc_won_DEU_012</t>
  </si>
  <si>
    <t>distr_wonelc_won_DEU_013</t>
  </si>
  <si>
    <t>distr_wonelc_won_DEU_014</t>
  </si>
  <si>
    <t>distr_wonelc_won_DEU_015</t>
  </si>
  <si>
    <t>distr_wonelc_won_DEU_016</t>
  </si>
  <si>
    <t>distr_wonelc_won_DEU_017</t>
  </si>
  <si>
    <t>distr_wonelc_won_DEU_018</t>
  </si>
  <si>
    <t>distr_wonelc_won_DEU_019</t>
  </si>
  <si>
    <t>distr_wonelc_won_DEU_020</t>
  </si>
  <si>
    <t>distr_wonelc_won_DEU_021</t>
  </si>
  <si>
    <t>distr_wonelc_won_DEU_022</t>
  </si>
  <si>
    <t>elc_spv_CHE_001</t>
  </si>
  <si>
    <t>elc_won_CHE_001</t>
  </si>
  <si>
    <t>elc_spv_CHE_002</t>
  </si>
  <si>
    <t>elc_won_CHE_002</t>
  </si>
  <si>
    <t>elc_spv_CHE_003</t>
  </si>
  <si>
    <t>elc_won_CHE_003</t>
  </si>
  <si>
    <t>elc_spv_CHE_004</t>
  </si>
  <si>
    <t>elc_won_CHE_004</t>
  </si>
  <si>
    <t>elc_spv_CHE_005</t>
  </si>
  <si>
    <t>elc_won_CHE_005</t>
  </si>
  <si>
    <t>elc_spv_CHE_006</t>
  </si>
  <si>
    <t>elc_won_CHE_006</t>
  </si>
  <si>
    <t>elc_spv_CHE_007</t>
  </si>
  <si>
    <t>elc_spv_CHE_008</t>
  </si>
  <si>
    <t>elc_spv_CHE_009</t>
  </si>
  <si>
    <t>elc_spv_CHE_010</t>
  </si>
  <si>
    <t>distr_solelc_spv_CHE_001</t>
  </si>
  <si>
    <t>distr_solelc_spv_CHE_002</t>
  </si>
  <si>
    <t>distr_solelc_spv_CHE_003</t>
  </si>
  <si>
    <t>distr_solelc_spv_CHE_004</t>
  </si>
  <si>
    <t>distr_solelc_spv_CHE_005</t>
  </si>
  <si>
    <t>distr_solelc_spv_CHE_006</t>
  </si>
  <si>
    <t>distr_solelc_spv_CHE_007</t>
  </si>
  <si>
    <t>distr_solelc_spv_CHE_008</t>
  </si>
  <si>
    <t>distr_solelc_spv_CHE_009</t>
  </si>
  <si>
    <t>distr_solelc_spv_CHE_010</t>
  </si>
  <si>
    <t>distr_wonelc_won_CHE_001</t>
  </si>
  <si>
    <t>distr_wonelc_won_CHE_002</t>
  </si>
  <si>
    <t>distr_wonelc_won_CHE_003</t>
  </si>
  <si>
    <t>distr_wonelc_won_CHE_004</t>
  </si>
  <si>
    <t>distr_wonelc_won_CHE_005</t>
  </si>
  <si>
    <t>distr_wonelc_won_CHE_006</t>
  </si>
  <si>
    <t>elc_spv_ITA_001</t>
  </si>
  <si>
    <t>elc_won_ITA_001</t>
  </si>
  <si>
    <t>elc_wof_ITA_001</t>
  </si>
  <si>
    <t>elc_spv_ITA_002</t>
  </si>
  <si>
    <t>elc_won_ITA_002</t>
  </si>
  <si>
    <t>elc_wof_ITA_002</t>
  </si>
  <si>
    <t>elc_spv_ITA_003</t>
  </si>
  <si>
    <t>elc_won_ITA_003</t>
  </si>
  <si>
    <t>elc_wof_ITA_003</t>
  </si>
  <si>
    <t>elc_spv_ITA_004</t>
  </si>
  <si>
    <t>elc_won_ITA_004</t>
  </si>
  <si>
    <t>elc_wof_ITA_004</t>
  </si>
  <si>
    <t>elc_spv_ITA_005</t>
  </si>
  <si>
    <t>elc_won_ITA_005</t>
  </si>
  <si>
    <t>elc_wof_ITA_005</t>
  </si>
  <si>
    <t>elc_spv_ITA_006</t>
  </si>
  <si>
    <t>elc_won_ITA_006</t>
  </si>
  <si>
    <t>elc_wof_ITA_006</t>
  </si>
  <si>
    <t>elc_spv_ITA_007</t>
  </si>
  <si>
    <t>elc_won_ITA_007</t>
  </si>
  <si>
    <t>elc_wof_ITA_007</t>
  </si>
  <si>
    <t>elc_spv_ITA_008</t>
  </si>
  <si>
    <t>elc_won_ITA_008</t>
  </si>
  <si>
    <t>elc_wof_ITA_008</t>
  </si>
  <si>
    <t>elc_spv_ITA_009</t>
  </si>
  <si>
    <t>elc_won_ITA_009</t>
  </si>
  <si>
    <t>elc_wof_ITA_009</t>
  </si>
  <si>
    <t>elc_spv_ITA_010</t>
  </si>
  <si>
    <t>elc_won_ITA_010</t>
  </si>
  <si>
    <t>elc_wof_ITA_010</t>
  </si>
  <si>
    <t>elc_spv_ITA_011</t>
  </si>
  <si>
    <t>elc_won_ITA_011</t>
  </si>
  <si>
    <t>elc_wof_ITA_011</t>
  </si>
  <si>
    <t>elc_spv_ITA_012</t>
  </si>
  <si>
    <t>elc_won_ITA_012</t>
  </si>
  <si>
    <t>elc_wof_ITA_012</t>
  </si>
  <si>
    <t>elc_spv_ITA_013</t>
  </si>
  <si>
    <t>elc_won_ITA_013</t>
  </si>
  <si>
    <t>elc_wof_ITA_013</t>
  </si>
  <si>
    <t>elc_spv_ITA_014</t>
  </si>
  <si>
    <t>elc_won_ITA_014</t>
  </si>
  <si>
    <t>elc_wof_ITA_014</t>
  </si>
  <si>
    <t>elc_spv_ITA_015</t>
  </si>
  <si>
    <t>elc_won_ITA_015</t>
  </si>
  <si>
    <t>elc_wof_ITA_015</t>
  </si>
  <si>
    <t>elc_spv_ITA_016</t>
  </si>
  <si>
    <t>elc_won_ITA_016</t>
  </si>
  <si>
    <t>elc_wof_ITA_016</t>
  </si>
  <si>
    <t>elc_spv_ITA_017</t>
  </si>
  <si>
    <t>elc_won_ITA_017</t>
  </si>
  <si>
    <t>elc_wof_ITA_017</t>
  </si>
  <si>
    <t>elc_spv_ITA_018</t>
  </si>
  <si>
    <t>elc_won_ITA_018</t>
  </si>
  <si>
    <t>elc_wof_ITA_018</t>
  </si>
  <si>
    <t>elc_spv_ITA_019</t>
  </si>
  <si>
    <t>elc_won_ITA_019</t>
  </si>
  <si>
    <t>elc_wof_ITA_019</t>
  </si>
  <si>
    <t>elc_spv_ITA_020</t>
  </si>
  <si>
    <t>elc_wof_ITA_020</t>
  </si>
  <si>
    <t>elc_spv_ITA_021</t>
  </si>
  <si>
    <t>elc_spv_ITA_022</t>
  </si>
  <si>
    <t>elc_spv_ITA_023</t>
  </si>
  <si>
    <t>elc_spv_ITA_024</t>
  </si>
  <si>
    <t>distr_solelc_spv_ITA_001</t>
  </si>
  <si>
    <t>distr_solelc_spv_ITA_002</t>
  </si>
  <si>
    <t>distr_solelc_spv_ITA_003</t>
  </si>
  <si>
    <t>distr_solelc_spv_ITA_004</t>
  </si>
  <si>
    <t>distr_solelc_spv_ITA_005</t>
  </si>
  <si>
    <t>distr_solelc_spv_ITA_006</t>
  </si>
  <si>
    <t>distr_solelc_spv_ITA_007</t>
  </si>
  <si>
    <t>distr_solelc_spv_ITA_008</t>
  </si>
  <si>
    <t>distr_solelc_spv_ITA_009</t>
  </si>
  <si>
    <t>distr_solelc_spv_ITA_010</t>
  </si>
  <si>
    <t>distr_solelc_spv_ITA_011</t>
  </si>
  <si>
    <t>distr_solelc_spv_ITA_012</t>
  </si>
  <si>
    <t>distr_solelc_spv_ITA_013</t>
  </si>
  <si>
    <t>distr_solelc_spv_ITA_014</t>
  </si>
  <si>
    <t>distr_solelc_spv_ITA_015</t>
  </si>
  <si>
    <t>distr_solelc_spv_ITA_016</t>
  </si>
  <si>
    <t>distr_solelc_spv_ITA_017</t>
  </si>
  <si>
    <t>distr_solelc_spv_ITA_018</t>
  </si>
  <si>
    <t>distr_solelc_spv_ITA_019</t>
  </si>
  <si>
    <t>distr_solelc_spv_ITA_020</t>
  </si>
  <si>
    <t>distr_solelc_spv_ITA_021</t>
  </si>
  <si>
    <t>distr_solelc_spv_ITA_022</t>
  </si>
  <si>
    <t>distr_solelc_spv_ITA_023</t>
  </si>
  <si>
    <t>distr_solelc_spv_ITA_024</t>
  </si>
  <si>
    <t>distr_wofelc_wof_ITA_001</t>
  </si>
  <si>
    <t>distr_wonelc_won_ITA_001</t>
  </si>
  <si>
    <t>distr_wofelc_wof_ITA_002</t>
  </si>
  <si>
    <t>distr_wonelc_won_ITA_002</t>
  </si>
  <si>
    <t>distr_wofelc_wof_ITA_003</t>
  </si>
  <si>
    <t>distr_wonelc_won_ITA_003</t>
  </si>
  <si>
    <t>distr_wofelc_wof_ITA_004</t>
  </si>
  <si>
    <t>distr_wonelc_won_ITA_004</t>
  </si>
  <si>
    <t>distr_wofelc_wof_ITA_005</t>
  </si>
  <si>
    <t>distr_wonelc_won_ITA_005</t>
  </si>
  <si>
    <t>distr_wofelc_wof_ITA_006</t>
  </si>
  <si>
    <t>distr_wonelc_won_ITA_006</t>
  </si>
  <si>
    <t>distr_wofelc_wof_ITA_007</t>
  </si>
  <si>
    <t>distr_wonelc_won_ITA_007</t>
  </si>
  <si>
    <t>distr_wofelc_wof_ITA_008</t>
  </si>
  <si>
    <t>distr_wonelc_won_ITA_008</t>
  </si>
  <si>
    <t>distr_wofelc_wof_ITA_009</t>
  </si>
  <si>
    <t>distr_wonelc_won_ITA_009</t>
  </si>
  <si>
    <t>distr_wofelc_wof_ITA_010</t>
  </si>
  <si>
    <t>distr_wonelc_won_ITA_010</t>
  </si>
  <si>
    <t>distr_wofelc_wof_ITA_011</t>
  </si>
  <si>
    <t>distr_wonelc_won_ITA_011</t>
  </si>
  <si>
    <t>distr_wofelc_wof_ITA_012</t>
  </si>
  <si>
    <t>distr_wonelc_won_ITA_012</t>
  </si>
  <si>
    <t>distr_wofelc_wof_ITA_013</t>
  </si>
  <si>
    <t>distr_wonelc_won_ITA_013</t>
  </si>
  <si>
    <t>distr_wofelc_wof_ITA_014</t>
  </si>
  <si>
    <t>distr_wonelc_won_ITA_014</t>
  </si>
  <si>
    <t>distr_wofelc_wof_ITA_015</t>
  </si>
  <si>
    <t>distr_wonelc_won_ITA_015</t>
  </si>
  <si>
    <t>distr_wofelc_wof_ITA_016</t>
  </si>
  <si>
    <t>distr_wonelc_won_ITA_016</t>
  </si>
  <si>
    <t>distr_wofelc_wof_ITA_017</t>
  </si>
  <si>
    <t>distr_wonelc_won_ITA_017</t>
  </si>
  <si>
    <t>distr_wofelc_wof_ITA_018</t>
  </si>
  <si>
    <t>distr_wonelc_won_ITA_018</t>
  </si>
  <si>
    <t>distr_wofelc_wof_ITA_019</t>
  </si>
  <si>
    <t>distr_wonelc_won_ITA_019</t>
  </si>
  <si>
    <t>distr_wofelc_wof_ITA_020</t>
  </si>
  <si>
    <t>elc_spv_ESP_001</t>
  </si>
  <si>
    <t>elc_won_ESP_001</t>
  </si>
  <si>
    <t>elc_wof_ESP_001</t>
  </si>
  <si>
    <t>elc_spv_ESP_002</t>
  </si>
  <si>
    <t>elc_won_ESP_002</t>
  </si>
  <si>
    <t>elc_wof_ESP_002</t>
  </si>
  <si>
    <t>elc_spv_ESP_003</t>
  </si>
  <si>
    <t>elc_won_ESP_003</t>
  </si>
  <si>
    <t>elc_wof_ESP_003</t>
  </si>
  <si>
    <t>elc_spv_ESP_004</t>
  </si>
  <si>
    <t>elc_won_ESP_004</t>
  </si>
  <si>
    <t>elc_wof_ESP_004</t>
  </si>
  <si>
    <t>elc_spv_ESP_005</t>
  </si>
  <si>
    <t>elc_won_ESP_005</t>
  </si>
  <si>
    <t>elc_wof_ESP_005</t>
  </si>
  <si>
    <t>elc_spv_ESP_006</t>
  </si>
  <si>
    <t>elc_won_ESP_006</t>
  </si>
  <si>
    <t>elc_wof_ESP_006</t>
  </si>
  <si>
    <t>elc_spv_ESP_007</t>
  </si>
  <si>
    <t>elc_won_ESP_007</t>
  </si>
  <si>
    <t>elc_wof_ESP_007</t>
  </si>
  <si>
    <t>elc_spv_ESP_008</t>
  </si>
  <si>
    <t>elc_won_ESP_008</t>
  </si>
  <si>
    <t>elc_wof_ESP_008</t>
  </si>
  <si>
    <t>elc_spv_ESP_009</t>
  </si>
  <si>
    <t>elc_won_ESP_009</t>
  </si>
  <si>
    <t>elc_wof_ESP_009</t>
  </si>
  <si>
    <t>elc_spv_ESP_010</t>
  </si>
  <si>
    <t>elc_won_ESP_010</t>
  </si>
  <si>
    <t>elc_wof_ESP_010</t>
  </si>
  <si>
    <t>elc_spv_ESP_011</t>
  </si>
  <si>
    <t>elc_won_ESP_011</t>
  </si>
  <si>
    <t>elc_wof_ESP_011</t>
  </si>
  <si>
    <t>elc_spv_ESP_012</t>
  </si>
  <si>
    <t>elc_won_ESP_012</t>
  </si>
  <si>
    <t>elc_wof_ESP_012</t>
  </si>
  <si>
    <t>elc_spv_ESP_013</t>
  </si>
  <si>
    <t>elc_won_ESP_013</t>
  </si>
  <si>
    <t>elc_wof_ESP_013</t>
  </si>
  <si>
    <t>elc_spv_ESP_014</t>
  </si>
  <si>
    <t>elc_won_ESP_014</t>
  </si>
  <si>
    <t>elc_wof_ESP_014</t>
  </si>
  <si>
    <t>elc_spv_ESP_015</t>
  </si>
  <si>
    <t>elc_won_ESP_015</t>
  </si>
  <si>
    <t>elc_wof_ESP_015</t>
  </si>
  <si>
    <t>elc_spv_ESP_016</t>
  </si>
  <si>
    <t>elc_won_ESP_016</t>
  </si>
  <si>
    <t>elc_wof_ESP_016</t>
  </si>
  <si>
    <t>elc_spv_ESP_017</t>
  </si>
  <si>
    <t>elc_won_ESP_017</t>
  </si>
  <si>
    <t>elc_wof_ESP_017</t>
  </si>
  <si>
    <t>elc_spv_ESP_018</t>
  </si>
  <si>
    <t>elc_won_ESP_018</t>
  </si>
  <si>
    <t>elc_wof_ESP_018</t>
  </si>
  <si>
    <t>elc_spv_ESP_019</t>
  </si>
  <si>
    <t>elc_won_ESP_019</t>
  </si>
  <si>
    <t>elc_wof_ESP_019</t>
  </si>
  <si>
    <t>elc_spv_ESP_020</t>
  </si>
  <si>
    <t>elc_won_ESP_020</t>
  </si>
  <si>
    <t>elc_spv_ESP_021</t>
  </si>
  <si>
    <t>elc_won_ESP_021</t>
  </si>
  <si>
    <t>elc_spv_ESP_022</t>
  </si>
  <si>
    <t>elc_won_ESP_022</t>
  </si>
  <si>
    <t>elc_spv_ESP_023</t>
  </si>
  <si>
    <t>elc_won_ESP_023</t>
  </si>
  <si>
    <t>elc_spv_ESP_024</t>
  </si>
  <si>
    <t>elc_won_ESP_024</t>
  </si>
  <si>
    <t>elc_spv_ESP_025</t>
  </si>
  <si>
    <t>elc_won_ESP_025</t>
  </si>
  <si>
    <t>elc_spv_ESP_026</t>
  </si>
  <si>
    <t>distr_solelc_spv_ESP_001</t>
  </si>
  <si>
    <t>distr_solelc_spv_ESP_002</t>
  </si>
  <si>
    <t>distr_solelc_spv_ESP_003</t>
  </si>
  <si>
    <t>distr_solelc_spv_ESP_004</t>
  </si>
  <si>
    <t>distr_solelc_spv_ESP_005</t>
  </si>
  <si>
    <t>distr_solelc_spv_ESP_006</t>
  </si>
  <si>
    <t>distr_solelc_spv_ESP_007</t>
  </si>
  <si>
    <t>distr_solelc_spv_ESP_008</t>
  </si>
  <si>
    <t>distr_solelc_spv_ESP_009</t>
  </si>
  <si>
    <t>distr_solelc_spv_ESP_010</t>
  </si>
  <si>
    <t>distr_solelc_spv_ESP_011</t>
  </si>
  <si>
    <t>distr_solelc_spv_ESP_012</t>
  </si>
  <si>
    <t>distr_solelc_spv_ESP_013</t>
  </si>
  <si>
    <t>distr_solelc_spv_ESP_014</t>
  </si>
  <si>
    <t>distr_solelc_spv_ESP_015</t>
  </si>
  <si>
    <t>distr_solelc_spv_ESP_016</t>
  </si>
  <si>
    <t>distr_solelc_spv_ESP_017</t>
  </si>
  <si>
    <t>distr_solelc_spv_ESP_018</t>
  </si>
  <si>
    <t>distr_solelc_spv_ESP_019</t>
  </si>
  <si>
    <t>distr_solelc_spv_ESP_020</t>
  </si>
  <si>
    <t>distr_solelc_spv_ESP_021</t>
  </si>
  <si>
    <t>distr_solelc_spv_ESP_022</t>
  </si>
  <si>
    <t>distr_solelc_spv_ESP_023</t>
  </si>
  <si>
    <t>distr_solelc_spv_ESP_024</t>
  </si>
  <si>
    <t>distr_solelc_spv_ESP_025</t>
  </si>
  <si>
    <t>distr_solelc_spv_ESP_026</t>
  </si>
  <si>
    <t>distr_wofelc_wof_ESP_001</t>
  </si>
  <si>
    <t>distr_wonelc_won_ESP_001</t>
  </si>
  <si>
    <t>distr_wofelc_wof_ESP_002</t>
  </si>
  <si>
    <t>distr_wonelc_won_ESP_002</t>
  </si>
  <si>
    <t>distr_wofelc_wof_ESP_003</t>
  </si>
  <si>
    <t>distr_wonelc_won_ESP_003</t>
  </si>
  <si>
    <t>distr_wofelc_wof_ESP_004</t>
  </si>
  <si>
    <t>distr_wonelc_won_ESP_004</t>
  </si>
  <si>
    <t>distr_wofelc_wof_ESP_005</t>
  </si>
  <si>
    <t>distr_wonelc_won_ESP_005</t>
  </si>
  <si>
    <t>distr_wofelc_wof_ESP_006</t>
  </si>
  <si>
    <t>distr_wonelc_won_ESP_006</t>
  </si>
  <si>
    <t>distr_wofelc_wof_ESP_007</t>
  </si>
  <si>
    <t>distr_wonelc_won_ESP_007</t>
  </si>
  <si>
    <t>distr_wofelc_wof_ESP_008</t>
  </si>
  <si>
    <t>distr_wonelc_won_ESP_008</t>
  </si>
  <si>
    <t>distr_wofelc_wof_ESP_009</t>
  </si>
  <si>
    <t>distr_wonelc_won_ESP_009</t>
  </si>
  <si>
    <t>distr_wofelc_wof_ESP_010</t>
  </si>
  <si>
    <t>distr_wonelc_won_ESP_010</t>
  </si>
  <si>
    <t>distr_wofelc_wof_ESP_011</t>
  </si>
  <si>
    <t>distr_wonelc_won_ESP_011</t>
  </si>
  <si>
    <t>distr_wofelc_wof_ESP_012</t>
  </si>
  <si>
    <t>distr_wonelc_won_ESP_012</t>
  </si>
  <si>
    <t>distr_wofelc_wof_ESP_013</t>
  </si>
  <si>
    <t>distr_wonelc_won_ESP_013</t>
  </si>
  <si>
    <t>distr_wofelc_wof_ESP_014</t>
  </si>
  <si>
    <t>distr_wonelc_won_ESP_014</t>
  </si>
  <si>
    <t>distr_wofelc_wof_ESP_015</t>
  </si>
  <si>
    <t>distr_wonelc_won_ESP_015</t>
  </si>
  <si>
    <t>distr_wofelc_wof_ESP_016</t>
  </si>
  <si>
    <t>distr_wonelc_won_ESP_016</t>
  </si>
  <si>
    <t>distr_wofelc_wof_ESP_017</t>
  </si>
  <si>
    <t>distr_wonelc_won_ESP_017</t>
  </si>
  <si>
    <t>distr_wofelc_wof_ESP_018</t>
  </si>
  <si>
    <t>distr_wonelc_won_ESP_018</t>
  </si>
  <si>
    <t>distr_wofelc_wof_ESP_019</t>
  </si>
  <si>
    <t>distr_wonelc_won_ESP_019</t>
  </si>
  <si>
    <t>distr_wonelc_won_ESP_020</t>
  </si>
  <si>
    <t>distr_wonelc_won_ESP_021</t>
  </si>
  <si>
    <t>distr_wonelc_won_ESP_022</t>
  </si>
  <si>
    <t>distr_wonelc_won_ESP_023</t>
  </si>
  <si>
    <t>distr_wonelc_won_ESP_024</t>
  </si>
  <si>
    <t>distr_wonelc_won_ESP_025</t>
  </si>
  <si>
    <t>elc_spv_NLD_001</t>
  </si>
  <si>
    <t>elc_won_NLD_001</t>
  </si>
  <si>
    <t>elc_wof_NLD_001</t>
  </si>
  <si>
    <t>elc_spv_NLD_002</t>
  </si>
  <si>
    <t>elc_won_NLD_002</t>
  </si>
  <si>
    <t>elc_wof_NLD_002</t>
  </si>
  <si>
    <t>elc_spv_NLD_003</t>
  </si>
  <si>
    <t>elc_won_NLD_003</t>
  </si>
  <si>
    <t>elc_wof_NLD_003</t>
  </si>
  <si>
    <t>elc_spv_NLD_004</t>
  </si>
  <si>
    <t>elc_won_NLD_004</t>
  </si>
  <si>
    <t>elc_wof_NLD_004</t>
  </si>
  <si>
    <t>elc_spv_NLD_005</t>
  </si>
  <si>
    <t>elc_won_NLD_005</t>
  </si>
  <si>
    <t>elc_wof_NLD_005</t>
  </si>
  <si>
    <t>elc_spv_NLD_006</t>
  </si>
  <si>
    <t>elc_won_NLD_006</t>
  </si>
  <si>
    <t>elc_spv_NLD_007</t>
  </si>
  <si>
    <t>elc_won_NLD_007</t>
  </si>
  <si>
    <t>elc_spv_NLD_008</t>
  </si>
  <si>
    <t>elc_won_NLD_008</t>
  </si>
  <si>
    <t>elc_spv_NLD_009</t>
  </si>
  <si>
    <t>elc_won_NLD_009</t>
  </si>
  <si>
    <t>elc_spv_NLD_010</t>
  </si>
  <si>
    <t>elc_won_NLD_010</t>
  </si>
  <si>
    <t>distr_solelc_spv_NLD_001</t>
  </si>
  <si>
    <t>distr_solelc_spv_NLD_002</t>
  </si>
  <si>
    <t>distr_solelc_spv_NLD_003</t>
  </si>
  <si>
    <t>distr_solelc_spv_NLD_004</t>
  </si>
  <si>
    <t>distr_solelc_spv_NLD_005</t>
  </si>
  <si>
    <t>distr_solelc_spv_NLD_006</t>
  </si>
  <si>
    <t>distr_solelc_spv_NLD_007</t>
  </si>
  <si>
    <t>distr_solelc_spv_NLD_008</t>
  </si>
  <si>
    <t>distr_solelc_spv_NLD_009</t>
  </si>
  <si>
    <t>distr_solelc_spv_NLD_010</t>
  </si>
  <si>
    <t>distr_wofelc_wof_NLD_001</t>
  </si>
  <si>
    <t>distr_wonelc_won_NLD_001</t>
  </si>
  <si>
    <t>distr_wofelc_wof_NLD_002</t>
  </si>
  <si>
    <t>distr_wonelc_won_NLD_002</t>
  </si>
  <si>
    <t>distr_wofelc_wof_NLD_003</t>
  </si>
  <si>
    <t>distr_wonelc_won_NLD_003</t>
  </si>
  <si>
    <t>distr_wofelc_wof_NLD_004</t>
  </si>
  <si>
    <t>distr_wonelc_won_NLD_004</t>
  </si>
  <si>
    <t>distr_wofelc_wof_NLD_005</t>
  </si>
  <si>
    <t>distr_wonelc_won_NLD_005</t>
  </si>
  <si>
    <t>distr_wonelc_won_NLD_006</t>
  </si>
  <si>
    <t>distr_wonelc_won_NLD_007</t>
  </si>
  <si>
    <t>distr_wonelc_won_NLD_008</t>
  </si>
  <si>
    <t>distr_wonelc_won_NLD_009</t>
  </si>
  <si>
    <t>distr_wonelc_won_NLD_010</t>
  </si>
  <si>
    <t>day_night</t>
  </si>
  <si>
    <t>D</t>
  </si>
  <si>
    <t>S03aH03,S02aH04,S02aH05,S01aH02,S04aH04,S04aH03,S02aH02,S03aH05,S02aH03,S03aH04,S03aH02,S04aH02,S01aH04,S04aH05,S01aH05,S01aH03</t>
  </si>
  <si>
    <t>N</t>
  </si>
  <si>
    <t>S02aH06,S03aH06,S02aH01,S03aH01,S01aH06,S01aH01,S04aH01,S04aH06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</si>
  <si>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</si>
  <si>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</si>
  <si>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</si>
  <si>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</si>
  <si>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</si>
  <si>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</si>
  <si>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</si>
  <si>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</si>
  <si>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</si>
  <si>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</si>
  <si>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</si>
  <si>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</si>
  <si>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</si>
  <si>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</si>
  <si>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</si>
  <si>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</si>
  <si>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</si>
  <si>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</si>
  <si>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</si>
  <si>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</si>
  <si>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</si>
  <si>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</si>
  <si>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</si>
  <si>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</si>
  <si>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</si>
  <si>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</si>
  <si>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</si>
  <si>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</si>
  <si>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</si>
  <si>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</si>
  <si>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season</t>
  </si>
  <si>
    <t>weekly</t>
  </si>
  <si>
    <t>daynite</t>
  </si>
  <si>
    <t>wparent</t>
  </si>
  <si>
    <t>dparent</t>
  </si>
  <si>
    <t>a</t>
  </si>
  <si>
    <t>H01</t>
  </si>
  <si>
    <t>S01,S02,S03,S04</t>
  </si>
  <si>
    <t>H02</t>
  </si>
  <si>
    <t>H03</t>
  </si>
  <si>
    <t>H04</t>
  </si>
  <si>
    <t>H05</t>
  </si>
  <si>
    <t>H06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</si>
</sst>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3" fillId="2" borderId="3" applyNumberFormat="0" applyAlignment="0" applyProtection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6">
    <xf numFmtId="0" fontId="0" fillId="0" borderId="0" xfId="0"/>
    <xf numFmtId="0" fontId="0" fillId="3" borderId="0" xfId="0" applyFill="1"/>
    <xf numFmtId="0" fontId="3" fillId="2" borderId="3" xfId="1"/>
    <xf numFmtId="0" fontId="4" fillId="0" borderId="0" xfId="0" applyFont="1"/>
    <xf numFmtId="0" fontId="1" fillId="0" borderId="1" xfId="2"/>
    <xf numFmtId="0" fontId="2" fillId="0" borderId="2" xfId="3"/>
  </cellXfs>
  <cellStyles count="4">
    <cellStyle name="Heading 2 2" xfId="2" xr:uid="{973E4AAB-243B-49F7-BEAE-D691CD2DA95D}"/>
    <cellStyle name="Heading 3 2" xfId="3" xr:uid="{70FC5117-A513-4A22-B821-80A47DD41F04}"/>
    <cellStyle name="Input 2" xfId="1" xr:uid="{B9B9B188-6C53-4DBA-BEBC-ED4E035D65F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E3FC-E556-4A73-BA55-C536E8095CB4}">
  <dimension ref="B9:O7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region=FRA")</f>
        <v>~TFM_DINS-AT: region=FRA</v>
      </c>
      <c r="G9" t="str">
        <f>IF(A11="x","DeActivated","~TFM_DINS-AT: region=FRA")</f>
        <v>~TFM_DINS-AT: region=FRA</v>
      </c>
      <c r="L9" t="str">
        <f>IF(A11="x","DeActivated","~TFM_DINS-AT: region=FRA")</f>
        <v>~TFM_DINS-AT: region=FRA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4</v>
      </c>
      <c r="C11" t="s">
        <v>5</v>
      </c>
      <c r="D11">
        <v>0</v>
      </c>
      <c r="E11" t="s">
        <v>6</v>
      </c>
      <c r="G11" t="s">
        <v>7</v>
      </c>
      <c r="H11" t="s">
        <v>5</v>
      </c>
      <c r="I11">
        <v>0.11090806582847462</v>
      </c>
      <c r="J11" t="s">
        <v>6</v>
      </c>
      <c r="L11" t="s">
        <v>8</v>
      </c>
      <c r="M11" t="s">
        <v>5</v>
      </c>
      <c r="N11">
        <v>9.5988664408253085E-2</v>
      </c>
      <c r="O11" t="s">
        <v>6</v>
      </c>
    </row>
    <row r="12" spans="2:15" x14ac:dyDescent="0.45">
      <c r="B12" t="s">
        <v>4</v>
      </c>
      <c r="C12" t="s">
        <v>9</v>
      </c>
      <c r="D12">
        <v>0</v>
      </c>
      <c r="E12" t="s">
        <v>6</v>
      </c>
      <c r="G12" t="s">
        <v>7</v>
      </c>
      <c r="H12" t="s">
        <v>9</v>
      </c>
      <c r="I12">
        <v>5.3466383966435369E-2</v>
      </c>
      <c r="J12" t="s">
        <v>6</v>
      </c>
      <c r="L12" t="s">
        <v>8</v>
      </c>
      <c r="M12" t="s">
        <v>9</v>
      </c>
      <c r="N12">
        <v>4.5226032382156077E-2</v>
      </c>
      <c r="O12" t="s">
        <v>6</v>
      </c>
    </row>
    <row r="13" spans="2:15" x14ac:dyDescent="0.45">
      <c r="B13" t="s">
        <v>4</v>
      </c>
      <c r="C13" t="s">
        <v>10</v>
      </c>
      <c r="D13">
        <v>2.7451443027187297E-2</v>
      </c>
      <c r="E13" t="s">
        <v>6</v>
      </c>
      <c r="G13" t="s">
        <v>7</v>
      </c>
      <c r="H13" t="s">
        <v>10</v>
      </c>
      <c r="I13">
        <v>3.8853018328836635E-2</v>
      </c>
      <c r="J13" t="s">
        <v>6</v>
      </c>
      <c r="L13" t="s">
        <v>8</v>
      </c>
      <c r="M13" t="s">
        <v>10</v>
      </c>
      <c r="N13">
        <v>3.2782245330675822E-2</v>
      </c>
      <c r="O13" t="s">
        <v>6</v>
      </c>
    </row>
    <row r="14" spans="2:15" x14ac:dyDescent="0.45">
      <c r="B14" t="s">
        <v>4</v>
      </c>
      <c r="C14" t="s">
        <v>11</v>
      </c>
      <c r="D14">
        <v>7.4173543364002531E-2</v>
      </c>
      <c r="E14" t="s">
        <v>6</v>
      </c>
      <c r="G14" t="s">
        <v>7</v>
      </c>
      <c r="H14" t="s">
        <v>11</v>
      </c>
      <c r="I14">
        <v>3.7013370891712902E-2</v>
      </c>
      <c r="J14" t="s">
        <v>6</v>
      </c>
      <c r="L14" t="s">
        <v>8</v>
      </c>
      <c r="M14" t="s">
        <v>11</v>
      </c>
      <c r="N14">
        <v>3.2566014508291746E-2</v>
      </c>
      <c r="O14" t="s">
        <v>6</v>
      </c>
    </row>
    <row r="15" spans="2:15" x14ac:dyDescent="0.45">
      <c r="B15" t="s">
        <v>4</v>
      </c>
      <c r="C15" t="s">
        <v>12</v>
      </c>
      <c r="D15">
        <v>4.8794448582772404E-2</v>
      </c>
      <c r="E15" t="s">
        <v>6</v>
      </c>
      <c r="G15" t="s">
        <v>7</v>
      </c>
      <c r="H15" t="s">
        <v>12</v>
      </c>
      <c r="I15">
        <v>3.9382223474122756E-2</v>
      </c>
      <c r="J15" t="s">
        <v>6</v>
      </c>
      <c r="L15" t="s">
        <v>8</v>
      </c>
      <c r="M15" t="s">
        <v>12</v>
      </c>
      <c r="N15">
        <v>3.3743481340648022E-2</v>
      </c>
      <c r="O15" t="s">
        <v>6</v>
      </c>
    </row>
    <row r="16" spans="2:15" x14ac:dyDescent="0.45">
      <c r="B16" t="s">
        <v>4</v>
      </c>
      <c r="C16" t="s">
        <v>13</v>
      </c>
      <c r="D16">
        <v>2.2965286223447933E-3</v>
      </c>
      <c r="E16" t="s">
        <v>6</v>
      </c>
      <c r="G16" t="s">
        <v>7</v>
      </c>
      <c r="H16" t="s">
        <v>13</v>
      </c>
      <c r="I16">
        <v>4.3183805553395953E-2</v>
      </c>
      <c r="J16" t="s">
        <v>6</v>
      </c>
      <c r="L16" t="s">
        <v>8</v>
      </c>
      <c r="M16" t="s">
        <v>13</v>
      </c>
      <c r="N16">
        <v>3.5115167864858188E-2</v>
      </c>
      <c r="O16" t="s">
        <v>6</v>
      </c>
    </row>
    <row r="17" spans="2:15" x14ac:dyDescent="0.45">
      <c r="B17" t="s">
        <v>4</v>
      </c>
      <c r="C17" t="s">
        <v>14</v>
      </c>
      <c r="D17">
        <v>0</v>
      </c>
      <c r="E17" t="s">
        <v>6</v>
      </c>
      <c r="G17" t="s">
        <v>7</v>
      </c>
      <c r="H17" t="s">
        <v>14</v>
      </c>
      <c r="I17">
        <v>8.0918882992017355E-2</v>
      </c>
      <c r="J17" t="s">
        <v>6</v>
      </c>
      <c r="L17" t="s">
        <v>8</v>
      </c>
      <c r="M17" t="s">
        <v>14</v>
      </c>
      <c r="N17">
        <v>8.4944020959568795E-2</v>
      </c>
      <c r="O17" t="s">
        <v>6</v>
      </c>
    </row>
    <row r="18" spans="2:15" x14ac:dyDescent="0.45">
      <c r="B18" t="s">
        <v>4</v>
      </c>
      <c r="C18" t="s">
        <v>15</v>
      </c>
      <c r="D18">
        <v>6.2611834629489223E-3</v>
      </c>
      <c r="E18" t="s">
        <v>6</v>
      </c>
      <c r="G18" t="s">
        <v>7</v>
      </c>
      <c r="H18" t="s">
        <v>15</v>
      </c>
      <c r="I18">
        <v>3.9431800130823549E-2</v>
      </c>
      <c r="J18" t="s">
        <v>6</v>
      </c>
      <c r="L18" t="s">
        <v>8</v>
      </c>
      <c r="M18" t="s">
        <v>15</v>
      </c>
      <c r="N18">
        <v>4.3461655686254624E-2</v>
      </c>
      <c r="O18" t="s">
        <v>6</v>
      </c>
    </row>
    <row r="19" spans="2:15" x14ac:dyDescent="0.45">
      <c r="B19" t="s">
        <v>4</v>
      </c>
      <c r="C19" t="s">
        <v>16</v>
      </c>
      <c r="D19">
        <v>6.9601410680898854E-2</v>
      </c>
      <c r="E19" t="s">
        <v>6</v>
      </c>
      <c r="G19" t="s">
        <v>7</v>
      </c>
      <c r="H19" t="s">
        <v>16</v>
      </c>
      <c r="I19">
        <v>2.636395357897061E-2</v>
      </c>
      <c r="J19" t="s">
        <v>6</v>
      </c>
      <c r="L19" t="s">
        <v>8</v>
      </c>
      <c r="M19" t="s">
        <v>16</v>
      </c>
      <c r="N19">
        <v>3.0703482846105367E-2</v>
      </c>
      <c r="O19" t="s">
        <v>6</v>
      </c>
    </row>
    <row r="20" spans="2:15" x14ac:dyDescent="0.45">
      <c r="B20" t="s">
        <v>4</v>
      </c>
      <c r="C20" t="s">
        <v>17</v>
      </c>
      <c r="D20">
        <v>0.11354425733080782</v>
      </c>
      <c r="E20" t="s">
        <v>6</v>
      </c>
      <c r="G20" t="s">
        <v>7</v>
      </c>
      <c r="H20" t="s">
        <v>17</v>
      </c>
      <c r="I20">
        <v>2.5882452808686059E-2</v>
      </c>
      <c r="J20" t="s">
        <v>6</v>
      </c>
      <c r="L20" t="s">
        <v>8</v>
      </c>
      <c r="M20" t="s">
        <v>17</v>
      </c>
      <c r="N20">
        <v>3.0373292201441925E-2</v>
      </c>
      <c r="O20" t="s">
        <v>6</v>
      </c>
    </row>
    <row r="21" spans="2:15" x14ac:dyDescent="0.45">
      <c r="B21" t="s">
        <v>4</v>
      </c>
      <c r="C21" t="s">
        <v>18</v>
      </c>
      <c r="D21">
        <v>8.3244012960531938E-2</v>
      </c>
      <c r="E21" t="s">
        <v>6</v>
      </c>
      <c r="G21" t="s">
        <v>7</v>
      </c>
      <c r="H21" t="s">
        <v>18</v>
      </c>
      <c r="I21">
        <v>2.85164257746547E-2</v>
      </c>
      <c r="J21" t="s">
        <v>6</v>
      </c>
      <c r="L21" t="s">
        <v>8</v>
      </c>
      <c r="M21" t="s">
        <v>18</v>
      </c>
      <c r="N21">
        <v>3.227495696436438E-2</v>
      </c>
      <c r="O21" t="s">
        <v>6</v>
      </c>
    </row>
    <row r="22" spans="2:15" x14ac:dyDescent="0.45">
      <c r="B22" t="s">
        <v>4</v>
      </c>
      <c r="C22" t="s">
        <v>19</v>
      </c>
      <c r="D22">
        <v>1.6316340920333763E-2</v>
      </c>
      <c r="E22" t="s">
        <v>6</v>
      </c>
      <c r="G22" t="s">
        <v>7</v>
      </c>
      <c r="H22" t="s">
        <v>19</v>
      </c>
      <c r="I22">
        <v>2.8556528783496946E-2</v>
      </c>
      <c r="J22" t="s">
        <v>6</v>
      </c>
      <c r="L22" t="s">
        <v>8</v>
      </c>
      <c r="M22" t="s">
        <v>19</v>
      </c>
      <c r="N22">
        <v>3.2991475961288902E-2</v>
      </c>
      <c r="O22" t="s">
        <v>6</v>
      </c>
    </row>
    <row r="23" spans="2:15" x14ac:dyDescent="0.45">
      <c r="B23" t="s">
        <v>4</v>
      </c>
      <c r="C23" t="s">
        <v>20</v>
      </c>
      <c r="D23">
        <v>4.5858834826621115E-5</v>
      </c>
      <c r="E23" t="s">
        <v>6</v>
      </c>
      <c r="G23" t="s">
        <v>7</v>
      </c>
      <c r="H23" t="s">
        <v>20</v>
      </c>
      <c r="I23">
        <v>5.5437882609954012E-2</v>
      </c>
      <c r="J23" t="s">
        <v>6</v>
      </c>
      <c r="L23" t="s">
        <v>8</v>
      </c>
      <c r="M23" t="s">
        <v>20</v>
      </c>
      <c r="N23">
        <v>6.7046673736552376E-2</v>
      </c>
      <c r="O23" t="s">
        <v>6</v>
      </c>
    </row>
    <row r="24" spans="2:15" x14ac:dyDescent="0.45">
      <c r="B24" t="s">
        <v>4</v>
      </c>
      <c r="C24" t="s">
        <v>21</v>
      </c>
      <c r="D24">
        <v>1.1767455860158772E-2</v>
      </c>
      <c r="E24" t="s">
        <v>6</v>
      </c>
      <c r="G24" t="s">
        <v>7</v>
      </c>
      <c r="H24" t="s">
        <v>21</v>
      </c>
      <c r="I24">
        <v>1.9732637305355266E-2</v>
      </c>
      <c r="J24" t="s">
        <v>6</v>
      </c>
      <c r="L24" t="s">
        <v>8</v>
      </c>
      <c r="M24" t="s">
        <v>21</v>
      </c>
      <c r="N24">
        <v>3.1813165656753142E-2</v>
      </c>
      <c r="O24" t="s">
        <v>6</v>
      </c>
    </row>
    <row r="25" spans="2:15" x14ac:dyDescent="0.45">
      <c r="B25" t="s">
        <v>4</v>
      </c>
      <c r="C25" t="s">
        <v>22</v>
      </c>
      <c r="D25">
        <v>9.0147181450268357E-2</v>
      </c>
      <c r="E25" t="s">
        <v>6</v>
      </c>
      <c r="G25" t="s">
        <v>7</v>
      </c>
      <c r="H25" t="s">
        <v>22</v>
      </c>
      <c r="I25">
        <v>1.2969689487552855E-2</v>
      </c>
      <c r="J25" t="s">
        <v>6</v>
      </c>
      <c r="L25" t="s">
        <v>8</v>
      </c>
      <c r="M25" t="s">
        <v>22</v>
      </c>
      <c r="N25">
        <v>2.1707499188722449E-2</v>
      </c>
      <c r="O25" t="s">
        <v>6</v>
      </c>
    </row>
    <row r="26" spans="2:15" x14ac:dyDescent="0.45">
      <c r="B26" t="s">
        <v>4</v>
      </c>
      <c r="C26" t="s">
        <v>23</v>
      </c>
      <c r="D26">
        <v>0.13376626425828753</v>
      </c>
      <c r="E26" t="s">
        <v>6</v>
      </c>
      <c r="G26" t="s">
        <v>7</v>
      </c>
      <c r="H26" t="s">
        <v>23</v>
      </c>
      <c r="I26">
        <v>1.5766060455766208E-2</v>
      </c>
      <c r="J26" t="s">
        <v>6</v>
      </c>
      <c r="L26" t="s">
        <v>8</v>
      </c>
      <c r="M26" t="s">
        <v>23</v>
      </c>
      <c r="N26">
        <v>2.1616298049232058E-2</v>
      </c>
      <c r="O26" t="s">
        <v>6</v>
      </c>
    </row>
    <row r="27" spans="2:15" x14ac:dyDescent="0.45">
      <c r="B27" t="s">
        <v>4</v>
      </c>
      <c r="C27" t="s">
        <v>24</v>
      </c>
      <c r="D27">
        <v>0.10332603041305069</v>
      </c>
      <c r="E27" t="s">
        <v>6</v>
      </c>
      <c r="G27" t="s">
        <v>7</v>
      </c>
      <c r="H27" t="s">
        <v>24</v>
      </c>
      <c r="I27">
        <v>1.8966064744753888E-2</v>
      </c>
      <c r="J27" t="s">
        <v>6</v>
      </c>
      <c r="L27" t="s">
        <v>8</v>
      </c>
      <c r="M27" t="s">
        <v>24</v>
      </c>
      <c r="N27">
        <v>2.4428667186906734E-2</v>
      </c>
      <c r="O27" t="s">
        <v>6</v>
      </c>
    </row>
    <row r="28" spans="2:15" x14ac:dyDescent="0.45">
      <c r="B28" t="s">
        <v>4</v>
      </c>
      <c r="C28" t="s">
        <v>25</v>
      </c>
      <c r="D28">
        <v>2.6919428445186768E-2</v>
      </c>
      <c r="E28" t="s">
        <v>6</v>
      </c>
      <c r="G28" t="s">
        <v>7</v>
      </c>
      <c r="H28" t="s">
        <v>25</v>
      </c>
      <c r="I28">
        <v>2.0897951293589245E-2</v>
      </c>
      <c r="J28" t="s">
        <v>6</v>
      </c>
      <c r="L28" t="s">
        <v>8</v>
      </c>
      <c r="M28" t="s">
        <v>25</v>
      </c>
      <c r="N28">
        <v>2.6453870168450098E-2</v>
      </c>
      <c r="O28" t="s">
        <v>6</v>
      </c>
    </row>
    <row r="29" spans="2:15" x14ac:dyDescent="0.45">
      <c r="B29" t="s">
        <v>4</v>
      </c>
      <c r="C29" t="s">
        <v>26</v>
      </c>
      <c r="D29">
        <v>0</v>
      </c>
      <c r="E29" t="s">
        <v>6</v>
      </c>
      <c r="G29" t="s">
        <v>7</v>
      </c>
      <c r="H29" t="s">
        <v>26</v>
      </c>
      <c r="I29">
        <v>0.10550183886919368</v>
      </c>
      <c r="J29" t="s">
        <v>6</v>
      </c>
      <c r="L29" t="s">
        <v>8</v>
      </c>
      <c r="M29" t="s">
        <v>26</v>
      </c>
      <c r="N29">
        <v>9.691815729027202E-2</v>
      </c>
      <c r="O29" t="s">
        <v>6</v>
      </c>
    </row>
    <row r="30" spans="2:15" x14ac:dyDescent="0.45">
      <c r="B30" t="s">
        <v>4</v>
      </c>
      <c r="C30" t="s">
        <v>27</v>
      </c>
      <c r="D30">
        <v>1.6155529225566569E-3</v>
      </c>
      <c r="E30" t="s">
        <v>6</v>
      </c>
      <c r="G30" t="s">
        <v>7</v>
      </c>
      <c r="H30" t="s">
        <v>27</v>
      </c>
      <c r="I30">
        <v>5.2458247809525994E-2</v>
      </c>
      <c r="J30" t="s">
        <v>6</v>
      </c>
      <c r="L30" t="s">
        <v>8</v>
      </c>
      <c r="M30" t="s">
        <v>27</v>
      </c>
      <c r="N30">
        <v>4.6795194697365421E-2</v>
      </c>
      <c r="O30" t="s">
        <v>6</v>
      </c>
    </row>
    <row r="31" spans="2:15" x14ac:dyDescent="0.45">
      <c r="B31" t="s">
        <v>4</v>
      </c>
      <c r="C31" t="s">
        <v>28</v>
      </c>
      <c r="D31">
        <v>4.745959665932907E-2</v>
      </c>
      <c r="E31" t="s">
        <v>6</v>
      </c>
      <c r="G31" t="s">
        <v>7</v>
      </c>
      <c r="H31" t="s">
        <v>28</v>
      </c>
      <c r="I31">
        <v>3.4013855833253524E-2</v>
      </c>
      <c r="J31" t="s">
        <v>6</v>
      </c>
      <c r="L31" t="s">
        <v>8</v>
      </c>
      <c r="M31" t="s">
        <v>28</v>
      </c>
      <c r="N31">
        <v>3.291283045800622E-2</v>
      </c>
      <c r="O31" t="s">
        <v>6</v>
      </c>
    </row>
    <row r="32" spans="2:15" x14ac:dyDescent="0.45">
      <c r="B32" t="s">
        <v>4</v>
      </c>
      <c r="C32" t="s">
        <v>29</v>
      </c>
      <c r="D32">
        <v>8.5713384600939954E-2</v>
      </c>
      <c r="E32" t="s">
        <v>6</v>
      </c>
      <c r="G32" t="s">
        <v>7</v>
      </c>
      <c r="H32" t="s">
        <v>29</v>
      </c>
      <c r="I32">
        <v>3.5612866122661679E-2</v>
      </c>
      <c r="J32" t="s">
        <v>6</v>
      </c>
      <c r="L32" t="s">
        <v>8</v>
      </c>
      <c r="M32" t="s">
        <v>29</v>
      </c>
      <c r="N32">
        <v>3.1888125330689E-2</v>
      </c>
      <c r="O32" t="s">
        <v>6</v>
      </c>
    </row>
    <row r="33" spans="2:15" x14ac:dyDescent="0.45">
      <c r="B33" t="s">
        <v>4</v>
      </c>
      <c r="C33" t="s">
        <v>30</v>
      </c>
      <c r="D33">
        <v>5.3144571065615154E-2</v>
      </c>
      <c r="E33" t="s">
        <v>6</v>
      </c>
      <c r="G33" t="s">
        <v>7</v>
      </c>
      <c r="H33" t="s">
        <v>30</v>
      </c>
      <c r="I33">
        <v>3.772492906125241E-2</v>
      </c>
      <c r="J33" t="s">
        <v>6</v>
      </c>
      <c r="L33" t="s">
        <v>8</v>
      </c>
      <c r="M33" t="s">
        <v>30</v>
      </c>
      <c r="N33">
        <v>3.3023107104139679E-2</v>
      </c>
      <c r="O33" t="s">
        <v>6</v>
      </c>
    </row>
    <row r="34" spans="2:15" x14ac:dyDescent="0.45">
      <c r="B34" t="s">
        <v>4</v>
      </c>
      <c r="C34" t="s">
        <v>31</v>
      </c>
      <c r="D34">
        <v>4.411506537956392E-3</v>
      </c>
      <c r="E34" t="s">
        <v>6</v>
      </c>
      <c r="G34" t="s">
        <v>7</v>
      </c>
      <c r="H34" t="s">
        <v>31</v>
      </c>
      <c r="I34">
        <v>3.8441064295510488E-2</v>
      </c>
      <c r="J34" t="s">
        <v>6</v>
      </c>
      <c r="L34" t="s">
        <v>8</v>
      </c>
      <c r="M34" t="s">
        <v>31</v>
      </c>
      <c r="N34">
        <v>3.5225920679005152E-2</v>
      </c>
      <c r="O34" t="s">
        <v>6</v>
      </c>
    </row>
    <row r="35" spans="2:15" x14ac:dyDescent="0.45">
      <c r="B35" t="s">
        <v>32</v>
      </c>
      <c r="C35" t="s">
        <v>5</v>
      </c>
      <c r="D35">
        <v>0</v>
      </c>
      <c r="E35" t="s">
        <v>6</v>
      </c>
      <c r="G35" t="s">
        <v>33</v>
      </c>
      <c r="H35" t="s">
        <v>5</v>
      </c>
      <c r="I35">
        <v>0.11298548406791863</v>
      </c>
      <c r="J35" t="s">
        <v>6</v>
      </c>
      <c r="L35" t="s">
        <v>34</v>
      </c>
      <c r="M35" t="s">
        <v>5</v>
      </c>
      <c r="N35">
        <v>7.6916719157235094E-2</v>
      </c>
      <c r="O35" t="s">
        <v>6</v>
      </c>
    </row>
    <row r="36" spans="2:15" x14ac:dyDescent="0.45">
      <c r="B36" t="s">
        <v>32</v>
      </c>
      <c r="C36" t="s">
        <v>9</v>
      </c>
      <c r="D36">
        <v>0</v>
      </c>
      <c r="E36" t="s">
        <v>6</v>
      </c>
      <c r="G36" t="s">
        <v>33</v>
      </c>
      <c r="H36" t="s">
        <v>9</v>
      </c>
      <c r="I36">
        <v>5.3879021966557819E-2</v>
      </c>
      <c r="J36" t="s">
        <v>6</v>
      </c>
      <c r="L36" t="s">
        <v>34</v>
      </c>
      <c r="M36" t="s">
        <v>9</v>
      </c>
      <c r="N36">
        <v>4.0310522232599968E-2</v>
      </c>
      <c r="O36" t="s">
        <v>6</v>
      </c>
    </row>
    <row r="37" spans="2:15" x14ac:dyDescent="0.45">
      <c r="B37" t="s">
        <v>32</v>
      </c>
      <c r="C37" t="s">
        <v>10</v>
      </c>
      <c r="D37">
        <v>2.9360335424492068E-2</v>
      </c>
      <c r="E37" t="s">
        <v>6</v>
      </c>
      <c r="G37" t="s">
        <v>33</v>
      </c>
      <c r="H37" t="s">
        <v>10</v>
      </c>
      <c r="I37">
        <v>3.6957229385840215E-2</v>
      </c>
      <c r="J37" t="s">
        <v>6</v>
      </c>
      <c r="L37" t="s">
        <v>34</v>
      </c>
      <c r="M37" t="s">
        <v>10</v>
      </c>
      <c r="N37">
        <v>2.9259894800841332E-2</v>
      </c>
      <c r="O37" t="s">
        <v>6</v>
      </c>
    </row>
    <row r="38" spans="2:15" x14ac:dyDescent="0.45">
      <c r="B38" t="s">
        <v>32</v>
      </c>
      <c r="C38" t="s">
        <v>11</v>
      </c>
      <c r="D38">
        <v>7.9811585496748508E-2</v>
      </c>
      <c r="E38" t="s">
        <v>6</v>
      </c>
      <c r="G38" t="s">
        <v>33</v>
      </c>
      <c r="H38" t="s">
        <v>11</v>
      </c>
      <c r="I38">
        <v>3.3092305217494525E-2</v>
      </c>
      <c r="J38" t="s">
        <v>6</v>
      </c>
      <c r="L38" t="s">
        <v>34</v>
      </c>
      <c r="M38" t="s">
        <v>11</v>
      </c>
      <c r="N38">
        <v>2.8382264821362961E-2</v>
      </c>
      <c r="O38" t="s">
        <v>6</v>
      </c>
    </row>
    <row r="39" spans="2:15" x14ac:dyDescent="0.45">
      <c r="B39" t="s">
        <v>32</v>
      </c>
      <c r="C39" t="s">
        <v>12</v>
      </c>
      <c r="D39">
        <v>5.3332910255060526E-2</v>
      </c>
      <c r="E39" t="s">
        <v>6</v>
      </c>
      <c r="G39" t="s">
        <v>33</v>
      </c>
      <c r="H39" t="s">
        <v>12</v>
      </c>
      <c r="I39">
        <v>3.6921398147423665E-2</v>
      </c>
      <c r="J39" t="s">
        <v>6</v>
      </c>
      <c r="L39" t="s">
        <v>34</v>
      </c>
      <c r="M39" t="s">
        <v>12</v>
      </c>
      <c r="N39">
        <v>2.7969172560508571E-2</v>
      </c>
      <c r="O39" t="s">
        <v>6</v>
      </c>
    </row>
    <row r="40" spans="2:15" x14ac:dyDescent="0.45">
      <c r="B40" t="s">
        <v>32</v>
      </c>
      <c r="C40" t="s">
        <v>13</v>
      </c>
      <c r="D40">
        <v>3.3460610519943125E-3</v>
      </c>
      <c r="E40" t="s">
        <v>6</v>
      </c>
      <c r="G40" t="s">
        <v>33</v>
      </c>
      <c r="H40" t="s">
        <v>13</v>
      </c>
      <c r="I40">
        <v>4.3719448863962423E-2</v>
      </c>
      <c r="J40" t="s">
        <v>6</v>
      </c>
      <c r="L40" t="s">
        <v>34</v>
      </c>
      <c r="M40" t="s">
        <v>13</v>
      </c>
      <c r="N40">
        <v>2.9418479340910877E-2</v>
      </c>
      <c r="O40" t="s">
        <v>6</v>
      </c>
    </row>
    <row r="41" spans="2:15" x14ac:dyDescent="0.45">
      <c r="B41" t="s">
        <v>32</v>
      </c>
      <c r="C41" t="s">
        <v>14</v>
      </c>
      <c r="D41">
        <v>2.1083676288857075E-6</v>
      </c>
      <c r="E41" t="s">
        <v>6</v>
      </c>
      <c r="G41" t="s">
        <v>33</v>
      </c>
      <c r="H41" t="s">
        <v>14</v>
      </c>
      <c r="I41">
        <v>7.6572966627133768E-2</v>
      </c>
      <c r="J41" t="s">
        <v>6</v>
      </c>
      <c r="L41" t="s">
        <v>34</v>
      </c>
      <c r="M41" t="s">
        <v>14</v>
      </c>
      <c r="N41">
        <v>0.11171891026926033</v>
      </c>
      <c r="O41" t="s">
        <v>6</v>
      </c>
    </row>
    <row r="42" spans="2:15" x14ac:dyDescent="0.45">
      <c r="B42" t="s">
        <v>32</v>
      </c>
      <c r="C42" t="s">
        <v>15</v>
      </c>
      <c r="D42">
        <v>5.0321378671415729E-3</v>
      </c>
      <c r="E42" t="s">
        <v>6</v>
      </c>
      <c r="G42" t="s">
        <v>33</v>
      </c>
      <c r="H42" t="s">
        <v>15</v>
      </c>
      <c r="I42">
        <v>3.5820995701221582E-2</v>
      </c>
      <c r="J42" t="s">
        <v>6</v>
      </c>
      <c r="L42" t="s">
        <v>34</v>
      </c>
      <c r="M42" t="s">
        <v>15</v>
      </c>
      <c r="N42">
        <v>5.9921727099398372E-2</v>
      </c>
      <c r="O42" t="s">
        <v>6</v>
      </c>
    </row>
    <row r="43" spans="2:15" x14ac:dyDescent="0.45">
      <c r="B43" t="s">
        <v>32</v>
      </c>
      <c r="C43" t="s">
        <v>16</v>
      </c>
      <c r="D43">
        <v>6.7121707016747897E-2</v>
      </c>
      <c r="E43" t="s">
        <v>6</v>
      </c>
      <c r="G43" t="s">
        <v>33</v>
      </c>
      <c r="H43" t="s">
        <v>16</v>
      </c>
      <c r="I43">
        <v>2.3923259456143396E-2</v>
      </c>
      <c r="J43" t="s">
        <v>6</v>
      </c>
      <c r="L43" t="s">
        <v>34</v>
      </c>
      <c r="M43" t="s">
        <v>16</v>
      </c>
      <c r="N43">
        <v>4.4239765279030938E-2</v>
      </c>
      <c r="O43" t="s">
        <v>6</v>
      </c>
    </row>
    <row r="44" spans="2:15" x14ac:dyDescent="0.45">
      <c r="B44" t="s">
        <v>32</v>
      </c>
      <c r="C44" t="s">
        <v>17</v>
      </c>
      <c r="D44">
        <v>0.11325326171882977</v>
      </c>
      <c r="E44" t="s">
        <v>6</v>
      </c>
      <c r="G44" t="s">
        <v>33</v>
      </c>
      <c r="H44" t="s">
        <v>17</v>
      </c>
      <c r="I44">
        <v>2.4354529661970579E-2</v>
      </c>
      <c r="J44" t="s">
        <v>6</v>
      </c>
      <c r="L44" t="s">
        <v>34</v>
      </c>
      <c r="M44" t="s">
        <v>17</v>
      </c>
      <c r="N44">
        <v>4.2438275958967826E-2</v>
      </c>
      <c r="O44" t="s">
        <v>6</v>
      </c>
    </row>
    <row r="45" spans="2:15" x14ac:dyDescent="0.45">
      <c r="B45" t="s">
        <v>32</v>
      </c>
      <c r="C45" t="s">
        <v>18</v>
      </c>
      <c r="D45">
        <v>8.7621977110976856E-2</v>
      </c>
      <c r="E45" t="s">
        <v>6</v>
      </c>
      <c r="G45" t="s">
        <v>33</v>
      </c>
      <c r="H45" t="s">
        <v>18</v>
      </c>
      <c r="I45">
        <v>2.7464713442066625E-2</v>
      </c>
      <c r="J45" t="s">
        <v>6</v>
      </c>
      <c r="L45" t="s">
        <v>34</v>
      </c>
      <c r="M45" t="s">
        <v>18</v>
      </c>
      <c r="N45">
        <v>4.1234670195272813E-2</v>
      </c>
      <c r="O45" t="s">
        <v>6</v>
      </c>
    </row>
    <row r="46" spans="2:15" x14ac:dyDescent="0.45">
      <c r="B46" t="s">
        <v>32</v>
      </c>
      <c r="C46" t="s">
        <v>19</v>
      </c>
      <c r="D46">
        <v>2.0054999542939829E-2</v>
      </c>
      <c r="E46" t="s">
        <v>6</v>
      </c>
      <c r="G46" t="s">
        <v>33</v>
      </c>
      <c r="H46" t="s">
        <v>19</v>
      </c>
      <c r="I46">
        <v>2.7470943764281608E-2</v>
      </c>
      <c r="J46" t="s">
        <v>6</v>
      </c>
      <c r="L46" t="s">
        <v>34</v>
      </c>
      <c r="M46" t="s">
        <v>19</v>
      </c>
      <c r="N46">
        <v>4.1770437004511274E-2</v>
      </c>
      <c r="O46" t="s">
        <v>6</v>
      </c>
    </row>
    <row r="47" spans="2:15" x14ac:dyDescent="0.45">
      <c r="B47" t="s">
        <v>32</v>
      </c>
      <c r="C47" t="s">
        <v>20</v>
      </c>
      <c r="D47">
        <v>1.0949722307960784E-4</v>
      </c>
      <c r="E47" t="s">
        <v>6</v>
      </c>
      <c r="G47" t="s">
        <v>33</v>
      </c>
      <c r="H47" t="s">
        <v>20</v>
      </c>
      <c r="I47">
        <v>5.5793920870751836E-2</v>
      </c>
      <c r="J47" t="s">
        <v>6</v>
      </c>
      <c r="L47" t="s">
        <v>34</v>
      </c>
      <c r="M47" t="s">
        <v>20</v>
      </c>
      <c r="N47">
        <v>3.4637839836692566E-2</v>
      </c>
      <c r="O47" t="s">
        <v>6</v>
      </c>
    </row>
    <row r="48" spans="2:15" x14ac:dyDescent="0.45">
      <c r="B48" t="s">
        <v>32</v>
      </c>
      <c r="C48" t="s">
        <v>21</v>
      </c>
      <c r="D48">
        <v>8.4838748496958785E-3</v>
      </c>
      <c r="E48" t="s">
        <v>6</v>
      </c>
      <c r="G48" t="s">
        <v>33</v>
      </c>
      <c r="H48" t="s">
        <v>21</v>
      </c>
      <c r="I48">
        <v>2.0635806710879352E-2</v>
      </c>
      <c r="J48" t="s">
        <v>6</v>
      </c>
      <c r="L48" t="s">
        <v>34</v>
      </c>
      <c r="M48" t="s">
        <v>21</v>
      </c>
      <c r="N48">
        <v>1.4388814055119112E-2</v>
      </c>
      <c r="O48" t="s">
        <v>6</v>
      </c>
    </row>
    <row r="49" spans="2:15" x14ac:dyDescent="0.45">
      <c r="B49" t="s">
        <v>32</v>
      </c>
      <c r="C49" t="s">
        <v>22</v>
      </c>
      <c r="D49">
        <v>7.9240927036181796E-2</v>
      </c>
      <c r="E49" t="s">
        <v>6</v>
      </c>
      <c r="G49" t="s">
        <v>33</v>
      </c>
      <c r="H49" t="s">
        <v>22</v>
      </c>
      <c r="I49">
        <v>1.3344617308930185E-2</v>
      </c>
      <c r="J49" t="s">
        <v>6</v>
      </c>
      <c r="L49" t="s">
        <v>34</v>
      </c>
      <c r="M49" t="s">
        <v>22</v>
      </c>
      <c r="N49">
        <v>8.7596491973379719E-3</v>
      </c>
      <c r="O49" t="s">
        <v>6</v>
      </c>
    </row>
    <row r="50" spans="2:15" x14ac:dyDescent="0.45">
      <c r="B50" t="s">
        <v>32</v>
      </c>
      <c r="C50" t="s">
        <v>23</v>
      </c>
      <c r="D50">
        <v>0.12396194395926774</v>
      </c>
      <c r="E50" t="s">
        <v>6</v>
      </c>
      <c r="G50" t="s">
        <v>33</v>
      </c>
      <c r="H50" t="s">
        <v>23</v>
      </c>
      <c r="I50">
        <v>1.5859766498016594E-2</v>
      </c>
      <c r="J50" t="s">
        <v>6</v>
      </c>
      <c r="L50" t="s">
        <v>34</v>
      </c>
      <c r="M50" t="s">
        <v>23</v>
      </c>
      <c r="N50">
        <v>1.2397300820865998E-2</v>
      </c>
      <c r="O50" t="s">
        <v>6</v>
      </c>
    </row>
    <row r="51" spans="2:15" x14ac:dyDescent="0.45">
      <c r="B51" t="s">
        <v>32</v>
      </c>
      <c r="C51" t="s">
        <v>24</v>
      </c>
      <c r="D51">
        <v>0.1009095107622968</v>
      </c>
      <c r="E51" t="s">
        <v>6</v>
      </c>
      <c r="G51" t="s">
        <v>33</v>
      </c>
      <c r="H51" t="s">
        <v>24</v>
      </c>
      <c r="I51">
        <v>1.8748722644092022E-2</v>
      </c>
      <c r="J51" t="s">
        <v>6</v>
      </c>
      <c r="L51" t="s">
        <v>34</v>
      </c>
      <c r="M51" t="s">
        <v>24</v>
      </c>
      <c r="N51">
        <v>1.6812591339904287E-2</v>
      </c>
      <c r="O51" t="s">
        <v>6</v>
      </c>
    </row>
    <row r="52" spans="2:15" x14ac:dyDescent="0.45">
      <c r="B52" t="s">
        <v>32</v>
      </c>
      <c r="C52" t="s">
        <v>25</v>
      </c>
      <c r="D52">
        <v>2.9804112975751734E-2</v>
      </c>
      <c r="E52" t="s">
        <v>6</v>
      </c>
      <c r="G52" t="s">
        <v>33</v>
      </c>
      <c r="H52" t="s">
        <v>25</v>
      </c>
      <c r="I52">
        <v>1.9627969026517627E-2</v>
      </c>
      <c r="J52" t="s">
        <v>6</v>
      </c>
      <c r="L52" t="s">
        <v>34</v>
      </c>
      <c r="M52" t="s">
        <v>25</v>
      </c>
      <c r="N52">
        <v>1.5455600179207309E-2</v>
      </c>
      <c r="O52" t="s">
        <v>6</v>
      </c>
    </row>
    <row r="53" spans="2:15" x14ac:dyDescent="0.45">
      <c r="B53" t="s">
        <v>32</v>
      </c>
      <c r="C53" t="s">
        <v>26</v>
      </c>
      <c r="D53">
        <v>0</v>
      </c>
      <c r="E53" t="s">
        <v>6</v>
      </c>
      <c r="G53" t="s">
        <v>33</v>
      </c>
      <c r="H53" t="s">
        <v>26</v>
      </c>
      <c r="I53">
        <v>0.11146345277674023</v>
      </c>
      <c r="J53" t="s">
        <v>6</v>
      </c>
      <c r="L53" t="s">
        <v>34</v>
      </c>
      <c r="M53" t="s">
        <v>26</v>
      </c>
      <c r="N53">
        <v>0.11266245854985489</v>
      </c>
      <c r="O53" t="s">
        <v>6</v>
      </c>
    </row>
    <row r="54" spans="2:15" x14ac:dyDescent="0.45">
      <c r="B54" t="s">
        <v>32</v>
      </c>
      <c r="C54" t="s">
        <v>27</v>
      </c>
      <c r="D54">
        <v>1.1258035663398182E-3</v>
      </c>
      <c r="E54" t="s">
        <v>6</v>
      </c>
      <c r="G54" t="s">
        <v>33</v>
      </c>
      <c r="H54" t="s">
        <v>27</v>
      </c>
      <c r="I54">
        <v>5.5147803083661448E-2</v>
      </c>
      <c r="J54" t="s">
        <v>6</v>
      </c>
      <c r="L54" t="s">
        <v>34</v>
      </c>
      <c r="M54" t="s">
        <v>27</v>
      </c>
      <c r="N54">
        <v>5.1387951022770585E-2</v>
      </c>
      <c r="O54" t="s">
        <v>6</v>
      </c>
    </row>
    <row r="55" spans="2:15" x14ac:dyDescent="0.45">
      <c r="B55" t="s">
        <v>32</v>
      </c>
      <c r="C55" t="s">
        <v>28</v>
      </c>
      <c r="D55">
        <v>4.4970693068623946E-2</v>
      </c>
      <c r="E55" t="s">
        <v>6</v>
      </c>
      <c r="G55" t="s">
        <v>33</v>
      </c>
      <c r="H55" t="s">
        <v>28</v>
      </c>
      <c r="I55">
        <v>3.8929232709638467E-2</v>
      </c>
      <c r="J55" t="s">
        <v>6</v>
      </c>
      <c r="L55" t="s">
        <v>34</v>
      </c>
      <c r="M55" t="s">
        <v>28</v>
      </c>
      <c r="N55">
        <v>3.770872912363829E-2</v>
      </c>
      <c r="O55" t="s">
        <v>6</v>
      </c>
    </row>
    <row r="56" spans="2:15" x14ac:dyDescent="0.45">
      <c r="B56" t="s">
        <v>32</v>
      </c>
      <c r="C56" t="s">
        <v>29</v>
      </c>
      <c r="D56">
        <v>8.6376839845479877E-2</v>
      </c>
      <c r="E56" t="s">
        <v>6</v>
      </c>
      <c r="G56" t="s">
        <v>33</v>
      </c>
      <c r="H56" t="s">
        <v>29</v>
      </c>
      <c r="I56">
        <v>3.8829888493494794E-2</v>
      </c>
      <c r="J56" t="s">
        <v>6</v>
      </c>
      <c r="L56" t="s">
        <v>34</v>
      </c>
      <c r="M56" t="s">
        <v>29</v>
      </c>
      <c r="N56">
        <v>3.8359522407951555E-2</v>
      </c>
      <c r="O56" t="s">
        <v>6</v>
      </c>
    </row>
    <row r="57" spans="2:15" x14ac:dyDescent="0.45">
      <c r="B57" t="s">
        <v>32</v>
      </c>
      <c r="C57" t="s">
        <v>30</v>
      </c>
      <c r="D57">
        <v>5.9725439677183849E-2</v>
      </c>
      <c r="E57" t="s">
        <v>6</v>
      </c>
      <c r="G57" t="s">
        <v>33</v>
      </c>
      <c r="H57" t="s">
        <v>30</v>
      </c>
      <c r="I57">
        <v>3.9184668144075854E-2</v>
      </c>
      <c r="J57" t="s">
        <v>6</v>
      </c>
      <c r="L57" t="s">
        <v>34</v>
      </c>
      <c r="M57" t="s">
        <v>30</v>
      </c>
      <c r="N57">
        <v>4.1444629880944342E-2</v>
      </c>
      <c r="O57" t="s">
        <v>6</v>
      </c>
    </row>
    <row r="58" spans="2:15" x14ac:dyDescent="0.45">
      <c r="B58" t="s">
        <v>32</v>
      </c>
      <c r="C58" t="s">
        <v>31</v>
      </c>
      <c r="D58">
        <v>6.3542731835365624E-3</v>
      </c>
      <c r="E58" t="s">
        <v>6</v>
      </c>
      <c r="G58" t="s">
        <v>33</v>
      </c>
      <c r="H58" t="s">
        <v>31</v>
      </c>
      <c r="I58">
        <v>3.9271855431184395E-2</v>
      </c>
      <c r="J58" t="s">
        <v>6</v>
      </c>
      <c r="L58" t="s">
        <v>34</v>
      </c>
      <c r="M58" t="s">
        <v>31</v>
      </c>
      <c r="N58">
        <v>4.2404074865814864E-2</v>
      </c>
      <c r="O58" t="s">
        <v>6</v>
      </c>
    </row>
    <row r="59" spans="2:15" x14ac:dyDescent="0.45">
      <c r="B59" t="s">
        <v>35</v>
      </c>
      <c r="C59" t="s">
        <v>5</v>
      </c>
      <c r="D59">
        <v>0</v>
      </c>
      <c r="E59" t="s">
        <v>6</v>
      </c>
      <c r="G59" t="s">
        <v>36</v>
      </c>
      <c r="H59" t="s">
        <v>5</v>
      </c>
      <c r="I59">
        <v>0.10487771139546451</v>
      </c>
      <c r="J59" t="s">
        <v>6</v>
      </c>
      <c r="L59" t="s">
        <v>37</v>
      </c>
      <c r="M59" t="s">
        <v>5</v>
      </c>
      <c r="N59">
        <v>8.1849795671589093E-2</v>
      </c>
      <c r="O59" t="s">
        <v>6</v>
      </c>
    </row>
    <row r="60" spans="2:15" x14ac:dyDescent="0.45">
      <c r="B60" t="s">
        <v>35</v>
      </c>
      <c r="C60" t="s">
        <v>9</v>
      </c>
      <c r="D60">
        <v>0</v>
      </c>
      <c r="E60" t="s">
        <v>6</v>
      </c>
      <c r="G60" t="s">
        <v>36</v>
      </c>
      <c r="H60" t="s">
        <v>9</v>
      </c>
      <c r="I60">
        <v>5.1677707051945951E-2</v>
      </c>
      <c r="J60" t="s">
        <v>6</v>
      </c>
      <c r="L60" t="s">
        <v>37</v>
      </c>
      <c r="M60" t="s">
        <v>9</v>
      </c>
      <c r="N60">
        <v>4.3407435937402712E-2</v>
      </c>
      <c r="O60" t="s">
        <v>6</v>
      </c>
    </row>
    <row r="61" spans="2:15" x14ac:dyDescent="0.45">
      <c r="B61" t="s">
        <v>35</v>
      </c>
      <c r="C61" t="s">
        <v>10</v>
      </c>
      <c r="D61">
        <v>2.7708337092259075E-2</v>
      </c>
      <c r="E61" t="s">
        <v>6</v>
      </c>
      <c r="G61" t="s">
        <v>36</v>
      </c>
      <c r="H61" t="s">
        <v>10</v>
      </c>
      <c r="I61">
        <v>3.534685382260102E-2</v>
      </c>
      <c r="J61" t="s">
        <v>6</v>
      </c>
      <c r="L61" t="s">
        <v>37</v>
      </c>
      <c r="M61" t="s">
        <v>10</v>
      </c>
      <c r="N61">
        <v>3.1669222792325619E-2</v>
      </c>
      <c r="O61" t="s">
        <v>6</v>
      </c>
    </row>
    <row r="62" spans="2:15" x14ac:dyDescent="0.45">
      <c r="B62" t="s">
        <v>35</v>
      </c>
      <c r="C62" t="s">
        <v>11</v>
      </c>
      <c r="D62">
        <v>7.5155508255918727E-2</v>
      </c>
      <c r="E62" t="s">
        <v>6</v>
      </c>
      <c r="G62" t="s">
        <v>36</v>
      </c>
      <c r="H62" t="s">
        <v>11</v>
      </c>
      <c r="I62">
        <v>3.1166570560888836E-2</v>
      </c>
      <c r="J62" t="s">
        <v>6</v>
      </c>
      <c r="L62" t="s">
        <v>37</v>
      </c>
      <c r="M62" t="s">
        <v>11</v>
      </c>
      <c r="N62">
        <v>3.1992939000087491E-2</v>
      </c>
      <c r="O62" t="s">
        <v>6</v>
      </c>
    </row>
    <row r="63" spans="2:15" x14ac:dyDescent="0.45">
      <c r="B63" t="s">
        <v>35</v>
      </c>
      <c r="C63" t="s">
        <v>12</v>
      </c>
      <c r="D63">
        <v>4.8989925390534803E-2</v>
      </c>
      <c r="E63" t="s">
        <v>6</v>
      </c>
      <c r="G63" t="s">
        <v>36</v>
      </c>
      <c r="H63" t="s">
        <v>12</v>
      </c>
      <c r="I63">
        <v>3.6182418989861853E-2</v>
      </c>
      <c r="J63" t="s">
        <v>6</v>
      </c>
      <c r="L63" t="s">
        <v>37</v>
      </c>
      <c r="M63" t="s">
        <v>12</v>
      </c>
      <c r="N63">
        <v>3.2879441686511815E-2</v>
      </c>
      <c r="O63" t="s">
        <v>6</v>
      </c>
    </row>
    <row r="64" spans="2:15" x14ac:dyDescent="0.45">
      <c r="B64" t="s">
        <v>35</v>
      </c>
      <c r="C64" t="s">
        <v>13</v>
      </c>
      <c r="D64">
        <v>2.7840651105186247E-3</v>
      </c>
      <c r="E64" t="s">
        <v>6</v>
      </c>
      <c r="G64" t="s">
        <v>36</v>
      </c>
      <c r="H64" t="s">
        <v>13</v>
      </c>
      <c r="I64">
        <v>4.163030628646653E-2</v>
      </c>
      <c r="J64" t="s">
        <v>6</v>
      </c>
      <c r="L64" t="s">
        <v>37</v>
      </c>
      <c r="M64" t="s">
        <v>13</v>
      </c>
      <c r="N64">
        <v>3.2261220365154122E-2</v>
      </c>
      <c r="O64" t="s">
        <v>6</v>
      </c>
    </row>
    <row r="65" spans="2:15" x14ac:dyDescent="0.45">
      <c r="B65" t="s">
        <v>35</v>
      </c>
      <c r="C65" t="s">
        <v>14</v>
      </c>
      <c r="D65">
        <v>5.7133681182392552E-7</v>
      </c>
      <c r="E65" t="s">
        <v>6</v>
      </c>
      <c r="G65" t="s">
        <v>36</v>
      </c>
      <c r="H65" t="s">
        <v>14</v>
      </c>
      <c r="I65">
        <v>8.470658417371961E-2</v>
      </c>
      <c r="J65" t="s">
        <v>6</v>
      </c>
      <c r="L65" t="s">
        <v>37</v>
      </c>
      <c r="M65" t="s">
        <v>14</v>
      </c>
      <c r="N65">
        <v>0.10538222216015278</v>
      </c>
      <c r="O65" t="s">
        <v>6</v>
      </c>
    </row>
    <row r="66" spans="2:15" x14ac:dyDescent="0.45">
      <c r="B66" t="s">
        <v>35</v>
      </c>
      <c r="C66" t="s">
        <v>15</v>
      </c>
      <c r="D66">
        <v>5.8391378113700279E-3</v>
      </c>
      <c r="E66" t="s">
        <v>6</v>
      </c>
      <c r="G66" t="s">
        <v>36</v>
      </c>
      <c r="H66" t="s">
        <v>15</v>
      </c>
      <c r="I66">
        <v>3.9451208143560151E-2</v>
      </c>
      <c r="J66" t="s">
        <v>6</v>
      </c>
      <c r="L66" t="s">
        <v>37</v>
      </c>
      <c r="M66" t="s">
        <v>15</v>
      </c>
      <c r="N66">
        <v>5.5532859444503833E-2</v>
      </c>
      <c r="O66" t="s">
        <v>6</v>
      </c>
    </row>
    <row r="67" spans="2:15" x14ac:dyDescent="0.45">
      <c r="B67" t="s">
        <v>35</v>
      </c>
      <c r="C67" t="s">
        <v>16</v>
      </c>
      <c r="D67">
        <v>7.0479719469111274E-2</v>
      </c>
      <c r="E67" t="s">
        <v>6</v>
      </c>
      <c r="G67" t="s">
        <v>36</v>
      </c>
      <c r="H67" t="s">
        <v>16</v>
      </c>
      <c r="I67">
        <v>2.3601929065114241E-2</v>
      </c>
      <c r="J67" t="s">
        <v>6</v>
      </c>
      <c r="L67" t="s">
        <v>37</v>
      </c>
      <c r="M67" t="s">
        <v>16</v>
      </c>
      <c r="N67">
        <v>3.9729963064844595E-2</v>
      </c>
      <c r="O67" t="s">
        <v>6</v>
      </c>
    </row>
    <row r="68" spans="2:15" x14ac:dyDescent="0.45">
      <c r="B68" t="s">
        <v>35</v>
      </c>
      <c r="C68" t="s">
        <v>17</v>
      </c>
      <c r="D68">
        <v>0.11570816678477223</v>
      </c>
      <c r="E68" t="s">
        <v>6</v>
      </c>
      <c r="G68" t="s">
        <v>36</v>
      </c>
      <c r="H68" t="s">
        <v>17</v>
      </c>
      <c r="I68">
        <v>2.3028003928294859E-2</v>
      </c>
      <c r="J68" t="s">
        <v>6</v>
      </c>
      <c r="L68" t="s">
        <v>37</v>
      </c>
      <c r="M68" t="s">
        <v>17</v>
      </c>
      <c r="N68">
        <v>3.9910469192386756E-2</v>
      </c>
      <c r="O68" t="s">
        <v>6</v>
      </c>
    </row>
    <row r="69" spans="2:15" x14ac:dyDescent="0.45">
      <c r="B69" t="s">
        <v>35</v>
      </c>
      <c r="C69" t="s">
        <v>18</v>
      </c>
      <c r="D69">
        <v>8.5044942484949551E-2</v>
      </c>
      <c r="E69" t="s">
        <v>6</v>
      </c>
      <c r="G69" t="s">
        <v>36</v>
      </c>
      <c r="H69" t="s">
        <v>18</v>
      </c>
      <c r="I69">
        <v>2.6181709887206479E-2</v>
      </c>
      <c r="J69" t="s">
        <v>6</v>
      </c>
      <c r="L69" t="s">
        <v>37</v>
      </c>
      <c r="M69" t="s">
        <v>18</v>
      </c>
      <c r="N69">
        <v>4.2425641720150647E-2</v>
      </c>
      <c r="O69" t="s">
        <v>6</v>
      </c>
    </row>
    <row r="70" spans="2:15" x14ac:dyDescent="0.45">
      <c r="B70" t="s">
        <v>35</v>
      </c>
      <c r="C70" t="s">
        <v>19</v>
      </c>
      <c r="D70">
        <v>1.8193377129485891E-2</v>
      </c>
      <c r="E70" t="s">
        <v>6</v>
      </c>
      <c r="G70" t="s">
        <v>36</v>
      </c>
      <c r="H70" t="s">
        <v>19</v>
      </c>
      <c r="I70">
        <v>2.8401879075563831E-2</v>
      </c>
      <c r="J70" t="s">
        <v>6</v>
      </c>
      <c r="L70" t="s">
        <v>37</v>
      </c>
      <c r="M70" t="s">
        <v>19</v>
      </c>
      <c r="N70">
        <v>4.2712179702751776E-2</v>
      </c>
      <c r="O70" t="s">
        <v>6</v>
      </c>
    </row>
    <row r="71" spans="2:15" x14ac:dyDescent="0.45">
      <c r="B71" t="s">
        <v>35</v>
      </c>
      <c r="C71" t="s">
        <v>20</v>
      </c>
      <c r="D71">
        <v>9.4242195971595407E-5</v>
      </c>
      <c r="E71" t="s">
        <v>6</v>
      </c>
      <c r="G71" t="s">
        <v>36</v>
      </c>
      <c r="H71" t="s">
        <v>20</v>
      </c>
      <c r="I71">
        <v>6.3819512999945371E-2</v>
      </c>
      <c r="J71" t="s">
        <v>6</v>
      </c>
      <c r="L71" t="s">
        <v>37</v>
      </c>
      <c r="M71" t="s">
        <v>20</v>
      </c>
      <c r="N71">
        <v>3.7746575018698381E-2</v>
      </c>
      <c r="O71" t="s">
        <v>6</v>
      </c>
    </row>
    <row r="72" spans="2:15" x14ac:dyDescent="0.45">
      <c r="B72" t="s">
        <v>35</v>
      </c>
      <c r="C72" t="s">
        <v>21</v>
      </c>
      <c r="D72">
        <v>1.0194312686624995E-2</v>
      </c>
      <c r="E72" t="s">
        <v>6</v>
      </c>
      <c r="G72" t="s">
        <v>36</v>
      </c>
      <c r="H72" t="s">
        <v>21</v>
      </c>
      <c r="I72">
        <v>2.4536278157183955E-2</v>
      </c>
      <c r="J72" t="s">
        <v>6</v>
      </c>
      <c r="L72" t="s">
        <v>37</v>
      </c>
      <c r="M72" t="s">
        <v>21</v>
      </c>
      <c r="N72">
        <v>1.8344729063991202E-2</v>
      </c>
      <c r="O72" t="s">
        <v>6</v>
      </c>
    </row>
    <row r="73" spans="2:15" x14ac:dyDescent="0.45">
      <c r="B73" t="s">
        <v>35</v>
      </c>
      <c r="C73" t="s">
        <v>22</v>
      </c>
      <c r="D73">
        <v>8.4763994080480243E-2</v>
      </c>
      <c r="E73" t="s">
        <v>6</v>
      </c>
      <c r="G73" t="s">
        <v>36</v>
      </c>
      <c r="H73" t="s">
        <v>22</v>
      </c>
      <c r="I73">
        <v>1.4019397061917672E-2</v>
      </c>
      <c r="J73" t="s">
        <v>6</v>
      </c>
      <c r="L73" t="s">
        <v>37</v>
      </c>
      <c r="M73" t="s">
        <v>22</v>
      </c>
      <c r="N73">
        <v>1.1178938722140982E-2</v>
      </c>
      <c r="O73" t="s">
        <v>6</v>
      </c>
    </row>
    <row r="74" spans="2:15" x14ac:dyDescent="0.45">
      <c r="B74" t="s">
        <v>35</v>
      </c>
      <c r="C74" t="s">
        <v>23</v>
      </c>
      <c r="D74">
        <v>0.12948144100246681</v>
      </c>
      <c r="E74" t="s">
        <v>6</v>
      </c>
      <c r="G74" t="s">
        <v>36</v>
      </c>
      <c r="H74" t="s">
        <v>23</v>
      </c>
      <c r="I74">
        <v>1.590727110651657E-2</v>
      </c>
      <c r="J74" t="s">
        <v>6</v>
      </c>
      <c r="L74" t="s">
        <v>37</v>
      </c>
      <c r="M74" t="s">
        <v>23</v>
      </c>
      <c r="N74">
        <v>1.3082905280960991E-2</v>
      </c>
      <c r="O74" t="s">
        <v>6</v>
      </c>
    </row>
    <row r="75" spans="2:15" x14ac:dyDescent="0.45">
      <c r="B75" t="s">
        <v>35</v>
      </c>
      <c r="C75" t="s">
        <v>24</v>
      </c>
      <c r="D75">
        <v>0.10256708535562176</v>
      </c>
      <c r="E75" t="s">
        <v>6</v>
      </c>
      <c r="G75" t="s">
        <v>36</v>
      </c>
      <c r="H75" t="s">
        <v>24</v>
      </c>
      <c r="I75">
        <v>1.9529527620577605E-2</v>
      </c>
      <c r="J75" t="s">
        <v>6</v>
      </c>
      <c r="L75" t="s">
        <v>37</v>
      </c>
      <c r="M75" t="s">
        <v>24</v>
      </c>
      <c r="N75">
        <v>1.6178343942047722E-2</v>
      </c>
      <c r="O75" t="s">
        <v>6</v>
      </c>
    </row>
    <row r="76" spans="2:15" x14ac:dyDescent="0.45">
      <c r="B76" t="s">
        <v>35</v>
      </c>
      <c r="C76" t="s">
        <v>25</v>
      </c>
      <c r="D76">
        <v>2.9100693997475079E-2</v>
      </c>
      <c r="E76" t="s">
        <v>6</v>
      </c>
      <c r="G76" t="s">
        <v>36</v>
      </c>
      <c r="H76" t="s">
        <v>25</v>
      </c>
      <c r="I76">
        <v>2.0910061080912541E-2</v>
      </c>
      <c r="J76" t="s">
        <v>6</v>
      </c>
      <c r="L76" t="s">
        <v>37</v>
      </c>
      <c r="M76" t="s">
        <v>25</v>
      </c>
      <c r="N76">
        <v>1.6512374856760815E-2</v>
      </c>
      <c r="O76" t="s">
        <v>6</v>
      </c>
    </row>
    <row r="77" spans="2:15" x14ac:dyDescent="0.45">
      <c r="B77" t="s">
        <v>35</v>
      </c>
      <c r="C77" t="s">
        <v>26</v>
      </c>
      <c r="D77">
        <v>0</v>
      </c>
      <c r="E77" t="s">
        <v>6</v>
      </c>
      <c r="G77" t="s">
        <v>36</v>
      </c>
      <c r="H77" t="s">
        <v>26</v>
      </c>
      <c r="I77">
        <v>0.11288951216354014</v>
      </c>
      <c r="J77" t="s">
        <v>6</v>
      </c>
      <c r="L77" t="s">
        <v>37</v>
      </c>
      <c r="M77" t="s">
        <v>26</v>
      </c>
      <c r="N77">
        <v>0.10837275307704637</v>
      </c>
      <c r="O77" t="s">
        <v>6</v>
      </c>
    </row>
    <row r="78" spans="2:15" x14ac:dyDescent="0.45">
      <c r="B78" t="s">
        <v>35</v>
      </c>
      <c r="C78" t="s">
        <v>27</v>
      </c>
      <c r="D78">
        <v>1.3393235882543893E-3</v>
      </c>
      <c r="E78" t="s">
        <v>6</v>
      </c>
      <c r="G78" t="s">
        <v>36</v>
      </c>
      <c r="H78" t="s">
        <v>27</v>
      </c>
      <c r="I78">
        <v>5.3612229199510454E-2</v>
      </c>
      <c r="J78" t="s">
        <v>6</v>
      </c>
      <c r="L78" t="s">
        <v>37</v>
      </c>
      <c r="M78" t="s">
        <v>27</v>
      </c>
      <c r="N78">
        <v>4.9995442932606701E-2</v>
      </c>
      <c r="O78" t="s">
        <v>6</v>
      </c>
    </row>
    <row r="79" spans="2:15" x14ac:dyDescent="0.45">
      <c r="B79" t="s">
        <v>35</v>
      </c>
      <c r="C79" t="s">
        <v>28</v>
      </c>
      <c r="D79">
        <v>4.5452715340055135E-2</v>
      </c>
      <c r="E79" t="s">
        <v>6</v>
      </c>
      <c r="G79" t="s">
        <v>36</v>
      </c>
      <c r="H79" t="s">
        <v>28</v>
      </c>
      <c r="I79">
        <v>3.6460483384021421E-2</v>
      </c>
      <c r="J79" t="s">
        <v>6</v>
      </c>
      <c r="L79" t="s">
        <v>37</v>
      </c>
      <c r="M79" t="s">
        <v>28</v>
      </c>
      <c r="N79">
        <v>3.481937193619266E-2</v>
      </c>
      <c r="O79" t="s">
        <v>6</v>
      </c>
    </row>
    <row r="80" spans="2:15" x14ac:dyDescent="0.45">
      <c r="B80" t="s">
        <v>35</v>
      </c>
      <c r="C80" t="s">
        <v>29</v>
      </c>
      <c r="D80">
        <v>8.6152135564474111E-2</v>
      </c>
      <c r="E80" t="s">
        <v>6</v>
      </c>
      <c r="G80" t="s">
        <v>36</v>
      </c>
      <c r="H80" t="s">
        <v>29</v>
      </c>
      <c r="I80">
        <v>3.6431686856990934E-2</v>
      </c>
      <c r="J80" t="s">
        <v>6</v>
      </c>
      <c r="L80" t="s">
        <v>37</v>
      </c>
      <c r="M80" t="s">
        <v>29</v>
      </c>
      <c r="N80">
        <v>3.4356401107690879E-2</v>
      </c>
      <c r="O80" t="s">
        <v>6</v>
      </c>
    </row>
    <row r="81" spans="2:15" x14ac:dyDescent="0.45">
      <c r="B81" t="s">
        <v>35</v>
      </c>
      <c r="C81" t="s">
        <v>30</v>
      </c>
      <c r="D81">
        <v>5.5657655078734089E-2</v>
      </c>
      <c r="E81" t="s">
        <v>6</v>
      </c>
      <c r="G81" t="s">
        <v>36</v>
      </c>
      <c r="H81" t="s">
        <v>30</v>
      </c>
      <c r="I81">
        <v>3.5995903282803818E-2</v>
      </c>
      <c r="J81" t="s">
        <v>6</v>
      </c>
      <c r="L81" t="s">
        <v>37</v>
      </c>
      <c r="M81" t="s">
        <v>30</v>
      </c>
      <c r="N81">
        <v>3.874209467515323E-2</v>
      </c>
      <c r="O81" t="s">
        <v>6</v>
      </c>
    </row>
    <row r="82" spans="2:15" x14ac:dyDescent="0.45">
      <c r="B82" t="s">
        <v>35</v>
      </c>
      <c r="C82" t="s">
        <v>31</v>
      </c>
      <c r="D82">
        <v>5.2926502441135092E-3</v>
      </c>
      <c r="E82" t="s">
        <v>6</v>
      </c>
      <c r="G82" t="s">
        <v>36</v>
      </c>
      <c r="H82" t="s">
        <v>31</v>
      </c>
      <c r="I82">
        <v>3.9635254705390935E-2</v>
      </c>
      <c r="J82" t="s">
        <v>6</v>
      </c>
      <c r="L82" t="s">
        <v>37</v>
      </c>
      <c r="M82" t="s">
        <v>31</v>
      </c>
      <c r="N82">
        <v>4.0916678648845371E-2</v>
      </c>
      <c r="O82" t="s">
        <v>6</v>
      </c>
    </row>
    <row r="83" spans="2:15" x14ac:dyDescent="0.45">
      <c r="B83" t="s">
        <v>38</v>
      </c>
      <c r="C83" t="s">
        <v>5</v>
      </c>
      <c r="D83">
        <v>0</v>
      </c>
      <c r="E83" t="s">
        <v>6</v>
      </c>
      <c r="G83" t="s">
        <v>39</v>
      </c>
      <c r="H83" t="s">
        <v>5</v>
      </c>
      <c r="I83">
        <v>9.6572350313076594E-2</v>
      </c>
      <c r="J83" t="s">
        <v>6</v>
      </c>
      <c r="L83" t="s">
        <v>40</v>
      </c>
      <c r="M83" t="s">
        <v>5</v>
      </c>
      <c r="N83">
        <v>8.0203379970408953E-2</v>
      </c>
      <c r="O83" t="s">
        <v>6</v>
      </c>
    </row>
    <row r="84" spans="2:15" x14ac:dyDescent="0.45">
      <c r="B84" t="s">
        <v>38</v>
      </c>
      <c r="C84" t="s">
        <v>9</v>
      </c>
      <c r="D84">
        <v>0</v>
      </c>
      <c r="E84" t="s">
        <v>6</v>
      </c>
      <c r="G84" t="s">
        <v>39</v>
      </c>
      <c r="H84" t="s">
        <v>9</v>
      </c>
      <c r="I84">
        <v>4.7961755448884383E-2</v>
      </c>
      <c r="J84" t="s">
        <v>6</v>
      </c>
      <c r="L84" t="s">
        <v>40</v>
      </c>
      <c r="M84" t="s">
        <v>9</v>
      </c>
      <c r="N84">
        <v>4.4843518363149142E-2</v>
      </c>
      <c r="O84" t="s">
        <v>6</v>
      </c>
    </row>
    <row r="85" spans="2:15" x14ac:dyDescent="0.45">
      <c r="B85" t="s">
        <v>38</v>
      </c>
      <c r="C85" t="s">
        <v>10</v>
      </c>
      <c r="D85">
        <v>2.4407751989092931E-2</v>
      </c>
      <c r="E85" t="s">
        <v>6</v>
      </c>
      <c r="G85" t="s">
        <v>39</v>
      </c>
      <c r="H85" t="s">
        <v>10</v>
      </c>
      <c r="I85">
        <v>3.5100038493169727E-2</v>
      </c>
      <c r="J85" t="s">
        <v>6</v>
      </c>
      <c r="L85" t="s">
        <v>40</v>
      </c>
      <c r="M85" t="s">
        <v>10</v>
      </c>
      <c r="N85">
        <v>3.3025590669487577E-2</v>
      </c>
      <c r="O85" t="s">
        <v>6</v>
      </c>
    </row>
    <row r="86" spans="2:15" x14ac:dyDescent="0.45">
      <c r="B86" t="s">
        <v>38</v>
      </c>
      <c r="C86" t="s">
        <v>11</v>
      </c>
      <c r="D86">
        <v>7.0385230192105838E-2</v>
      </c>
      <c r="E86" t="s">
        <v>6</v>
      </c>
      <c r="G86" t="s">
        <v>39</v>
      </c>
      <c r="H86" t="s">
        <v>11</v>
      </c>
      <c r="I86">
        <v>3.4685364534728778E-2</v>
      </c>
      <c r="J86" t="s">
        <v>6</v>
      </c>
      <c r="L86" t="s">
        <v>40</v>
      </c>
      <c r="M86" t="s">
        <v>11</v>
      </c>
      <c r="N86">
        <v>3.4497963289809697E-2</v>
      </c>
      <c r="O86" t="s">
        <v>6</v>
      </c>
    </row>
    <row r="87" spans="2:15" x14ac:dyDescent="0.45">
      <c r="B87" t="s">
        <v>38</v>
      </c>
      <c r="C87" t="s">
        <v>12</v>
      </c>
      <c r="D87">
        <v>4.7257464627381049E-2</v>
      </c>
      <c r="E87" t="s">
        <v>6</v>
      </c>
      <c r="G87" t="s">
        <v>39</v>
      </c>
      <c r="H87" t="s">
        <v>12</v>
      </c>
      <c r="I87">
        <v>3.4936044796398079E-2</v>
      </c>
      <c r="J87" t="s">
        <v>6</v>
      </c>
      <c r="L87" t="s">
        <v>40</v>
      </c>
      <c r="M87" t="s">
        <v>12</v>
      </c>
      <c r="N87">
        <v>3.5083652140159807E-2</v>
      </c>
      <c r="O87" t="s">
        <v>6</v>
      </c>
    </row>
    <row r="88" spans="2:15" x14ac:dyDescent="0.45">
      <c r="B88" t="s">
        <v>38</v>
      </c>
      <c r="C88" t="s">
        <v>13</v>
      </c>
      <c r="D88">
        <v>2.6989725696276541E-3</v>
      </c>
      <c r="E88" t="s">
        <v>6</v>
      </c>
      <c r="G88" t="s">
        <v>39</v>
      </c>
      <c r="H88" t="s">
        <v>13</v>
      </c>
      <c r="I88">
        <v>3.5947647189282207E-2</v>
      </c>
      <c r="J88" t="s">
        <v>6</v>
      </c>
      <c r="L88" t="s">
        <v>40</v>
      </c>
      <c r="M88" t="s">
        <v>13</v>
      </c>
      <c r="N88">
        <v>3.3042027787626119E-2</v>
      </c>
      <c r="O88" t="s">
        <v>6</v>
      </c>
    </row>
    <row r="89" spans="2:15" x14ac:dyDescent="0.45">
      <c r="B89" t="s">
        <v>38</v>
      </c>
      <c r="C89" t="s">
        <v>14</v>
      </c>
      <c r="D89">
        <v>1.185480841312349E-5</v>
      </c>
      <c r="E89" t="s">
        <v>6</v>
      </c>
      <c r="G89" t="s">
        <v>39</v>
      </c>
      <c r="H89" t="s">
        <v>14</v>
      </c>
      <c r="I89">
        <v>8.9892767989828121E-2</v>
      </c>
      <c r="J89" t="s">
        <v>6</v>
      </c>
      <c r="L89" t="s">
        <v>40</v>
      </c>
      <c r="M89" t="s">
        <v>14</v>
      </c>
      <c r="N89">
        <v>0.1051875985961887</v>
      </c>
      <c r="O89" t="s">
        <v>6</v>
      </c>
    </row>
    <row r="90" spans="2:15" x14ac:dyDescent="0.45">
      <c r="B90" t="s">
        <v>38</v>
      </c>
      <c r="C90" t="s">
        <v>15</v>
      </c>
      <c r="D90">
        <v>5.6694248843467878E-3</v>
      </c>
      <c r="E90" t="s">
        <v>6</v>
      </c>
      <c r="G90" t="s">
        <v>39</v>
      </c>
      <c r="H90" t="s">
        <v>15</v>
      </c>
      <c r="I90">
        <v>4.3478250028223246E-2</v>
      </c>
      <c r="J90" t="s">
        <v>6</v>
      </c>
      <c r="L90" t="s">
        <v>40</v>
      </c>
      <c r="M90" t="s">
        <v>15</v>
      </c>
      <c r="N90">
        <v>5.0153156720757319E-2</v>
      </c>
      <c r="O90" t="s">
        <v>6</v>
      </c>
    </row>
    <row r="91" spans="2:15" x14ac:dyDescent="0.45">
      <c r="B91" t="s">
        <v>38</v>
      </c>
      <c r="C91" t="s">
        <v>16</v>
      </c>
      <c r="D91">
        <v>7.0584398095942483E-2</v>
      </c>
      <c r="E91" t="s">
        <v>6</v>
      </c>
      <c r="G91" t="s">
        <v>39</v>
      </c>
      <c r="H91" t="s">
        <v>16</v>
      </c>
      <c r="I91">
        <v>3.1691905316373337E-2</v>
      </c>
      <c r="J91" t="s">
        <v>6</v>
      </c>
      <c r="L91" t="s">
        <v>40</v>
      </c>
      <c r="M91" t="s">
        <v>16</v>
      </c>
      <c r="N91">
        <v>3.7150733440828955E-2</v>
      </c>
      <c r="O91" t="s">
        <v>6</v>
      </c>
    </row>
    <row r="92" spans="2:15" x14ac:dyDescent="0.45">
      <c r="B92" t="s">
        <v>38</v>
      </c>
      <c r="C92" t="s">
        <v>17</v>
      </c>
      <c r="D92">
        <v>0.11459169836421715</v>
      </c>
      <c r="E92" t="s">
        <v>6</v>
      </c>
      <c r="G92" t="s">
        <v>39</v>
      </c>
      <c r="H92" t="s">
        <v>17</v>
      </c>
      <c r="I92">
        <v>3.1402078386544928E-2</v>
      </c>
      <c r="J92" t="s">
        <v>6</v>
      </c>
      <c r="L92" t="s">
        <v>40</v>
      </c>
      <c r="M92" t="s">
        <v>17</v>
      </c>
      <c r="N92">
        <v>3.96664521881454E-2</v>
      </c>
      <c r="O92" t="s">
        <v>6</v>
      </c>
    </row>
    <row r="93" spans="2:15" x14ac:dyDescent="0.45">
      <c r="B93" t="s">
        <v>38</v>
      </c>
      <c r="C93" t="s">
        <v>18</v>
      </c>
      <c r="D93">
        <v>8.6262990377083945E-2</v>
      </c>
      <c r="E93" t="s">
        <v>6</v>
      </c>
      <c r="G93" t="s">
        <v>39</v>
      </c>
      <c r="H93" t="s">
        <v>18</v>
      </c>
      <c r="I93">
        <v>3.368829212394777E-2</v>
      </c>
      <c r="J93" t="s">
        <v>6</v>
      </c>
      <c r="L93" t="s">
        <v>40</v>
      </c>
      <c r="M93" t="s">
        <v>18</v>
      </c>
      <c r="N93">
        <v>3.9104749433842054E-2</v>
      </c>
      <c r="O93" t="s">
        <v>6</v>
      </c>
    </row>
    <row r="94" spans="2:15" x14ac:dyDescent="0.45">
      <c r="B94" t="s">
        <v>38</v>
      </c>
      <c r="C94" t="s">
        <v>19</v>
      </c>
      <c r="D94">
        <v>1.9717636402538565E-2</v>
      </c>
      <c r="E94" t="s">
        <v>6</v>
      </c>
      <c r="G94" t="s">
        <v>39</v>
      </c>
      <c r="H94" t="s">
        <v>19</v>
      </c>
      <c r="I94">
        <v>3.4637025452544649E-2</v>
      </c>
      <c r="J94" t="s">
        <v>6</v>
      </c>
      <c r="L94" t="s">
        <v>40</v>
      </c>
      <c r="M94" t="s">
        <v>19</v>
      </c>
      <c r="N94">
        <v>3.8770549117296986E-2</v>
      </c>
      <c r="O94" t="s">
        <v>6</v>
      </c>
    </row>
    <row r="95" spans="2:15" x14ac:dyDescent="0.45">
      <c r="B95" t="s">
        <v>38</v>
      </c>
      <c r="C95" t="s">
        <v>20</v>
      </c>
      <c r="D95">
        <v>2.0121823783829159E-4</v>
      </c>
      <c r="E95" t="s">
        <v>6</v>
      </c>
      <c r="G95" t="s">
        <v>39</v>
      </c>
      <c r="H95" t="s">
        <v>20</v>
      </c>
      <c r="I95">
        <v>6.7259080875726185E-2</v>
      </c>
      <c r="J95" t="s">
        <v>6</v>
      </c>
      <c r="L95" t="s">
        <v>40</v>
      </c>
      <c r="M95" t="s">
        <v>20</v>
      </c>
      <c r="N95">
        <v>3.5288537895046268E-2</v>
      </c>
      <c r="O95" t="s">
        <v>6</v>
      </c>
    </row>
    <row r="96" spans="2:15" x14ac:dyDescent="0.45">
      <c r="B96" t="s">
        <v>38</v>
      </c>
      <c r="C96" t="s">
        <v>21</v>
      </c>
      <c r="D96">
        <v>9.2245214866948765E-3</v>
      </c>
      <c r="E96" t="s">
        <v>6</v>
      </c>
      <c r="G96" t="s">
        <v>39</v>
      </c>
      <c r="H96" t="s">
        <v>21</v>
      </c>
      <c r="I96">
        <v>3.0216748535318826E-2</v>
      </c>
      <c r="J96" t="s">
        <v>6</v>
      </c>
      <c r="L96" t="s">
        <v>40</v>
      </c>
      <c r="M96" t="s">
        <v>21</v>
      </c>
      <c r="N96">
        <v>1.8893470263684833E-2</v>
      </c>
      <c r="O96" t="s">
        <v>6</v>
      </c>
    </row>
    <row r="97" spans="2:15" x14ac:dyDescent="0.45">
      <c r="B97" t="s">
        <v>38</v>
      </c>
      <c r="C97" t="s">
        <v>22</v>
      </c>
      <c r="D97">
        <v>8.1081454281953416E-2</v>
      </c>
      <c r="E97" t="s">
        <v>6</v>
      </c>
      <c r="G97" t="s">
        <v>39</v>
      </c>
      <c r="H97" t="s">
        <v>22</v>
      </c>
      <c r="I97">
        <v>2.0815635523851642E-2</v>
      </c>
      <c r="J97" t="s">
        <v>6</v>
      </c>
      <c r="L97" t="s">
        <v>40</v>
      </c>
      <c r="M97" t="s">
        <v>22</v>
      </c>
      <c r="N97">
        <v>1.4265430216153301E-2</v>
      </c>
      <c r="O97" t="s">
        <v>6</v>
      </c>
    </row>
    <row r="98" spans="2:15" x14ac:dyDescent="0.45">
      <c r="B98" t="s">
        <v>38</v>
      </c>
      <c r="C98" t="s">
        <v>23</v>
      </c>
      <c r="D98">
        <v>0.12706078231156723</v>
      </c>
      <c r="E98" t="s">
        <v>6</v>
      </c>
      <c r="G98" t="s">
        <v>39</v>
      </c>
      <c r="H98" t="s">
        <v>23</v>
      </c>
      <c r="I98">
        <v>2.1938672841329478E-2</v>
      </c>
      <c r="J98" t="s">
        <v>6</v>
      </c>
      <c r="L98" t="s">
        <v>40</v>
      </c>
      <c r="M98" t="s">
        <v>23</v>
      </c>
      <c r="N98">
        <v>1.3539373930306164E-2</v>
      </c>
      <c r="O98" t="s">
        <v>6</v>
      </c>
    </row>
    <row r="99" spans="2:15" x14ac:dyDescent="0.45">
      <c r="B99" t="s">
        <v>38</v>
      </c>
      <c r="C99" t="s">
        <v>24</v>
      </c>
      <c r="D99">
        <v>0.10505653147508308</v>
      </c>
      <c r="E99" t="s">
        <v>6</v>
      </c>
      <c r="G99" t="s">
        <v>39</v>
      </c>
      <c r="H99" t="s">
        <v>24</v>
      </c>
      <c r="I99">
        <v>2.5171480368801291E-2</v>
      </c>
      <c r="J99" t="s">
        <v>6</v>
      </c>
      <c r="L99" t="s">
        <v>40</v>
      </c>
      <c r="M99" t="s">
        <v>24</v>
      </c>
      <c r="N99">
        <v>1.17419114928547E-2</v>
      </c>
      <c r="O99" t="s">
        <v>6</v>
      </c>
    </row>
    <row r="100" spans="2:15" x14ac:dyDescent="0.45">
      <c r="B100" t="s">
        <v>38</v>
      </c>
      <c r="C100" t="s">
        <v>25</v>
      </c>
      <c r="D100">
        <v>3.1627431313996236E-2</v>
      </c>
      <c r="E100" t="s">
        <v>6</v>
      </c>
      <c r="G100" t="s">
        <v>39</v>
      </c>
      <c r="H100" t="s">
        <v>25</v>
      </c>
      <c r="I100">
        <v>2.6232358259716503E-2</v>
      </c>
      <c r="J100" t="s">
        <v>6</v>
      </c>
      <c r="L100" t="s">
        <v>40</v>
      </c>
      <c r="M100" t="s">
        <v>25</v>
      </c>
      <c r="N100">
        <v>1.2597639383411137E-2</v>
      </c>
      <c r="O100" t="s">
        <v>6</v>
      </c>
    </row>
    <row r="101" spans="2:15" x14ac:dyDescent="0.45">
      <c r="B101" t="s">
        <v>38</v>
      </c>
      <c r="C101" t="s">
        <v>26</v>
      </c>
      <c r="D101">
        <v>0</v>
      </c>
      <c r="E101" t="s">
        <v>6</v>
      </c>
      <c r="G101" t="s">
        <v>39</v>
      </c>
      <c r="H101" t="s">
        <v>26</v>
      </c>
      <c r="I101">
        <v>8.7498259171874024E-2</v>
      </c>
      <c r="J101" t="s">
        <v>6</v>
      </c>
      <c r="L101" t="s">
        <v>40</v>
      </c>
      <c r="M101" t="s">
        <v>26</v>
      </c>
      <c r="N101">
        <v>0.10597841797439939</v>
      </c>
      <c r="O101" t="s">
        <v>6</v>
      </c>
    </row>
    <row r="102" spans="2:15" x14ac:dyDescent="0.45">
      <c r="B102" t="s">
        <v>38</v>
      </c>
      <c r="C102" t="s">
        <v>27</v>
      </c>
      <c r="D102">
        <v>1.2506289252079928E-3</v>
      </c>
      <c r="E102" t="s">
        <v>6</v>
      </c>
      <c r="G102" t="s">
        <v>39</v>
      </c>
      <c r="H102" t="s">
        <v>27</v>
      </c>
      <c r="I102">
        <v>4.2645906285952995E-2</v>
      </c>
      <c r="J102" t="s">
        <v>6</v>
      </c>
      <c r="L102" t="s">
        <v>40</v>
      </c>
      <c r="M102" t="s">
        <v>27</v>
      </c>
      <c r="N102">
        <v>4.9921788998110242E-2</v>
      </c>
      <c r="O102" t="s">
        <v>6</v>
      </c>
    </row>
    <row r="103" spans="2:15" x14ac:dyDescent="0.45">
      <c r="B103" t="s">
        <v>38</v>
      </c>
      <c r="C103" t="s">
        <v>28</v>
      </c>
      <c r="D103">
        <v>4.6822672354573262E-2</v>
      </c>
      <c r="E103" t="s">
        <v>6</v>
      </c>
      <c r="G103" t="s">
        <v>39</v>
      </c>
      <c r="H103" t="s">
        <v>28</v>
      </c>
      <c r="I103">
        <v>3.1622083177437595E-2</v>
      </c>
      <c r="J103" t="s">
        <v>6</v>
      </c>
      <c r="L103" t="s">
        <v>40</v>
      </c>
      <c r="M103" t="s">
        <v>28</v>
      </c>
      <c r="N103">
        <v>3.7355394540418321E-2</v>
      </c>
      <c r="O103" t="s">
        <v>6</v>
      </c>
    </row>
    <row r="104" spans="2:15" x14ac:dyDescent="0.45">
      <c r="B104" t="s">
        <v>38</v>
      </c>
      <c r="C104" t="s">
        <v>29</v>
      </c>
      <c r="D104">
        <v>8.9664724408473714E-2</v>
      </c>
      <c r="E104" t="s">
        <v>6</v>
      </c>
      <c r="G104" t="s">
        <v>39</v>
      </c>
      <c r="H104" t="s">
        <v>29</v>
      </c>
      <c r="I104">
        <v>3.190389533713324E-2</v>
      </c>
      <c r="J104" t="s">
        <v>6</v>
      </c>
      <c r="L104" t="s">
        <v>40</v>
      </c>
      <c r="M104" t="s">
        <v>29</v>
      </c>
      <c r="N104">
        <v>4.1001332119240369E-2</v>
      </c>
      <c r="O104" t="s">
        <v>6</v>
      </c>
    </row>
    <row r="105" spans="2:15" x14ac:dyDescent="0.45">
      <c r="B105" t="s">
        <v>38</v>
      </c>
      <c r="C105" t="s">
        <v>30</v>
      </c>
      <c r="D105">
        <v>6.0189394996696947E-2</v>
      </c>
      <c r="E105" t="s">
        <v>6</v>
      </c>
      <c r="G105" t="s">
        <v>39</v>
      </c>
      <c r="H105" t="s">
        <v>30</v>
      </c>
      <c r="I105">
        <v>3.2342973050608473E-2</v>
      </c>
      <c r="J105" t="s">
        <v>6</v>
      </c>
      <c r="L105" t="s">
        <v>40</v>
      </c>
      <c r="M105" t="s">
        <v>30</v>
      </c>
      <c r="N105">
        <v>4.4222341841875339E-2</v>
      </c>
      <c r="O105" t="s">
        <v>6</v>
      </c>
    </row>
    <row r="106" spans="2:15" x14ac:dyDescent="0.45">
      <c r="B106" t="s">
        <v>38</v>
      </c>
      <c r="C106" t="s">
        <v>31</v>
      </c>
      <c r="D106">
        <v>6.2332178971621173E-3</v>
      </c>
      <c r="E106" t="s">
        <v>6</v>
      </c>
      <c r="G106" t="s">
        <v>39</v>
      </c>
      <c r="H106" t="s">
        <v>31</v>
      </c>
      <c r="I106">
        <v>3.2359386499247196E-2</v>
      </c>
      <c r="J106" t="s">
        <v>6</v>
      </c>
      <c r="L106" t="s">
        <v>40</v>
      </c>
      <c r="M106" t="s">
        <v>31</v>
      </c>
      <c r="N106">
        <v>4.446498962679922E-2</v>
      </c>
      <c r="O106" t="s">
        <v>6</v>
      </c>
    </row>
    <row r="107" spans="2:15" x14ac:dyDescent="0.45">
      <c r="B107" t="s">
        <v>41</v>
      </c>
      <c r="C107" t="s">
        <v>5</v>
      </c>
      <c r="D107">
        <v>0</v>
      </c>
      <c r="E107" t="s">
        <v>6</v>
      </c>
      <c r="G107" t="s">
        <v>42</v>
      </c>
      <c r="H107" t="s">
        <v>5</v>
      </c>
      <c r="I107">
        <v>0.10202529461990473</v>
      </c>
      <c r="J107" t="s">
        <v>6</v>
      </c>
      <c r="L107" t="s">
        <v>43</v>
      </c>
      <c r="M107" t="s">
        <v>5</v>
      </c>
      <c r="N107">
        <v>8.8541569554678387E-2</v>
      </c>
      <c r="O107" t="s">
        <v>6</v>
      </c>
    </row>
    <row r="108" spans="2:15" x14ac:dyDescent="0.45">
      <c r="B108" t="s">
        <v>41</v>
      </c>
      <c r="C108" t="s">
        <v>9</v>
      </c>
      <c r="D108">
        <v>0</v>
      </c>
      <c r="E108" t="s">
        <v>6</v>
      </c>
      <c r="G108" t="s">
        <v>42</v>
      </c>
      <c r="H108" t="s">
        <v>9</v>
      </c>
      <c r="I108">
        <v>5.0596464108117349E-2</v>
      </c>
      <c r="J108" t="s">
        <v>6</v>
      </c>
      <c r="L108" t="s">
        <v>43</v>
      </c>
      <c r="M108" t="s">
        <v>9</v>
      </c>
      <c r="N108">
        <v>4.4549946738528565E-2</v>
      </c>
      <c r="O108" t="s">
        <v>6</v>
      </c>
    </row>
    <row r="109" spans="2:15" x14ac:dyDescent="0.45">
      <c r="B109" t="s">
        <v>41</v>
      </c>
      <c r="C109" t="s">
        <v>10</v>
      </c>
      <c r="D109">
        <v>2.4273778423091343E-2</v>
      </c>
      <c r="E109" t="s">
        <v>6</v>
      </c>
      <c r="G109" t="s">
        <v>42</v>
      </c>
      <c r="H109" t="s">
        <v>10</v>
      </c>
      <c r="I109">
        <v>3.5775089405797385E-2</v>
      </c>
      <c r="J109" t="s">
        <v>6</v>
      </c>
      <c r="L109" t="s">
        <v>43</v>
      </c>
      <c r="M109" t="s">
        <v>10</v>
      </c>
      <c r="N109">
        <v>3.1498704700664612E-2</v>
      </c>
      <c r="O109" t="s">
        <v>6</v>
      </c>
    </row>
    <row r="110" spans="2:15" x14ac:dyDescent="0.45">
      <c r="B110" t="s">
        <v>41</v>
      </c>
      <c r="C110" t="s">
        <v>11</v>
      </c>
      <c r="D110">
        <v>6.6184407949436058E-2</v>
      </c>
      <c r="E110" t="s">
        <v>6</v>
      </c>
      <c r="G110" t="s">
        <v>42</v>
      </c>
      <c r="H110" t="s">
        <v>11</v>
      </c>
      <c r="I110">
        <v>3.3948898557028789E-2</v>
      </c>
      <c r="J110" t="s">
        <v>6</v>
      </c>
      <c r="L110" t="s">
        <v>43</v>
      </c>
      <c r="M110" t="s">
        <v>11</v>
      </c>
      <c r="N110">
        <v>3.2273259856250659E-2</v>
      </c>
      <c r="O110" t="s">
        <v>6</v>
      </c>
    </row>
    <row r="111" spans="2:15" x14ac:dyDescent="0.45">
      <c r="B111" t="s">
        <v>41</v>
      </c>
      <c r="C111" t="s">
        <v>12</v>
      </c>
      <c r="D111">
        <v>4.3369222097637647E-2</v>
      </c>
      <c r="E111" t="s">
        <v>6</v>
      </c>
      <c r="G111" t="s">
        <v>42</v>
      </c>
      <c r="H111" t="s">
        <v>12</v>
      </c>
      <c r="I111">
        <v>3.5005779733117283E-2</v>
      </c>
      <c r="J111" t="s">
        <v>6</v>
      </c>
      <c r="L111" t="s">
        <v>43</v>
      </c>
      <c r="M111" t="s">
        <v>12</v>
      </c>
      <c r="N111">
        <v>3.4455121183072007E-2</v>
      </c>
      <c r="O111" t="s">
        <v>6</v>
      </c>
    </row>
    <row r="112" spans="2:15" x14ac:dyDescent="0.45">
      <c r="B112" t="s">
        <v>41</v>
      </c>
      <c r="C112" t="s">
        <v>13</v>
      </c>
      <c r="D112">
        <v>1.726578490136304E-3</v>
      </c>
      <c r="E112" t="s">
        <v>6</v>
      </c>
      <c r="G112" t="s">
        <v>42</v>
      </c>
      <c r="H112" t="s">
        <v>13</v>
      </c>
      <c r="I112">
        <v>3.6889016399722176E-2</v>
      </c>
      <c r="J112" t="s">
        <v>6</v>
      </c>
      <c r="L112" t="s">
        <v>43</v>
      </c>
      <c r="M112" t="s">
        <v>13</v>
      </c>
      <c r="N112">
        <v>3.4688174040426241E-2</v>
      </c>
      <c r="O112" t="s">
        <v>6</v>
      </c>
    </row>
    <row r="113" spans="2:15" x14ac:dyDescent="0.45">
      <c r="B113" t="s">
        <v>41</v>
      </c>
      <c r="C113" t="s">
        <v>14</v>
      </c>
      <c r="D113">
        <v>4.697624626930597E-7</v>
      </c>
      <c r="E113" t="s">
        <v>6</v>
      </c>
      <c r="G113" t="s">
        <v>42</v>
      </c>
      <c r="H113" t="s">
        <v>14</v>
      </c>
      <c r="I113">
        <v>8.85552092585149E-2</v>
      </c>
      <c r="J113" t="s">
        <v>6</v>
      </c>
      <c r="L113" t="s">
        <v>43</v>
      </c>
      <c r="M113" t="s">
        <v>14</v>
      </c>
      <c r="N113">
        <v>9.4715705827681421E-2</v>
      </c>
      <c r="O113" t="s">
        <v>6</v>
      </c>
    </row>
    <row r="114" spans="2:15" x14ac:dyDescent="0.45">
      <c r="B114" t="s">
        <v>41</v>
      </c>
      <c r="C114" t="s">
        <v>15</v>
      </c>
      <c r="D114">
        <v>7.1853156671919972E-3</v>
      </c>
      <c r="E114" t="s">
        <v>6</v>
      </c>
      <c r="G114" t="s">
        <v>42</v>
      </c>
      <c r="H114" t="s">
        <v>15</v>
      </c>
      <c r="I114">
        <v>4.2221365816247844E-2</v>
      </c>
      <c r="J114" t="s">
        <v>6</v>
      </c>
      <c r="L114" t="s">
        <v>43</v>
      </c>
      <c r="M114" t="s">
        <v>15</v>
      </c>
      <c r="N114">
        <v>4.5697785388861385E-2</v>
      </c>
      <c r="O114" t="s">
        <v>6</v>
      </c>
    </row>
    <row r="115" spans="2:15" x14ac:dyDescent="0.45">
      <c r="B115" t="s">
        <v>41</v>
      </c>
      <c r="C115" t="s">
        <v>16</v>
      </c>
      <c r="D115">
        <v>7.499366437998406E-2</v>
      </c>
      <c r="E115" t="s">
        <v>6</v>
      </c>
      <c r="G115" t="s">
        <v>42</v>
      </c>
      <c r="H115" t="s">
        <v>16</v>
      </c>
      <c r="I115">
        <v>2.9482468210063593E-2</v>
      </c>
      <c r="J115" t="s">
        <v>6</v>
      </c>
      <c r="L115" t="s">
        <v>43</v>
      </c>
      <c r="M115" t="s">
        <v>16</v>
      </c>
      <c r="N115">
        <v>3.5970840920009205E-2</v>
      </c>
      <c r="O115" t="s">
        <v>6</v>
      </c>
    </row>
    <row r="116" spans="2:15" x14ac:dyDescent="0.45">
      <c r="B116" t="s">
        <v>41</v>
      </c>
      <c r="C116" t="s">
        <v>17</v>
      </c>
      <c r="D116">
        <v>0.11523487862942312</v>
      </c>
      <c r="E116" t="s">
        <v>6</v>
      </c>
      <c r="G116" t="s">
        <v>42</v>
      </c>
      <c r="H116" t="s">
        <v>17</v>
      </c>
      <c r="I116">
        <v>2.9549115284589682E-2</v>
      </c>
      <c r="J116" t="s">
        <v>6</v>
      </c>
      <c r="L116" t="s">
        <v>43</v>
      </c>
      <c r="M116" t="s">
        <v>17</v>
      </c>
      <c r="N116">
        <v>4.0707037361435744E-2</v>
      </c>
      <c r="O116" t="s">
        <v>6</v>
      </c>
    </row>
    <row r="117" spans="2:15" x14ac:dyDescent="0.45">
      <c r="B117" t="s">
        <v>41</v>
      </c>
      <c r="C117" t="s">
        <v>18</v>
      </c>
      <c r="D117">
        <v>8.2007666332057375E-2</v>
      </c>
      <c r="E117" t="s">
        <v>6</v>
      </c>
      <c r="G117" t="s">
        <v>42</v>
      </c>
      <c r="H117" t="s">
        <v>18</v>
      </c>
      <c r="I117">
        <v>3.3083743083743206E-2</v>
      </c>
      <c r="J117" t="s">
        <v>6</v>
      </c>
      <c r="L117" t="s">
        <v>43</v>
      </c>
      <c r="M117" t="s">
        <v>18</v>
      </c>
      <c r="N117">
        <v>4.425580455600886E-2</v>
      </c>
      <c r="O117" t="s">
        <v>6</v>
      </c>
    </row>
    <row r="118" spans="2:15" x14ac:dyDescent="0.45">
      <c r="B118" t="s">
        <v>41</v>
      </c>
      <c r="C118" t="s">
        <v>19</v>
      </c>
      <c r="D118">
        <v>1.6667481281091495E-2</v>
      </c>
      <c r="E118" t="s">
        <v>6</v>
      </c>
      <c r="G118" t="s">
        <v>42</v>
      </c>
      <c r="H118" t="s">
        <v>19</v>
      </c>
      <c r="I118">
        <v>3.3276524642069323E-2</v>
      </c>
      <c r="J118" t="s">
        <v>6</v>
      </c>
      <c r="L118" t="s">
        <v>43</v>
      </c>
      <c r="M118" t="s">
        <v>19</v>
      </c>
      <c r="N118">
        <v>4.2820551551890462E-2</v>
      </c>
      <c r="O118" t="s">
        <v>6</v>
      </c>
    </row>
    <row r="119" spans="2:15" x14ac:dyDescent="0.45">
      <c r="B119" t="s">
        <v>41</v>
      </c>
      <c r="C119" t="s">
        <v>20</v>
      </c>
      <c r="D119">
        <v>8.4435763011159613E-5</v>
      </c>
      <c r="E119" t="s">
        <v>6</v>
      </c>
      <c r="G119" t="s">
        <v>42</v>
      </c>
      <c r="H119" t="s">
        <v>20</v>
      </c>
      <c r="I119">
        <v>6.7343288950887523E-2</v>
      </c>
      <c r="J119" t="s">
        <v>6</v>
      </c>
      <c r="L119" t="s">
        <v>43</v>
      </c>
      <c r="M119" t="s">
        <v>20</v>
      </c>
      <c r="N119">
        <v>5.1160817459896882E-2</v>
      </c>
      <c r="O119" t="s">
        <v>6</v>
      </c>
    </row>
    <row r="120" spans="2:15" x14ac:dyDescent="0.45">
      <c r="B120" t="s">
        <v>41</v>
      </c>
      <c r="C120" t="s">
        <v>21</v>
      </c>
      <c r="D120">
        <v>1.2367275462995781E-2</v>
      </c>
      <c r="E120" t="s">
        <v>6</v>
      </c>
      <c r="G120" t="s">
        <v>42</v>
      </c>
      <c r="H120" t="s">
        <v>21</v>
      </c>
      <c r="I120">
        <v>2.8213930821571552E-2</v>
      </c>
      <c r="J120" t="s">
        <v>6</v>
      </c>
      <c r="L120" t="s">
        <v>43</v>
      </c>
      <c r="M120" t="s">
        <v>21</v>
      </c>
      <c r="N120">
        <v>2.0145971887986169E-2</v>
      </c>
      <c r="O120" t="s">
        <v>6</v>
      </c>
    </row>
    <row r="121" spans="2:15" x14ac:dyDescent="0.45">
      <c r="B121" t="s">
        <v>41</v>
      </c>
      <c r="C121" t="s">
        <v>22</v>
      </c>
      <c r="D121">
        <v>9.2406165533522211E-2</v>
      </c>
      <c r="E121" t="s">
        <v>6</v>
      </c>
      <c r="G121" t="s">
        <v>42</v>
      </c>
      <c r="H121" t="s">
        <v>22</v>
      </c>
      <c r="I121">
        <v>1.7304492374302954E-2</v>
      </c>
      <c r="J121" t="s">
        <v>6</v>
      </c>
      <c r="L121" t="s">
        <v>43</v>
      </c>
      <c r="M121" t="s">
        <v>22</v>
      </c>
      <c r="N121">
        <v>1.5331457895065985E-2</v>
      </c>
      <c r="O121" t="s">
        <v>6</v>
      </c>
    </row>
    <row r="122" spans="2:15" x14ac:dyDescent="0.45">
      <c r="B122" t="s">
        <v>41</v>
      </c>
      <c r="C122" t="s">
        <v>23</v>
      </c>
      <c r="D122">
        <v>0.13656572362014643</v>
      </c>
      <c r="E122" t="s">
        <v>6</v>
      </c>
      <c r="G122" t="s">
        <v>42</v>
      </c>
      <c r="H122" t="s">
        <v>23</v>
      </c>
      <c r="I122">
        <v>2.0198795567691864E-2</v>
      </c>
      <c r="J122" t="s">
        <v>6</v>
      </c>
      <c r="L122" t="s">
        <v>43</v>
      </c>
      <c r="M122" t="s">
        <v>23</v>
      </c>
      <c r="N122">
        <v>1.9416907698059246E-2</v>
      </c>
      <c r="O122" t="s">
        <v>6</v>
      </c>
    </row>
    <row r="123" spans="2:15" x14ac:dyDescent="0.45">
      <c r="B123" t="s">
        <v>41</v>
      </c>
      <c r="C123" t="s">
        <v>24</v>
      </c>
      <c r="D123">
        <v>0.10334146265722124</v>
      </c>
      <c r="E123" t="s">
        <v>6</v>
      </c>
      <c r="G123" t="s">
        <v>42</v>
      </c>
      <c r="H123" t="s">
        <v>24</v>
      </c>
      <c r="I123">
        <v>2.3563444740235816E-2</v>
      </c>
      <c r="J123" t="s">
        <v>6</v>
      </c>
      <c r="L123" t="s">
        <v>43</v>
      </c>
      <c r="M123" t="s">
        <v>24</v>
      </c>
      <c r="N123">
        <v>2.202629901159539E-2</v>
      </c>
      <c r="O123" t="s">
        <v>6</v>
      </c>
    </row>
    <row r="124" spans="2:15" x14ac:dyDescent="0.45">
      <c r="B124" t="s">
        <v>41</v>
      </c>
      <c r="C124" t="s">
        <v>25</v>
      </c>
      <c r="D124">
        <v>2.7595975225238625E-2</v>
      </c>
      <c r="E124" t="s">
        <v>6</v>
      </c>
      <c r="G124" t="s">
        <v>42</v>
      </c>
      <c r="H124" t="s">
        <v>25</v>
      </c>
      <c r="I124">
        <v>2.4540875147425343E-2</v>
      </c>
      <c r="J124" t="s">
        <v>6</v>
      </c>
      <c r="L124" t="s">
        <v>43</v>
      </c>
      <c r="M124" t="s">
        <v>25</v>
      </c>
      <c r="N124">
        <v>2.2054017536516337E-2</v>
      </c>
      <c r="O124" t="s">
        <v>6</v>
      </c>
    </row>
    <row r="125" spans="2:15" x14ac:dyDescent="0.45">
      <c r="B125" t="s">
        <v>41</v>
      </c>
      <c r="C125" t="s">
        <v>26</v>
      </c>
      <c r="D125">
        <v>0</v>
      </c>
      <c r="E125" t="s">
        <v>6</v>
      </c>
      <c r="G125" t="s">
        <v>42</v>
      </c>
      <c r="H125" t="s">
        <v>26</v>
      </c>
      <c r="I125">
        <v>9.2124262749856065E-2</v>
      </c>
      <c r="J125" t="s">
        <v>6</v>
      </c>
      <c r="L125" t="s">
        <v>43</v>
      </c>
      <c r="M125" t="s">
        <v>26</v>
      </c>
      <c r="N125">
        <v>9.5890347549126273E-2</v>
      </c>
      <c r="O125" t="s">
        <v>6</v>
      </c>
    </row>
    <row r="126" spans="2:15" x14ac:dyDescent="0.45">
      <c r="B126" t="s">
        <v>41</v>
      </c>
      <c r="C126" t="s">
        <v>27</v>
      </c>
      <c r="D126">
        <v>1.6543074272495244E-3</v>
      </c>
      <c r="E126" t="s">
        <v>6</v>
      </c>
      <c r="G126" t="s">
        <v>42</v>
      </c>
      <c r="H126" t="s">
        <v>27</v>
      </c>
      <c r="I126">
        <v>4.3772124903501991E-2</v>
      </c>
      <c r="J126" t="s">
        <v>6</v>
      </c>
      <c r="L126" t="s">
        <v>43</v>
      </c>
      <c r="M126" t="s">
        <v>27</v>
      </c>
      <c r="N126">
        <v>4.5029525675180267E-2</v>
      </c>
      <c r="O126" t="s">
        <v>6</v>
      </c>
    </row>
    <row r="127" spans="2:15" x14ac:dyDescent="0.45">
      <c r="B127" t="s">
        <v>41</v>
      </c>
      <c r="C127" t="s">
        <v>28</v>
      </c>
      <c r="D127">
        <v>4.8170568135405122E-2</v>
      </c>
      <c r="E127" t="s">
        <v>6</v>
      </c>
      <c r="G127" t="s">
        <v>42</v>
      </c>
      <c r="H127" t="s">
        <v>28</v>
      </c>
      <c r="I127">
        <v>3.0393362877211113E-2</v>
      </c>
      <c r="J127" t="s">
        <v>6</v>
      </c>
      <c r="L127" t="s">
        <v>43</v>
      </c>
      <c r="M127" t="s">
        <v>28</v>
      </c>
      <c r="N127">
        <v>3.2234373295516046E-2</v>
      </c>
      <c r="O127" t="s">
        <v>6</v>
      </c>
    </row>
    <row r="128" spans="2:15" x14ac:dyDescent="0.45">
      <c r="B128" t="s">
        <v>41</v>
      </c>
      <c r="C128" t="s">
        <v>29</v>
      </c>
      <c r="D128">
        <v>8.8240217921523367E-2</v>
      </c>
      <c r="E128" t="s">
        <v>6</v>
      </c>
      <c r="G128" t="s">
        <v>42</v>
      </c>
      <c r="H128" t="s">
        <v>29</v>
      </c>
      <c r="I128">
        <v>3.2709789576367269E-2</v>
      </c>
      <c r="J128" t="s">
        <v>6</v>
      </c>
      <c r="L128" t="s">
        <v>43</v>
      </c>
      <c r="M128" t="s">
        <v>29</v>
      </c>
      <c r="N128">
        <v>3.3651897708478602E-2</v>
      </c>
      <c r="O128" t="s">
        <v>6</v>
      </c>
    </row>
    <row r="129" spans="2:15" x14ac:dyDescent="0.45">
      <c r="B129" t="s">
        <v>41</v>
      </c>
      <c r="C129" t="s">
        <v>30</v>
      </c>
      <c r="D129">
        <v>5.3541870262060705E-2</v>
      </c>
      <c r="E129" t="s">
        <v>6</v>
      </c>
      <c r="G129" t="s">
        <v>42</v>
      </c>
      <c r="H129" t="s">
        <v>30</v>
      </c>
      <c r="I129">
        <v>3.4806408110812204E-2</v>
      </c>
      <c r="J129" t="s">
        <v>6</v>
      </c>
      <c r="L129" t="s">
        <v>43</v>
      </c>
      <c r="M129" t="s">
        <v>30</v>
      </c>
      <c r="N129">
        <v>3.6153115638733781E-2</v>
      </c>
      <c r="O129" t="s">
        <v>6</v>
      </c>
    </row>
    <row r="130" spans="2:15" x14ac:dyDescent="0.45">
      <c r="B130" t="s">
        <v>41</v>
      </c>
      <c r="C130" t="s">
        <v>31</v>
      </c>
      <c r="D130">
        <v>4.3885349791138702E-3</v>
      </c>
      <c r="E130" t="s">
        <v>6</v>
      </c>
      <c r="G130" t="s">
        <v>42</v>
      </c>
      <c r="H130" t="s">
        <v>31</v>
      </c>
      <c r="I130">
        <v>3.4620255061222099E-2</v>
      </c>
      <c r="J130" t="s">
        <v>6</v>
      </c>
      <c r="L130" t="s">
        <v>43</v>
      </c>
      <c r="M130" t="s">
        <v>31</v>
      </c>
      <c r="N130">
        <v>3.6730766964336768E-2</v>
      </c>
      <c r="O130" t="s">
        <v>6</v>
      </c>
    </row>
    <row r="131" spans="2:15" x14ac:dyDescent="0.45">
      <c r="B131" t="s">
        <v>44</v>
      </c>
      <c r="C131" t="s">
        <v>5</v>
      </c>
      <c r="D131">
        <v>0</v>
      </c>
      <c r="E131" t="s">
        <v>6</v>
      </c>
      <c r="G131" t="s">
        <v>45</v>
      </c>
      <c r="H131" t="s">
        <v>5</v>
      </c>
      <c r="I131">
        <v>0.11096009878739858</v>
      </c>
      <c r="J131" t="s">
        <v>6</v>
      </c>
      <c r="L131" t="s">
        <v>46</v>
      </c>
      <c r="M131" t="s">
        <v>5</v>
      </c>
      <c r="N131">
        <v>9.243684808051543E-2</v>
      </c>
      <c r="O131" t="s">
        <v>6</v>
      </c>
    </row>
    <row r="132" spans="2:15" x14ac:dyDescent="0.45">
      <c r="B132" t="s">
        <v>44</v>
      </c>
      <c r="C132" t="s">
        <v>9</v>
      </c>
      <c r="D132">
        <v>0</v>
      </c>
      <c r="E132" t="s">
        <v>6</v>
      </c>
      <c r="G132" t="s">
        <v>45</v>
      </c>
      <c r="H132" t="s">
        <v>9</v>
      </c>
      <c r="I132">
        <v>5.429708529826309E-2</v>
      </c>
      <c r="J132" t="s">
        <v>6</v>
      </c>
      <c r="L132" t="s">
        <v>46</v>
      </c>
      <c r="M132" t="s">
        <v>9</v>
      </c>
      <c r="N132">
        <v>4.5920323222234036E-2</v>
      </c>
      <c r="O132" t="s">
        <v>6</v>
      </c>
    </row>
    <row r="133" spans="2:15" x14ac:dyDescent="0.45">
      <c r="B133" t="s">
        <v>44</v>
      </c>
      <c r="C133" t="s">
        <v>10</v>
      </c>
      <c r="D133">
        <v>2.3480013443203194E-2</v>
      </c>
      <c r="E133" t="s">
        <v>6</v>
      </c>
      <c r="G133" t="s">
        <v>45</v>
      </c>
      <c r="H133" t="s">
        <v>10</v>
      </c>
      <c r="I133">
        <v>3.8777374218417412E-2</v>
      </c>
      <c r="J133" t="s">
        <v>6</v>
      </c>
      <c r="L133" t="s">
        <v>46</v>
      </c>
      <c r="M133" t="s">
        <v>10</v>
      </c>
      <c r="N133">
        <v>3.0786476892096935E-2</v>
      </c>
      <c r="O133" t="s">
        <v>6</v>
      </c>
    </row>
    <row r="134" spans="2:15" x14ac:dyDescent="0.45">
      <c r="B134" t="s">
        <v>44</v>
      </c>
      <c r="C134" t="s">
        <v>11</v>
      </c>
      <c r="D134">
        <v>6.4547373139253655E-2</v>
      </c>
      <c r="E134" t="s">
        <v>6</v>
      </c>
      <c r="G134" t="s">
        <v>45</v>
      </c>
      <c r="H134" t="s">
        <v>11</v>
      </c>
      <c r="I134">
        <v>3.6704699367912416E-2</v>
      </c>
      <c r="J134" t="s">
        <v>6</v>
      </c>
      <c r="L134" t="s">
        <v>46</v>
      </c>
      <c r="M134" t="s">
        <v>11</v>
      </c>
      <c r="N134">
        <v>3.4966312191084953E-2</v>
      </c>
      <c r="O134" t="s">
        <v>6</v>
      </c>
    </row>
    <row r="135" spans="2:15" x14ac:dyDescent="0.45">
      <c r="B135" t="s">
        <v>44</v>
      </c>
      <c r="C135" t="s">
        <v>12</v>
      </c>
      <c r="D135">
        <v>3.9625738967749409E-2</v>
      </c>
      <c r="E135" t="s">
        <v>6</v>
      </c>
      <c r="G135" t="s">
        <v>45</v>
      </c>
      <c r="H135" t="s">
        <v>12</v>
      </c>
      <c r="I135">
        <v>3.8489774648841624E-2</v>
      </c>
      <c r="J135" t="s">
        <v>6</v>
      </c>
      <c r="L135" t="s">
        <v>46</v>
      </c>
      <c r="M135" t="s">
        <v>12</v>
      </c>
      <c r="N135">
        <v>3.8526871785164632E-2</v>
      </c>
      <c r="O135" t="s">
        <v>6</v>
      </c>
    </row>
    <row r="136" spans="2:15" x14ac:dyDescent="0.45">
      <c r="B136" t="s">
        <v>44</v>
      </c>
      <c r="C136" t="s">
        <v>13</v>
      </c>
      <c r="D136">
        <v>1.397077614317972E-3</v>
      </c>
      <c r="E136" t="s">
        <v>6</v>
      </c>
      <c r="G136" t="s">
        <v>45</v>
      </c>
      <c r="H136" t="s">
        <v>13</v>
      </c>
      <c r="I136">
        <v>4.0284691079019323E-2</v>
      </c>
      <c r="J136" t="s">
        <v>6</v>
      </c>
      <c r="L136" t="s">
        <v>46</v>
      </c>
      <c r="M136" t="s">
        <v>13</v>
      </c>
      <c r="N136">
        <v>3.7875377558629471E-2</v>
      </c>
      <c r="O136" t="s">
        <v>6</v>
      </c>
    </row>
    <row r="137" spans="2:15" x14ac:dyDescent="0.45">
      <c r="B137" t="s">
        <v>44</v>
      </c>
      <c r="C137" t="s">
        <v>14</v>
      </c>
      <c r="D137">
        <v>2.9791228012423497E-6</v>
      </c>
      <c r="E137" t="s">
        <v>6</v>
      </c>
      <c r="G137" t="s">
        <v>45</v>
      </c>
      <c r="H137" t="s">
        <v>14</v>
      </c>
      <c r="I137">
        <v>8.4928313250454204E-2</v>
      </c>
      <c r="J137" t="s">
        <v>6</v>
      </c>
      <c r="L137" t="s">
        <v>46</v>
      </c>
      <c r="M137" t="s">
        <v>14</v>
      </c>
      <c r="N137">
        <v>8.9683244628249795E-2</v>
      </c>
      <c r="O137" t="s">
        <v>6</v>
      </c>
    </row>
    <row r="138" spans="2:15" x14ac:dyDescent="0.45">
      <c r="B138" t="s">
        <v>44</v>
      </c>
      <c r="C138" t="s">
        <v>15</v>
      </c>
      <c r="D138">
        <v>7.8425112920939791E-3</v>
      </c>
      <c r="E138" t="s">
        <v>6</v>
      </c>
      <c r="G138" t="s">
        <v>45</v>
      </c>
      <c r="H138" t="s">
        <v>15</v>
      </c>
      <c r="I138">
        <v>4.1172605230696456E-2</v>
      </c>
      <c r="J138" t="s">
        <v>6</v>
      </c>
      <c r="L138" t="s">
        <v>46</v>
      </c>
      <c r="M138" t="s">
        <v>15</v>
      </c>
      <c r="N138">
        <v>4.2045333441202003E-2</v>
      </c>
      <c r="O138" t="s">
        <v>6</v>
      </c>
    </row>
    <row r="139" spans="2:15" x14ac:dyDescent="0.45">
      <c r="B139" t="s">
        <v>44</v>
      </c>
      <c r="C139" t="s">
        <v>16</v>
      </c>
      <c r="D139">
        <v>7.7904961561501673E-2</v>
      </c>
      <c r="E139" t="s">
        <v>6</v>
      </c>
      <c r="G139" t="s">
        <v>45</v>
      </c>
      <c r="H139" t="s">
        <v>16</v>
      </c>
      <c r="I139">
        <v>2.6191845156635817E-2</v>
      </c>
      <c r="J139" t="s">
        <v>6</v>
      </c>
      <c r="L139" t="s">
        <v>46</v>
      </c>
      <c r="M139" t="s">
        <v>16</v>
      </c>
      <c r="N139">
        <v>3.7543188619334457E-2</v>
      </c>
      <c r="O139" t="s">
        <v>6</v>
      </c>
    </row>
    <row r="140" spans="2:15" x14ac:dyDescent="0.45">
      <c r="B140" t="s">
        <v>44</v>
      </c>
      <c r="C140" t="s">
        <v>17</v>
      </c>
      <c r="D140">
        <v>0.11685307800560796</v>
      </c>
      <c r="E140" t="s">
        <v>6</v>
      </c>
      <c r="G140" t="s">
        <v>45</v>
      </c>
      <c r="H140" t="s">
        <v>17</v>
      </c>
      <c r="I140">
        <v>2.459389255970371E-2</v>
      </c>
      <c r="J140" t="s">
        <v>6</v>
      </c>
      <c r="L140" t="s">
        <v>46</v>
      </c>
      <c r="M140" t="s">
        <v>17</v>
      </c>
      <c r="N140">
        <v>4.6273943840208207E-2</v>
      </c>
      <c r="O140" t="s">
        <v>6</v>
      </c>
    </row>
    <row r="141" spans="2:15" x14ac:dyDescent="0.45">
      <c r="B141" t="s">
        <v>44</v>
      </c>
      <c r="C141" t="s">
        <v>18</v>
      </c>
      <c r="D141">
        <v>8.0985464369618523E-2</v>
      </c>
      <c r="E141" t="s">
        <v>6</v>
      </c>
      <c r="G141" t="s">
        <v>45</v>
      </c>
      <c r="H141" t="s">
        <v>18</v>
      </c>
      <c r="I141">
        <v>2.9236216603853237E-2</v>
      </c>
      <c r="J141" t="s">
        <v>6</v>
      </c>
      <c r="L141" t="s">
        <v>46</v>
      </c>
      <c r="M141" t="s">
        <v>18</v>
      </c>
      <c r="N141">
        <v>4.7290986136734263E-2</v>
      </c>
      <c r="O141" t="s">
        <v>6</v>
      </c>
    </row>
    <row r="142" spans="2:15" x14ac:dyDescent="0.45">
      <c r="B142" t="s">
        <v>44</v>
      </c>
      <c r="C142" t="s">
        <v>19</v>
      </c>
      <c r="D142">
        <v>1.6207009718258766E-2</v>
      </c>
      <c r="E142" t="s">
        <v>6</v>
      </c>
      <c r="G142" t="s">
        <v>45</v>
      </c>
      <c r="H142" t="s">
        <v>19</v>
      </c>
      <c r="I142">
        <v>3.0391632071554701E-2</v>
      </c>
      <c r="J142" t="s">
        <v>6</v>
      </c>
      <c r="L142" t="s">
        <v>46</v>
      </c>
      <c r="M142" t="s">
        <v>19</v>
      </c>
      <c r="N142">
        <v>4.1995129387174292E-2</v>
      </c>
      <c r="O142" t="s">
        <v>6</v>
      </c>
    </row>
    <row r="143" spans="2:15" x14ac:dyDescent="0.45">
      <c r="B143" t="s">
        <v>44</v>
      </c>
      <c r="C143" t="s">
        <v>20</v>
      </c>
      <c r="D143">
        <v>1.1669593090665385E-4</v>
      </c>
      <c r="E143" t="s">
        <v>6</v>
      </c>
      <c r="G143" t="s">
        <v>45</v>
      </c>
      <c r="H143" t="s">
        <v>20</v>
      </c>
      <c r="I143">
        <v>6.1559404456040363E-2</v>
      </c>
      <c r="J143" t="s">
        <v>6</v>
      </c>
      <c r="L143" t="s">
        <v>46</v>
      </c>
      <c r="M143" t="s">
        <v>20</v>
      </c>
      <c r="N143">
        <v>4.8403306675519391E-2</v>
      </c>
      <c r="O143" t="s">
        <v>6</v>
      </c>
    </row>
    <row r="144" spans="2:15" x14ac:dyDescent="0.45">
      <c r="B144" t="s">
        <v>44</v>
      </c>
      <c r="C144" t="s">
        <v>21</v>
      </c>
      <c r="D144">
        <v>1.2832930335432344E-2</v>
      </c>
      <c r="E144" t="s">
        <v>6</v>
      </c>
      <c r="G144" t="s">
        <v>45</v>
      </c>
      <c r="H144" t="s">
        <v>21</v>
      </c>
      <c r="I144">
        <v>2.4082027817677456E-2</v>
      </c>
      <c r="J144" t="s">
        <v>6</v>
      </c>
      <c r="L144" t="s">
        <v>46</v>
      </c>
      <c r="M144" t="s">
        <v>21</v>
      </c>
      <c r="N144">
        <v>1.6161686723784853E-2</v>
      </c>
      <c r="O144" t="s">
        <v>6</v>
      </c>
    </row>
    <row r="145" spans="2:15" x14ac:dyDescent="0.45">
      <c r="B145" t="s">
        <v>44</v>
      </c>
      <c r="C145" t="s">
        <v>22</v>
      </c>
      <c r="D145">
        <v>9.3518271500074246E-2</v>
      </c>
      <c r="E145" t="s">
        <v>6</v>
      </c>
      <c r="G145" t="s">
        <v>45</v>
      </c>
      <c r="H145" t="s">
        <v>22</v>
      </c>
      <c r="I145">
        <v>1.3956907292307847E-2</v>
      </c>
      <c r="J145" t="s">
        <v>6</v>
      </c>
      <c r="L145" t="s">
        <v>46</v>
      </c>
      <c r="M145" t="s">
        <v>22</v>
      </c>
      <c r="N145">
        <v>1.6741932723914683E-2</v>
      </c>
      <c r="O145" t="s">
        <v>6</v>
      </c>
    </row>
    <row r="146" spans="2:15" x14ac:dyDescent="0.45">
      <c r="B146" t="s">
        <v>44</v>
      </c>
      <c r="C146" t="s">
        <v>23</v>
      </c>
      <c r="D146">
        <v>0.13698145140175091</v>
      </c>
      <c r="E146" t="s">
        <v>6</v>
      </c>
      <c r="G146" t="s">
        <v>45</v>
      </c>
      <c r="H146" t="s">
        <v>23</v>
      </c>
      <c r="I146">
        <v>1.7983626169694757E-2</v>
      </c>
      <c r="J146" t="s">
        <v>6</v>
      </c>
      <c r="L146" t="s">
        <v>46</v>
      </c>
      <c r="M146" t="s">
        <v>23</v>
      </c>
      <c r="N146">
        <v>2.40289237141037E-2</v>
      </c>
      <c r="O146" t="s">
        <v>6</v>
      </c>
    </row>
    <row r="147" spans="2:15" x14ac:dyDescent="0.45">
      <c r="B147" t="s">
        <v>44</v>
      </c>
      <c r="C147" t="s">
        <v>24</v>
      </c>
      <c r="D147">
        <v>0.10398153969186974</v>
      </c>
      <c r="E147" t="s">
        <v>6</v>
      </c>
      <c r="G147" t="s">
        <v>45</v>
      </c>
      <c r="H147" t="s">
        <v>24</v>
      </c>
      <c r="I147">
        <v>2.0561895744838399E-2</v>
      </c>
      <c r="J147" t="s">
        <v>6</v>
      </c>
      <c r="L147" t="s">
        <v>46</v>
      </c>
      <c r="M147" t="s">
        <v>24</v>
      </c>
      <c r="N147">
        <v>2.8595388830423486E-2</v>
      </c>
      <c r="O147" t="s">
        <v>6</v>
      </c>
    </row>
    <row r="148" spans="2:15" x14ac:dyDescent="0.45">
      <c r="B148" t="s">
        <v>44</v>
      </c>
      <c r="C148" t="s">
        <v>25</v>
      </c>
      <c r="D148">
        <v>2.7589347191974853E-2</v>
      </c>
      <c r="E148" t="s">
        <v>6</v>
      </c>
      <c r="G148" t="s">
        <v>45</v>
      </c>
      <c r="H148" t="s">
        <v>25</v>
      </c>
      <c r="I148">
        <v>1.9925560171511897E-2</v>
      </c>
      <c r="J148" t="s">
        <v>6</v>
      </c>
      <c r="L148" t="s">
        <v>46</v>
      </c>
      <c r="M148" t="s">
        <v>25</v>
      </c>
      <c r="N148">
        <v>2.5135947218935265E-2</v>
      </c>
      <c r="O148" t="s">
        <v>6</v>
      </c>
    </row>
    <row r="149" spans="2:15" x14ac:dyDescent="0.45">
      <c r="B149" t="s">
        <v>44</v>
      </c>
      <c r="C149" t="s">
        <v>26</v>
      </c>
      <c r="D149">
        <v>0</v>
      </c>
      <c r="E149" t="s">
        <v>6</v>
      </c>
      <c r="G149" t="s">
        <v>45</v>
      </c>
      <c r="H149" t="s">
        <v>26</v>
      </c>
      <c r="I149">
        <v>0.10161295557773076</v>
      </c>
      <c r="J149" t="s">
        <v>6</v>
      </c>
      <c r="L149" t="s">
        <v>46</v>
      </c>
      <c r="M149" t="s">
        <v>26</v>
      </c>
      <c r="N149">
        <v>8.372703852174114E-2</v>
      </c>
      <c r="O149" t="s">
        <v>6</v>
      </c>
    </row>
    <row r="150" spans="2:15" x14ac:dyDescent="0.45">
      <c r="B150" t="s">
        <v>44</v>
      </c>
      <c r="C150" t="s">
        <v>27</v>
      </c>
      <c r="D150">
        <v>1.9354908553382408E-3</v>
      </c>
      <c r="E150" t="s">
        <v>6</v>
      </c>
      <c r="G150" t="s">
        <v>45</v>
      </c>
      <c r="H150" t="s">
        <v>27</v>
      </c>
      <c r="I150">
        <v>4.8052700797173574E-2</v>
      </c>
      <c r="J150" t="s">
        <v>6</v>
      </c>
      <c r="L150" t="s">
        <v>46</v>
      </c>
      <c r="M150" t="s">
        <v>27</v>
      </c>
      <c r="N150">
        <v>3.9686415662956762E-2</v>
      </c>
      <c r="O150" t="s">
        <v>6</v>
      </c>
    </row>
    <row r="151" spans="2:15" x14ac:dyDescent="0.45">
      <c r="B151" t="s">
        <v>44</v>
      </c>
      <c r="C151" t="s">
        <v>28</v>
      </c>
      <c r="D151">
        <v>4.9090481843300518E-2</v>
      </c>
      <c r="E151" t="s">
        <v>6</v>
      </c>
      <c r="G151" t="s">
        <v>45</v>
      </c>
      <c r="H151" t="s">
        <v>28</v>
      </c>
      <c r="I151">
        <v>3.2752180325222376E-2</v>
      </c>
      <c r="J151" t="s">
        <v>6</v>
      </c>
      <c r="L151" t="s">
        <v>46</v>
      </c>
      <c r="M151" t="s">
        <v>28</v>
      </c>
      <c r="N151">
        <v>2.954671698029292E-2</v>
      </c>
      <c r="O151" t="s">
        <v>6</v>
      </c>
    </row>
    <row r="152" spans="2:15" x14ac:dyDescent="0.45">
      <c r="B152" t="s">
        <v>44</v>
      </c>
      <c r="C152" t="s">
        <v>29</v>
      </c>
      <c r="D152">
        <v>8.7806043747853349E-2</v>
      </c>
      <c r="E152" t="s">
        <v>6</v>
      </c>
      <c r="G152" t="s">
        <v>45</v>
      </c>
      <c r="H152" t="s">
        <v>29</v>
      </c>
      <c r="I152">
        <v>3.2815071772286125E-2</v>
      </c>
      <c r="J152" t="s">
        <v>6</v>
      </c>
      <c r="L152" t="s">
        <v>46</v>
      </c>
      <c r="M152" t="s">
        <v>29</v>
      </c>
      <c r="N152">
        <v>3.3291235863172841E-2</v>
      </c>
      <c r="O152" t="s">
        <v>6</v>
      </c>
    </row>
    <row r="153" spans="2:15" x14ac:dyDescent="0.45">
      <c r="B153" t="s">
        <v>44</v>
      </c>
      <c r="C153" t="s">
        <v>30</v>
      </c>
      <c r="D153">
        <v>5.3108268667156032E-2</v>
      </c>
      <c r="E153" t="s">
        <v>6</v>
      </c>
      <c r="G153" t="s">
        <v>45</v>
      </c>
      <c r="H153" t="s">
        <v>30</v>
      </c>
      <c r="I153">
        <v>3.4367566589308764E-2</v>
      </c>
      <c r="J153" t="s">
        <v>6</v>
      </c>
      <c r="L153" t="s">
        <v>46</v>
      </c>
      <c r="M153" t="s">
        <v>30</v>
      </c>
      <c r="N153">
        <v>3.4979457574602399E-2</v>
      </c>
      <c r="O153" t="s">
        <v>6</v>
      </c>
    </row>
    <row r="154" spans="2:15" x14ac:dyDescent="0.45">
      <c r="B154" t="s">
        <v>44</v>
      </c>
      <c r="C154" t="s">
        <v>31</v>
      </c>
      <c r="D154">
        <v>4.1932715999356005E-3</v>
      </c>
      <c r="E154" t="s">
        <v>6</v>
      </c>
      <c r="G154" t="s">
        <v>45</v>
      </c>
      <c r="H154" t="s">
        <v>31</v>
      </c>
      <c r="I154">
        <v>3.6301875013448864E-2</v>
      </c>
      <c r="J154" t="s">
        <v>6</v>
      </c>
      <c r="L154" t="s">
        <v>46</v>
      </c>
      <c r="M154" t="s">
        <v>31</v>
      </c>
      <c r="N154">
        <v>3.4357913727924072E-2</v>
      </c>
      <c r="O154" t="s">
        <v>6</v>
      </c>
    </row>
    <row r="155" spans="2:15" x14ac:dyDescent="0.45">
      <c r="B155" t="s">
        <v>47</v>
      </c>
      <c r="C155" t="s">
        <v>5</v>
      </c>
      <c r="D155">
        <v>0</v>
      </c>
      <c r="E155" t="s">
        <v>6</v>
      </c>
      <c r="G155" t="s">
        <v>48</v>
      </c>
      <c r="H155" t="s">
        <v>5</v>
      </c>
      <c r="I155">
        <v>0.10732298433186709</v>
      </c>
      <c r="J155" t="s">
        <v>6</v>
      </c>
      <c r="L155" t="s">
        <v>49</v>
      </c>
      <c r="M155" t="s">
        <v>5</v>
      </c>
      <c r="N155">
        <v>8.8926453679002038E-2</v>
      </c>
      <c r="O155" t="s">
        <v>6</v>
      </c>
    </row>
    <row r="156" spans="2:15" x14ac:dyDescent="0.45">
      <c r="B156" t="s">
        <v>47</v>
      </c>
      <c r="C156" t="s">
        <v>9</v>
      </c>
      <c r="D156">
        <v>0</v>
      </c>
      <c r="E156" t="s">
        <v>6</v>
      </c>
      <c r="G156" t="s">
        <v>48</v>
      </c>
      <c r="H156" t="s">
        <v>9</v>
      </c>
      <c r="I156">
        <v>5.1852312552952765E-2</v>
      </c>
      <c r="J156" t="s">
        <v>6</v>
      </c>
      <c r="L156" t="s">
        <v>49</v>
      </c>
      <c r="M156" t="s">
        <v>9</v>
      </c>
      <c r="N156">
        <v>4.4004170215106234E-2</v>
      </c>
      <c r="O156" t="s">
        <v>6</v>
      </c>
    </row>
    <row r="157" spans="2:15" x14ac:dyDescent="0.45">
      <c r="B157" t="s">
        <v>47</v>
      </c>
      <c r="C157" t="s">
        <v>10</v>
      </c>
      <c r="D157">
        <v>2.4271843117940315E-2</v>
      </c>
      <c r="E157" t="s">
        <v>6</v>
      </c>
      <c r="G157" t="s">
        <v>48</v>
      </c>
      <c r="H157" t="s">
        <v>10</v>
      </c>
      <c r="I157">
        <v>3.6033727505244681E-2</v>
      </c>
      <c r="J157" t="s">
        <v>6</v>
      </c>
      <c r="L157" t="s">
        <v>49</v>
      </c>
      <c r="M157" t="s">
        <v>10</v>
      </c>
      <c r="N157">
        <v>3.2709848668222262E-2</v>
      </c>
      <c r="O157" t="s">
        <v>6</v>
      </c>
    </row>
    <row r="158" spans="2:15" x14ac:dyDescent="0.45">
      <c r="B158" t="s">
        <v>47</v>
      </c>
      <c r="C158" t="s">
        <v>11</v>
      </c>
      <c r="D158">
        <v>6.8031987918096531E-2</v>
      </c>
      <c r="E158" t="s">
        <v>6</v>
      </c>
      <c r="G158" t="s">
        <v>48</v>
      </c>
      <c r="H158" t="s">
        <v>11</v>
      </c>
      <c r="I158">
        <v>3.329831150735444E-2</v>
      </c>
      <c r="J158" t="s">
        <v>6</v>
      </c>
      <c r="L158" t="s">
        <v>49</v>
      </c>
      <c r="M158" t="s">
        <v>11</v>
      </c>
      <c r="N158">
        <v>3.4077051523976276E-2</v>
      </c>
      <c r="O158" t="s">
        <v>6</v>
      </c>
    </row>
    <row r="159" spans="2:15" x14ac:dyDescent="0.45">
      <c r="B159" t="s">
        <v>47</v>
      </c>
      <c r="C159" t="s">
        <v>12</v>
      </c>
      <c r="D159">
        <v>3.8111371336306356E-2</v>
      </c>
      <c r="E159" t="s">
        <v>6</v>
      </c>
      <c r="G159" t="s">
        <v>48</v>
      </c>
      <c r="H159" t="s">
        <v>12</v>
      </c>
      <c r="I159">
        <v>3.6483306851610608E-2</v>
      </c>
      <c r="J159" t="s">
        <v>6</v>
      </c>
      <c r="L159" t="s">
        <v>49</v>
      </c>
      <c r="M159" t="s">
        <v>12</v>
      </c>
      <c r="N159">
        <v>3.5110914182336091E-2</v>
      </c>
      <c r="O159" t="s">
        <v>6</v>
      </c>
    </row>
    <row r="160" spans="2:15" x14ac:dyDescent="0.45">
      <c r="B160" t="s">
        <v>47</v>
      </c>
      <c r="C160" t="s">
        <v>13</v>
      </c>
      <c r="D160">
        <v>1.0191857704062324E-3</v>
      </c>
      <c r="E160" t="s">
        <v>6</v>
      </c>
      <c r="G160" t="s">
        <v>48</v>
      </c>
      <c r="H160" t="s">
        <v>13</v>
      </c>
      <c r="I160">
        <v>3.9998731282851384E-2</v>
      </c>
      <c r="J160" t="s">
        <v>6</v>
      </c>
      <c r="L160" t="s">
        <v>49</v>
      </c>
      <c r="M160" t="s">
        <v>13</v>
      </c>
      <c r="N160">
        <v>3.5087380936710502E-2</v>
      </c>
      <c r="O160" t="s">
        <v>6</v>
      </c>
    </row>
    <row r="161" spans="2:15" x14ac:dyDescent="0.45">
      <c r="B161" t="s">
        <v>47</v>
      </c>
      <c r="C161" t="s">
        <v>14</v>
      </c>
      <c r="D161">
        <v>2.6436624347643071E-6</v>
      </c>
      <c r="E161" t="s">
        <v>6</v>
      </c>
      <c r="G161" t="s">
        <v>48</v>
      </c>
      <c r="H161" t="s">
        <v>14</v>
      </c>
      <c r="I161">
        <v>8.9146842817294208E-2</v>
      </c>
      <c r="J161" t="s">
        <v>6</v>
      </c>
      <c r="L161" t="s">
        <v>49</v>
      </c>
      <c r="M161" t="s">
        <v>14</v>
      </c>
      <c r="N161">
        <v>0.1061861991408037</v>
      </c>
      <c r="O161" t="s">
        <v>6</v>
      </c>
    </row>
    <row r="162" spans="2:15" x14ac:dyDescent="0.45">
      <c r="B162" t="s">
        <v>47</v>
      </c>
      <c r="C162" t="s">
        <v>15</v>
      </c>
      <c r="D162">
        <v>8.6220039227839808E-3</v>
      </c>
      <c r="E162" t="s">
        <v>6</v>
      </c>
      <c r="G162" t="s">
        <v>48</v>
      </c>
      <c r="H162" t="s">
        <v>15</v>
      </c>
      <c r="I162">
        <v>4.1347401201892051E-2</v>
      </c>
      <c r="J162" t="s">
        <v>6</v>
      </c>
      <c r="L162" t="s">
        <v>49</v>
      </c>
      <c r="M162" t="s">
        <v>15</v>
      </c>
      <c r="N162">
        <v>5.125686633300585E-2</v>
      </c>
      <c r="O162" t="s">
        <v>6</v>
      </c>
    </row>
    <row r="163" spans="2:15" x14ac:dyDescent="0.45">
      <c r="B163" t="s">
        <v>47</v>
      </c>
      <c r="C163" t="s">
        <v>16</v>
      </c>
      <c r="D163">
        <v>7.5727700362772266E-2</v>
      </c>
      <c r="E163" t="s">
        <v>6</v>
      </c>
      <c r="G163" t="s">
        <v>48</v>
      </c>
      <c r="H163" t="s">
        <v>16</v>
      </c>
      <c r="I163">
        <v>2.570922508695014E-2</v>
      </c>
      <c r="J163" t="s">
        <v>6</v>
      </c>
      <c r="L163" t="s">
        <v>49</v>
      </c>
      <c r="M163" t="s">
        <v>16</v>
      </c>
      <c r="N163">
        <v>3.9764371623260748E-2</v>
      </c>
      <c r="O163" t="s">
        <v>6</v>
      </c>
    </row>
    <row r="164" spans="2:15" x14ac:dyDescent="0.45">
      <c r="B164" t="s">
        <v>47</v>
      </c>
      <c r="C164" t="s">
        <v>17</v>
      </c>
      <c r="D164">
        <v>0.11748817045485994</v>
      </c>
      <c r="E164" t="s">
        <v>6</v>
      </c>
      <c r="G164" t="s">
        <v>48</v>
      </c>
      <c r="H164" t="s">
        <v>17</v>
      </c>
      <c r="I164">
        <v>2.4823678754332276E-2</v>
      </c>
      <c r="J164" t="s">
        <v>6</v>
      </c>
      <c r="L164" t="s">
        <v>49</v>
      </c>
      <c r="M164" t="s">
        <v>17</v>
      </c>
      <c r="N164">
        <v>4.3693709112959972E-2</v>
      </c>
      <c r="O164" t="s">
        <v>6</v>
      </c>
    </row>
    <row r="165" spans="2:15" x14ac:dyDescent="0.45">
      <c r="B165" t="s">
        <v>47</v>
      </c>
      <c r="C165" t="s">
        <v>18</v>
      </c>
      <c r="D165">
        <v>8.2154575195483373E-2</v>
      </c>
      <c r="E165" t="s">
        <v>6</v>
      </c>
      <c r="G165" t="s">
        <v>48</v>
      </c>
      <c r="H165" t="s">
        <v>18</v>
      </c>
      <c r="I165">
        <v>2.8122561141744537E-2</v>
      </c>
      <c r="J165" t="s">
        <v>6</v>
      </c>
      <c r="L165" t="s">
        <v>49</v>
      </c>
      <c r="M165" t="s">
        <v>18</v>
      </c>
      <c r="N165">
        <v>4.506293099004078E-2</v>
      </c>
      <c r="O165" t="s">
        <v>6</v>
      </c>
    </row>
    <row r="166" spans="2:15" x14ac:dyDescent="0.45">
      <c r="B166" t="s">
        <v>47</v>
      </c>
      <c r="C166" t="s">
        <v>19</v>
      </c>
      <c r="D166">
        <v>1.5448558120411331E-2</v>
      </c>
      <c r="E166" t="s">
        <v>6</v>
      </c>
      <c r="G166" t="s">
        <v>48</v>
      </c>
      <c r="H166" t="s">
        <v>19</v>
      </c>
      <c r="I166">
        <v>2.9627725237145314E-2</v>
      </c>
      <c r="J166" t="s">
        <v>6</v>
      </c>
      <c r="L166" t="s">
        <v>49</v>
      </c>
      <c r="M166" t="s">
        <v>19</v>
      </c>
      <c r="N166">
        <v>4.2408226748330738E-2</v>
      </c>
      <c r="O166" t="s">
        <v>6</v>
      </c>
    </row>
    <row r="167" spans="2:15" x14ac:dyDescent="0.45">
      <c r="B167" t="s">
        <v>47</v>
      </c>
      <c r="C167" t="s">
        <v>20</v>
      </c>
      <c r="D167">
        <v>1.2622401335206081E-4</v>
      </c>
      <c r="E167" t="s">
        <v>6</v>
      </c>
      <c r="G167" t="s">
        <v>48</v>
      </c>
      <c r="H167" t="s">
        <v>20</v>
      </c>
      <c r="I167">
        <v>6.9405585376471096E-2</v>
      </c>
      <c r="J167" t="s">
        <v>6</v>
      </c>
      <c r="L167" t="s">
        <v>49</v>
      </c>
      <c r="M167" t="s">
        <v>20</v>
      </c>
      <c r="N167">
        <v>4.0706763749032655E-2</v>
      </c>
      <c r="O167" t="s">
        <v>6</v>
      </c>
    </row>
    <row r="168" spans="2:15" x14ac:dyDescent="0.45">
      <c r="B168" t="s">
        <v>47</v>
      </c>
      <c r="C168" t="s">
        <v>21</v>
      </c>
      <c r="D168">
        <v>1.4446535547800121E-2</v>
      </c>
      <c r="E168" t="s">
        <v>6</v>
      </c>
      <c r="G168" t="s">
        <v>48</v>
      </c>
      <c r="H168" t="s">
        <v>21</v>
      </c>
      <c r="I168">
        <v>2.7121715417431694E-2</v>
      </c>
      <c r="J168" t="s">
        <v>6</v>
      </c>
      <c r="L168" t="s">
        <v>49</v>
      </c>
      <c r="M168" t="s">
        <v>21</v>
      </c>
      <c r="N168">
        <v>1.670606771502841E-2</v>
      </c>
      <c r="O168" t="s">
        <v>6</v>
      </c>
    </row>
    <row r="169" spans="2:15" x14ac:dyDescent="0.45">
      <c r="B169" t="s">
        <v>47</v>
      </c>
      <c r="C169" t="s">
        <v>22</v>
      </c>
      <c r="D169">
        <v>9.2427746361017082E-2</v>
      </c>
      <c r="E169" t="s">
        <v>6</v>
      </c>
      <c r="G169" t="s">
        <v>48</v>
      </c>
      <c r="H169" t="s">
        <v>22</v>
      </c>
      <c r="I169">
        <v>1.4950981565765206E-2</v>
      </c>
      <c r="J169" t="s">
        <v>6</v>
      </c>
      <c r="L169" t="s">
        <v>49</v>
      </c>
      <c r="M169" t="s">
        <v>22</v>
      </c>
      <c r="N169">
        <v>1.2592890679929246E-2</v>
      </c>
      <c r="O169" t="s">
        <v>6</v>
      </c>
    </row>
    <row r="170" spans="2:15" x14ac:dyDescent="0.45">
      <c r="B170" t="s">
        <v>47</v>
      </c>
      <c r="C170" t="s">
        <v>23</v>
      </c>
      <c r="D170">
        <v>0.13631730030186595</v>
      </c>
      <c r="E170" t="s">
        <v>6</v>
      </c>
      <c r="G170" t="s">
        <v>48</v>
      </c>
      <c r="H170" t="s">
        <v>23</v>
      </c>
      <c r="I170">
        <v>1.6819778713257814E-2</v>
      </c>
      <c r="J170" t="s">
        <v>6</v>
      </c>
      <c r="L170" t="s">
        <v>49</v>
      </c>
      <c r="M170" t="s">
        <v>23</v>
      </c>
      <c r="N170">
        <v>1.616332921771153E-2</v>
      </c>
      <c r="O170" t="s">
        <v>6</v>
      </c>
    </row>
    <row r="171" spans="2:15" x14ac:dyDescent="0.45">
      <c r="B171" t="s">
        <v>47</v>
      </c>
      <c r="C171" t="s">
        <v>24</v>
      </c>
      <c r="D171">
        <v>0.10378079902442505</v>
      </c>
      <c r="E171" t="s">
        <v>6</v>
      </c>
      <c r="G171" t="s">
        <v>48</v>
      </c>
      <c r="H171" t="s">
        <v>24</v>
      </c>
      <c r="I171">
        <v>2.0133370447546022E-2</v>
      </c>
      <c r="J171" t="s">
        <v>6</v>
      </c>
      <c r="L171" t="s">
        <v>49</v>
      </c>
      <c r="M171" t="s">
        <v>24</v>
      </c>
      <c r="N171">
        <v>1.863526503687311E-2</v>
      </c>
      <c r="O171" t="s">
        <v>6</v>
      </c>
    </row>
    <row r="172" spans="2:15" x14ac:dyDescent="0.45">
      <c r="B172" t="s">
        <v>47</v>
      </c>
      <c r="C172" t="s">
        <v>25</v>
      </c>
      <c r="D172">
        <v>2.7160828082371045E-2</v>
      </c>
      <c r="E172" t="s">
        <v>6</v>
      </c>
      <c r="G172" t="s">
        <v>48</v>
      </c>
      <c r="H172" t="s">
        <v>25</v>
      </c>
      <c r="I172">
        <v>2.0916673474407128E-2</v>
      </c>
      <c r="J172" t="s">
        <v>6</v>
      </c>
      <c r="L172" t="s">
        <v>49</v>
      </c>
      <c r="M172" t="s">
        <v>25</v>
      </c>
      <c r="N172">
        <v>1.7665030858552401E-2</v>
      </c>
      <c r="O172" t="s">
        <v>6</v>
      </c>
    </row>
    <row r="173" spans="2:15" x14ac:dyDescent="0.45">
      <c r="B173" t="s">
        <v>47</v>
      </c>
      <c r="C173" t="s">
        <v>26</v>
      </c>
      <c r="D173">
        <v>0</v>
      </c>
      <c r="E173" t="s">
        <v>6</v>
      </c>
      <c r="G173" t="s">
        <v>48</v>
      </c>
      <c r="H173" t="s">
        <v>26</v>
      </c>
      <c r="I173">
        <v>0.10284916921588032</v>
      </c>
      <c r="J173" t="s">
        <v>6</v>
      </c>
      <c r="L173" t="s">
        <v>49</v>
      </c>
      <c r="M173" t="s">
        <v>26</v>
      </c>
      <c r="N173">
        <v>9.1640941645403096E-2</v>
      </c>
      <c r="O173" t="s">
        <v>6</v>
      </c>
    </row>
    <row r="174" spans="2:15" x14ac:dyDescent="0.45">
      <c r="B174" t="s">
        <v>47</v>
      </c>
      <c r="C174" t="s">
        <v>27</v>
      </c>
      <c r="D174">
        <v>2.3201919587379272E-3</v>
      </c>
      <c r="E174" t="s">
        <v>6</v>
      </c>
      <c r="G174" t="s">
        <v>48</v>
      </c>
      <c r="H174" t="s">
        <v>27</v>
      </c>
      <c r="I174">
        <v>4.7344599987769263E-2</v>
      </c>
      <c r="J174" t="s">
        <v>6</v>
      </c>
      <c r="L174" t="s">
        <v>49</v>
      </c>
      <c r="M174" t="s">
        <v>27</v>
      </c>
      <c r="N174">
        <v>4.3828929679089607E-2</v>
      </c>
      <c r="O174" t="s">
        <v>6</v>
      </c>
    </row>
    <row r="175" spans="2:15" x14ac:dyDescent="0.45">
      <c r="B175" t="s">
        <v>47</v>
      </c>
      <c r="C175" t="s">
        <v>28</v>
      </c>
      <c r="D175">
        <v>5.1995287885554756E-2</v>
      </c>
      <c r="E175" t="s">
        <v>6</v>
      </c>
      <c r="G175" t="s">
        <v>48</v>
      </c>
      <c r="H175" t="s">
        <v>28</v>
      </c>
      <c r="I175">
        <v>3.2335007810724417E-2</v>
      </c>
      <c r="J175" t="s">
        <v>6</v>
      </c>
      <c r="L175" t="s">
        <v>49</v>
      </c>
      <c r="M175" t="s">
        <v>28</v>
      </c>
      <c r="N175">
        <v>3.3818815104891965E-2</v>
      </c>
      <c r="O175" t="s">
        <v>6</v>
      </c>
    </row>
    <row r="176" spans="2:15" x14ac:dyDescent="0.45">
      <c r="B176" t="s">
        <v>47</v>
      </c>
      <c r="C176" t="s">
        <v>29</v>
      </c>
      <c r="D176">
        <v>8.8063464889310369E-2</v>
      </c>
      <c r="E176" t="s">
        <v>6</v>
      </c>
      <c r="G176" t="s">
        <v>48</v>
      </c>
      <c r="H176" t="s">
        <v>29</v>
      </c>
      <c r="I176">
        <v>3.2130717970128543E-2</v>
      </c>
      <c r="J176" t="s">
        <v>6</v>
      </c>
      <c r="L176" t="s">
        <v>49</v>
      </c>
      <c r="M176" t="s">
        <v>29</v>
      </c>
      <c r="N176">
        <v>3.6418930606727774E-2</v>
      </c>
      <c r="O176" t="s">
        <v>6</v>
      </c>
    </row>
    <row r="177" spans="2:15" x14ac:dyDescent="0.45">
      <c r="B177" t="s">
        <v>47</v>
      </c>
      <c r="C177" t="s">
        <v>30</v>
      </c>
      <c r="D177">
        <v>4.9084113996778533E-2</v>
      </c>
      <c r="E177" t="s">
        <v>6</v>
      </c>
      <c r="G177" t="s">
        <v>48</v>
      </c>
      <c r="H177" t="s">
        <v>30</v>
      </c>
      <c r="I177">
        <v>3.4502728180849929E-2</v>
      </c>
      <c r="J177" t="s">
        <v>6</v>
      </c>
      <c r="L177" t="s">
        <v>49</v>
      </c>
      <c r="M177" t="s">
        <v>30</v>
      </c>
      <c r="N177">
        <v>3.7319921195245506E-2</v>
      </c>
      <c r="O177" t="s">
        <v>6</v>
      </c>
    </row>
    <row r="178" spans="2:15" x14ac:dyDescent="0.45">
      <c r="B178" t="s">
        <v>47</v>
      </c>
      <c r="C178" t="s">
        <v>31</v>
      </c>
      <c r="D178">
        <v>3.3994680772927981E-3</v>
      </c>
      <c r="E178" t="s">
        <v>6</v>
      </c>
      <c r="G178" t="s">
        <v>48</v>
      </c>
      <c r="H178" t="s">
        <v>31</v>
      </c>
      <c r="I178">
        <v>3.7722863568529115E-2</v>
      </c>
      <c r="J178" t="s">
        <v>6</v>
      </c>
      <c r="L178" t="s">
        <v>49</v>
      </c>
      <c r="M178" t="s">
        <v>31</v>
      </c>
      <c r="N178">
        <v>3.6214991357760219E-2</v>
      </c>
      <c r="O178" t="s">
        <v>6</v>
      </c>
    </row>
    <row r="179" spans="2:15" x14ac:dyDescent="0.45">
      <c r="B179" t="s">
        <v>50</v>
      </c>
      <c r="C179" t="s">
        <v>5</v>
      </c>
      <c r="D179">
        <v>0</v>
      </c>
      <c r="E179" t="s">
        <v>6</v>
      </c>
      <c r="G179" t="s">
        <v>51</v>
      </c>
      <c r="H179" t="s">
        <v>5</v>
      </c>
      <c r="I179">
        <v>0.10581795593218335</v>
      </c>
      <c r="J179" t="s">
        <v>6</v>
      </c>
      <c r="L179" t="s">
        <v>52</v>
      </c>
      <c r="M179" t="s">
        <v>5</v>
      </c>
      <c r="N179">
        <v>9.1429174823443024E-2</v>
      </c>
      <c r="O179" t="s">
        <v>6</v>
      </c>
    </row>
    <row r="180" spans="2:15" x14ac:dyDescent="0.45">
      <c r="B180" t="s">
        <v>50</v>
      </c>
      <c r="C180" t="s">
        <v>9</v>
      </c>
      <c r="D180">
        <v>0</v>
      </c>
      <c r="E180" t="s">
        <v>6</v>
      </c>
      <c r="G180" t="s">
        <v>51</v>
      </c>
      <c r="H180" t="s">
        <v>9</v>
      </c>
      <c r="I180">
        <v>5.0674139150202913E-2</v>
      </c>
      <c r="J180" t="s">
        <v>6</v>
      </c>
      <c r="L180" t="s">
        <v>52</v>
      </c>
      <c r="M180" t="s">
        <v>9</v>
      </c>
      <c r="N180">
        <v>4.3965984662188026E-2</v>
      </c>
      <c r="O180" t="s">
        <v>6</v>
      </c>
    </row>
    <row r="181" spans="2:15" x14ac:dyDescent="0.45">
      <c r="B181" t="s">
        <v>50</v>
      </c>
      <c r="C181" t="s">
        <v>10</v>
      </c>
      <c r="D181">
        <v>2.255408908720926E-2</v>
      </c>
      <c r="E181" t="s">
        <v>6</v>
      </c>
      <c r="G181" t="s">
        <v>51</v>
      </c>
      <c r="H181" t="s">
        <v>10</v>
      </c>
      <c r="I181">
        <v>3.6282281018416573E-2</v>
      </c>
      <c r="J181" t="s">
        <v>6</v>
      </c>
      <c r="L181" t="s">
        <v>52</v>
      </c>
      <c r="M181" t="s">
        <v>10</v>
      </c>
      <c r="N181">
        <v>3.4240749800243386E-2</v>
      </c>
      <c r="O181" t="s">
        <v>6</v>
      </c>
    </row>
    <row r="182" spans="2:15" x14ac:dyDescent="0.45">
      <c r="B182" t="s">
        <v>50</v>
      </c>
      <c r="C182" t="s">
        <v>11</v>
      </c>
      <c r="D182">
        <v>6.7746097332079036E-2</v>
      </c>
      <c r="E182" t="s">
        <v>6</v>
      </c>
      <c r="G182" t="s">
        <v>51</v>
      </c>
      <c r="H182" t="s">
        <v>11</v>
      </c>
      <c r="I182">
        <v>3.4333719137760565E-2</v>
      </c>
      <c r="J182" t="s">
        <v>6</v>
      </c>
      <c r="L182" t="s">
        <v>52</v>
      </c>
      <c r="M182" t="s">
        <v>11</v>
      </c>
      <c r="N182">
        <v>3.7300418137298758E-2</v>
      </c>
      <c r="O182" t="s">
        <v>6</v>
      </c>
    </row>
    <row r="183" spans="2:15" x14ac:dyDescent="0.45">
      <c r="B183" t="s">
        <v>50</v>
      </c>
      <c r="C183" t="s">
        <v>12</v>
      </c>
      <c r="D183">
        <v>4.1073792117391643E-2</v>
      </c>
      <c r="E183" t="s">
        <v>6</v>
      </c>
      <c r="G183" t="s">
        <v>51</v>
      </c>
      <c r="H183" t="s">
        <v>12</v>
      </c>
      <c r="I183">
        <v>3.6014000198074166E-2</v>
      </c>
      <c r="J183" t="s">
        <v>6</v>
      </c>
      <c r="L183" t="s">
        <v>52</v>
      </c>
      <c r="M183" t="s">
        <v>12</v>
      </c>
      <c r="N183">
        <v>3.9536096216809917E-2</v>
      </c>
      <c r="O183" t="s">
        <v>6</v>
      </c>
    </row>
    <row r="184" spans="2:15" x14ac:dyDescent="0.45">
      <c r="B184" t="s">
        <v>50</v>
      </c>
      <c r="C184" t="s">
        <v>13</v>
      </c>
      <c r="D184">
        <v>1.4056150296393231E-3</v>
      </c>
      <c r="E184" t="s">
        <v>6</v>
      </c>
      <c r="G184" t="s">
        <v>51</v>
      </c>
      <c r="H184" t="s">
        <v>13</v>
      </c>
      <c r="I184">
        <v>3.8758939234188793E-2</v>
      </c>
      <c r="J184" t="s">
        <v>6</v>
      </c>
      <c r="L184" t="s">
        <v>52</v>
      </c>
      <c r="M184" t="s">
        <v>13</v>
      </c>
      <c r="N184">
        <v>3.6279778359237042E-2</v>
      </c>
      <c r="O184" t="s">
        <v>6</v>
      </c>
    </row>
    <row r="185" spans="2:15" x14ac:dyDescent="0.45">
      <c r="B185" t="s">
        <v>50</v>
      </c>
      <c r="C185" t="s">
        <v>14</v>
      </c>
      <c r="D185">
        <v>1.1029904461016911E-5</v>
      </c>
      <c r="E185" t="s">
        <v>6</v>
      </c>
      <c r="G185" t="s">
        <v>51</v>
      </c>
      <c r="H185" t="s">
        <v>14</v>
      </c>
      <c r="I185">
        <v>8.6159502047792935E-2</v>
      </c>
      <c r="J185" t="s">
        <v>6</v>
      </c>
      <c r="L185" t="s">
        <v>52</v>
      </c>
      <c r="M185" t="s">
        <v>14</v>
      </c>
      <c r="N185">
        <v>0.10505318246412131</v>
      </c>
      <c r="O185" t="s">
        <v>6</v>
      </c>
    </row>
    <row r="186" spans="2:15" x14ac:dyDescent="0.45">
      <c r="B186" t="s">
        <v>50</v>
      </c>
      <c r="C186" t="s">
        <v>15</v>
      </c>
      <c r="D186">
        <v>7.3318568954546335E-3</v>
      </c>
      <c r="E186" t="s">
        <v>6</v>
      </c>
      <c r="G186" t="s">
        <v>51</v>
      </c>
      <c r="H186" t="s">
        <v>15</v>
      </c>
      <c r="I186">
        <v>4.1615039744625409E-2</v>
      </c>
      <c r="J186" t="s">
        <v>6</v>
      </c>
      <c r="L186" t="s">
        <v>52</v>
      </c>
      <c r="M186" t="s">
        <v>15</v>
      </c>
      <c r="N186">
        <v>5.2262701901680524E-2</v>
      </c>
      <c r="O186" t="s">
        <v>6</v>
      </c>
    </row>
    <row r="187" spans="2:15" x14ac:dyDescent="0.45">
      <c r="B187" t="s">
        <v>50</v>
      </c>
      <c r="C187" t="s">
        <v>16</v>
      </c>
      <c r="D187">
        <v>7.3956646120433733E-2</v>
      </c>
      <c r="E187" t="s">
        <v>6</v>
      </c>
      <c r="G187" t="s">
        <v>51</v>
      </c>
      <c r="H187" t="s">
        <v>16</v>
      </c>
      <c r="I187">
        <v>2.8297966755624356E-2</v>
      </c>
      <c r="J187" t="s">
        <v>6</v>
      </c>
      <c r="L187" t="s">
        <v>52</v>
      </c>
      <c r="M187" t="s">
        <v>16</v>
      </c>
      <c r="N187">
        <v>3.8732032013666554E-2</v>
      </c>
      <c r="O187" t="s">
        <v>6</v>
      </c>
    </row>
    <row r="188" spans="2:15" x14ac:dyDescent="0.45">
      <c r="B188" t="s">
        <v>50</v>
      </c>
      <c r="C188" t="s">
        <v>17</v>
      </c>
      <c r="D188">
        <v>0.11994237636904928</v>
      </c>
      <c r="E188" t="s">
        <v>6</v>
      </c>
      <c r="G188" t="s">
        <v>51</v>
      </c>
      <c r="H188" t="s">
        <v>17</v>
      </c>
      <c r="I188">
        <v>2.8704533580252156E-2</v>
      </c>
      <c r="J188" t="s">
        <v>6</v>
      </c>
      <c r="L188" t="s">
        <v>52</v>
      </c>
      <c r="M188" t="s">
        <v>17</v>
      </c>
      <c r="N188">
        <v>3.9973424471696134E-2</v>
      </c>
      <c r="O188" t="s">
        <v>6</v>
      </c>
    </row>
    <row r="189" spans="2:15" x14ac:dyDescent="0.45">
      <c r="B189" t="s">
        <v>50</v>
      </c>
      <c r="C189" t="s">
        <v>18</v>
      </c>
      <c r="D189">
        <v>8.6609636850891319E-2</v>
      </c>
      <c r="E189" t="s">
        <v>6</v>
      </c>
      <c r="G189" t="s">
        <v>51</v>
      </c>
      <c r="H189" t="s">
        <v>18</v>
      </c>
      <c r="I189">
        <v>3.0760097404568604E-2</v>
      </c>
      <c r="J189" t="s">
        <v>6</v>
      </c>
      <c r="L189" t="s">
        <v>52</v>
      </c>
      <c r="M189" t="s">
        <v>18</v>
      </c>
      <c r="N189">
        <v>4.0803880246667222E-2</v>
      </c>
      <c r="O189" t="s">
        <v>6</v>
      </c>
    </row>
    <row r="190" spans="2:15" x14ac:dyDescent="0.45">
      <c r="B190" t="s">
        <v>50</v>
      </c>
      <c r="C190" t="s">
        <v>19</v>
      </c>
      <c r="D190">
        <v>1.8056976823947968E-2</v>
      </c>
      <c r="E190" t="s">
        <v>6</v>
      </c>
      <c r="G190" t="s">
        <v>51</v>
      </c>
      <c r="H190" t="s">
        <v>19</v>
      </c>
      <c r="I190">
        <v>2.9942428811187517E-2</v>
      </c>
      <c r="J190" t="s">
        <v>6</v>
      </c>
      <c r="L190" t="s">
        <v>52</v>
      </c>
      <c r="M190" t="s">
        <v>19</v>
      </c>
      <c r="N190">
        <v>3.973645298861378E-2</v>
      </c>
      <c r="O190" t="s">
        <v>6</v>
      </c>
    </row>
    <row r="191" spans="2:15" x14ac:dyDescent="0.45">
      <c r="B191" t="s">
        <v>50</v>
      </c>
      <c r="C191" t="s">
        <v>20</v>
      </c>
      <c r="D191">
        <v>1.9774112182324686E-4</v>
      </c>
      <c r="E191" t="s">
        <v>6</v>
      </c>
      <c r="G191" t="s">
        <v>51</v>
      </c>
      <c r="H191" t="s">
        <v>20</v>
      </c>
      <c r="I191">
        <v>6.986279313151679E-2</v>
      </c>
      <c r="J191" t="s">
        <v>6</v>
      </c>
      <c r="L191" t="s">
        <v>52</v>
      </c>
      <c r="M191" t="s">
        <v>20</v>
      </c>
      <c r="N191">
        <v>3.4879902686675485E-2</v>
      </c>
      <c r="O191" t="s">
        <v>6</v>
      </c>
    </row>
    <row r="192" spans="2:15" x14ac:dyDescent="0.45">
      <c r="B192" t="s">
        <v>50</v>
      </c>
      <c r="C192" t="s">
        <v>21</v>
      </c>
      <c r="D192">
        <v>1.2381247600231491E-2</v>
      </c>
      <c r="E192" t="s">
        <v>6</v>
      </c>
      <c r="G192" t="s">
        <v>51</v>
      </c>
      <c r="H192" t="s">
        <v>21</v>
      </c>
      <c r="I192">
        <v>2.7562586655152412E-2</v>
      </c>
      <c r="J192" t="s">
        <v>6</v>
      </c>
      <c r="L192" t="s">
        <v>52</v>
      </c>
      <c r="M192" t="s">
        <v>21</v>
      </c>
      <c r="N192">
        <v>1.6080209024135265E-2</v>
      </c>
      <c r="O192" t="s">
        <v>6</v>
      </c>
    </row>
    <row r="193" spans="2:15" x14ac:dyDescent="0.45">
      <c r="B193" t="s">
        <v>50</v>
      </c>
      <c r="C193" t="s">
        <v>22</v>
      </c>
      <c r="D193">
        <v>8.8032995976711173E-2</v>
      </c>
      <c r="E193" t="s">
        <v>6</v>
      </c>
      <c r="G193" t="s">
        <v>51</v>
      </c>
      <c r="H193" t="s">
        <v>22</v>
      </c>
      <c r="I193">
        <v>1.7249502240525329E-2</v>
      </c>
      <c r="J193" t="s">
        <v>6</v>
      </c>
      <c r="L193" t="s">
        <v>52</v>
      </c>
      <c r="M193" t="s">
        <v>22</v>
      </c>
      <c r="N193">
        <v>1.534787658927237E-2</v>
      </c>
      <c r="O193" t="s">
        <v>6</v>
      </c>
    </row>
    <row r="194" spans="2:15" x14ac:dyDescent="0.45">
      <c r="B194" t="s">
        <v>50</v>
      </c>
      <c r="C194" t="s">
        <v>23</v>
      </c>
      <c r="D194">
        <v>0.13431855672708642</v>
      </c>
      <c r="E194" t="s">
        <v>6</v>
      </c>
      <c r="G194" t="s">
        <v>51</v>
      </c>
      <c r="H194" t="s">
        <v>23</v>
      </c>
      <c r="I194">
        <v>1.9412016709079334E-2</v>
      </c>
      <c r="J194" t="s">
        <v>6</v>
      </c>
      <c r="L194" t="s">
        <v>52</v>
      </c>
      <c r="M194" t="s">
        <v>23</v>
      </c>
      <c r="N194">
        <v>1.7788616217505455E-2</v>
      </c>
      <c r="O194" t="s">
        <v>6</v>
      </c>
    </row>
    <row r="195" spans="2:15" x14ac:dyDescent="0.45">
      <c r="B195" t="s">
        <v>50</v>
      </c>
      <c r="C195" t="s">
        <v>24</v>
      </c>
      <c r="D195">
        <v>0.10767839979090414</v>
      </c>
      <c r="E195" t="s">
        <v>6</v>
      </c>
      <c r="G195" t="s">
        <v>51</v>
      </c>
      <c r="H195" t="s">
        <v>24</v>
      </c>
      <c r="I195">
        <v>2.2522332501380953E-2</v>
      </c>
      <c r="J195" t="s">
        <v>6</v>
      </c>
      <c r="L195" t="s">
        <v>52</v>
      </c>
      <c r="M195" t="s">
        <v>24</v>
      </c>
      <c r="N195">
        <v>1.5655227948114962E-2</v>
      </c>
      <c r="O195" t="s">
        <v>6</v>
      </c>
    </row>
    <row r="196" spans="2:15" x14ac:dyDescent="0.45">
      <c r="B196" t="s">
        <v>50</v>
      </c>
      <c r="C196" t="s">
        <v>25</v>
      </c>
      <c r="D196">
        <v>2.9856879180525646E-2</v>
      </c>
      <c r="E196" t="s">
        <v>6</v>
      </c>
      <c r="G196" t="s">
        <v>51</v>
      </c>
      <c r="H196" t="s">
        <v>25</v>
      </c>
      <c r="I196">
        <v>2.3509293868630085E-2</v>
      </c>
      <c r="J196" t="s">
        <v>6</v>
      </c>
      <c r="L196" t="s">
        <v>52</v>
      </c>
      <c r="M196" t="s">
        <v>25</v>
      </c>
      <c r="N196">
        <v>1.3942275220934093E-2</v>
      </c>
      <c r="O196" t="s">
        <v>6</v>
      </c>
    </row>
    <row r="197" spans="2:15" x14ac:dyDescent="0.45">
      <c r="B197" t="s">
        <v>50</v>
      </c>
      <c r="C197" t="s">
        <v>26</v>
      </c>
      <c r="D197">
        <v>0</v>
      </c>
      <c r="E197" t="s">
        <v>6</v>
      </c>
      <c r="G197" t="s">
        <v>51</v>
      </c>
      <c r="H197" t="s">
        <v>26</v>
      </c>
      <c r="I197">
        <v>9.4261425514640548E-2</v>
      </c>
      <c r="J197" t="s">
        <v>6</v>
      </c>
      <c r="L197" t="s">
        <v>52</v>
      </c>
      <c r="M197" t="s">
        <v>26</v>
      </c>
      <c r="N197">
        <v>9.7165242353398268E-2</v>
      </c>
      <c r="O197" t="s">
        <v>6</v>
      </c>
    </row>
    <row r="198" spans="2:15" x14ac:dyDescent="0.45">
      <c r="B198" t="s">
        <v>50</v>
      </c>
      <c r="C198" t="s">
        <v>27</v>
      </c>
      <c r="D198">
        <v>1.7672946929558845E-3</v>
      </c>
      <c r="E198" t="s">
        <v>6</v>
      </c>
      <c r="G198" t="s">
        <v>51</v>
      </c>
      <c r="H198" t="s">
        <v>27</v>
      </c>
      <c r="I198">
        <v>4.4520910039291282E-2</v>
      </c>
      <c r="J198" t="s">
        <v>6</v>
      </c>
      <c r="L198" t="s">
        <v>52</v>
      </c>
      <c r="M198" t="s">
        <v>27</v>
      </c>
      <c r="N198">
        <v>4.4878397373966393E-2</v>
      </c>
      <c r="O198" t="s">
        <v>6</v>
      </c>
    </row>
    <row r="199" spans="2:15" x14ac:dyDescent="0.45">
      <c r="B199" t="s">
        <v>50</v>
      </c>
      <c r="C199" t="s">
        <v>28</v>
      </c>
      <c r="D199">
        <v>4.6583934012461227E-2</v>
      </c>
      <c r="E199" t="s">
        <v>6</v>
      </c>
      <c r="G199" t="s">
        <v>51</v>
      </c>
      <c r="H199" t="s">
        <v>28</v>
      </c>
      <c r="I199">
        <v>3.0978416484428235E-2</v>
      </c>
      <c r="J199" t="s">
        <v>6</v>
      </c>
      <c r="L199" t="s">
        <v>52</v>
      </c>
      <c r="M199" t="s">
        <v>28</v>
      </c>
      <c r="N199">
        <v>3.4706240954865922E-2</v>
      </c>
      <c r="O199" t="s">
        <v>6</v>
      </c>
    </row>
    <row r="200" spans="2:15" x14ac:dyDescent="0.45">
      <c r="B200" t="s">
        <v>50</v>
      </c>
      <c r="C200" t="s">
        <v>29</v>
      </c>
      <c r="D200">
        <v>8.3717985350231783E-2</v>
      </c>
      <c r="E200" t="s">
        <v>6</v>
      </c>
      <c r="G200" t="s">
        <v>51</v>
      </c>
      <c r="H200" t="s">
        <v>29</v>
      </c>
      <c r="I200">
        <v>3.2624814680199427E-2</v>
      </c>
      <c r="J200" t="s">
        <v>6</v>
      </c>
      <c r="L200" t="s">
        <v>52</v>
      </c>
      <c r="M200" t="s">
        <v>29</v>
      </c>
      <c r="N200">
        <v>3.5368188731185364E-2</v>
      </c>
      <c r="O200" t="s">
        <v>6</v>
      </c>
    </row>
    <row r="201" spans="2:15" x14ac:dyDescent="0.45">
      <c r="B201" t="s">
        <v>50</v>
      </c>
      <c r="C201" t="s">
        <v>30</v>
      </c>
      <c r="D201">
        <v>5.2378781407830081E-2</v>
      </c>
      <c r="E201" t="s">
        <v>6</v>
      </c>
      <c r="G201" t="s">
        <v>51</v>
      </c>
      <c r="H201" t="s">
        <v>30</v>
      </c>
      <c r="I201">
        <v>3.446812562743453E-2</v>
      </c>
      <c r="J201" t="s">
        <v>6</v>
      </c>
      <c r="L201" t="s">
        <v>52</v>
      </c>
      <c r="M201" t="s">
        <v>30</v>
      </c>
      <c r="N201">
        <v>3.6744445912274784E-2</v>
      </c>
      <c r="O201" t="s">
        <v>6</v>
      </c>
    </row>
    <row r="202" spans="2:15" x14ac:dyDescent="0.45">
      <c r="B202" t="s">
        <v>50</v>
      </c>
      <c r="C202" t="s">
        <v>31</v>
      </c>
      <c r="D202">
        <v>4.3980676086825448E-3</v>
      </c>
      <c r="E202" t="s">
        <v>6</v>
      </c>
      <c r="G202" t="s">
        <v>51</v>
      </c>
      <c r="H202" t="s">
        <v>31</v>
      </c>
      <c r="I202">
        <v>3.5667179532842451E-2</v>
      </c>
      <c r="J202" t="s">
        <v>6</v>
      </c>
      <c r="L202" t="s">
        <v>52</v>
      </c>
      <c r="M202" t="s">
        <v>31</v>
      </c>
      <c r="N202">
        <v>3.8129500902005946E-2</v>
      </c>
      <c r="O202" t="s">
        <v>6</v>
      </c>
    </row>
    <row r="203" spans="2:15" x14ac:dyDescent="0.45">
      <c r="B203" t="s">
        <v>53</v>
      </c>
      <c r="C203" t="s">
        <v>5</v>
      </c>
      <c r="D203">
        <v>0</v>
      </c>
      <c r="E203" t="s">
        <v>6</v>
      </c>
      <c r="G203" t="s">
        <v>54</v>
      </c>
      <c r="H203" t="s">
        <v>5</v>
      </c>
      <c r="I203">
        <v>0.10841412488422877</v>
      </c>
      <c r="J203" t="s">
        <v>6</v>
      </c>
      <c r="L203" t="s">
        <v>55</v>
      </c>
      <c r="M203" t="s">
        <v>5</v>
      </c>
      <c r="N203">
        <v>0.10834517263263684</v>
      </c>
      <c r="O203" t="s">
        <v>6</v>
      </c>
    </row>
    <row r="204" spans="2:15" x14ac:dyDescent="0.45">
      <c r="B204" t="s">
        <v>53</v>
      </c>
      <c r="C204" t="s">
        <v>9</v>
      </c>
      <c r="D204">
        <v>0</v>
      </c>
      <c r="E204" t="s">
        <v>6</v>
      </c>
      <c r="G204" t="s">
        <v>54</v>
      </c>
      <c r="H204" t="s">
        <v>9</v>
      </c>
      <c r="I204">
        <v>5.1971821661790735E-2</v>
      </c>
      <c r="J204" t="s">
        <v>6</v>
      </c>
      <c r="L204" t="s">
        <v>55</v>
      </c>
      <c r="M204" t="s">
        <v>9</v>
      </c>
      <c r="N204">
        <v>5.2905897828685579E-2</v>
      </c>
      <c r="O204" t="s">
        <v>6</v>
      </c>
    </row>
    <row r="205" spans="2:15" x14ac:dyDescent="0.45">
      <c r="B205" t="s">
        <v>53</v>
      </c>
      <c r="C205" t="s">
        <v>10</v>
      </c>
      <c r="D205">
        <v>1.9510664656207294E-2</v>
      </c>
      <c r="E205" t="s">
        <v>6</v>
      </c>
      <c r="G205" t="s">
        <v>54</v>
      </c>
      <c r="H205" t="s">
        <v>10</v>
      </c>
      <c r="I205">
        <v>3.6127331099053354E-2</v>
      </c>
      <c r="J205" t="s">
        <v>6</v>
      </c>
      <c r="L205" t="s">
        <v>55</v>
      </c>
      <c r="M205" t="s">
        <v>10</v>
      </c>
      <c r="N205">
        <v>3.6483102686148072E-2</v>
      </c>
      <c r="O205" t="s">
        <v>6</v>
      </c>
    </row>
    <row r="206" spans="2:15" x14ac:dyDescent="0.45">
      <c r="B206" t="s">
        <v>53</v>
      </c>
      <c r="C206" t="s">
        <v>11</v>
      </c>
      <c r="D206">
        <v>6.5844720035693249E-2</v>
      </c>
      <c r="E206" t="s">
        <v>6</v>
      </c>
      <c r="G206" t="s">
        <v>54</v>
      </c>
      <c r="H206" t="s">
        <v>11</v>
      </c>
      <c r="I206">
        <v>3.4349435338370801E-2</v>
      </c>
      <c r="J206" t="s">
        <v>6</v>
      </c>
      <c r="L206" t="s">
        <v>55</v>
      </c>
      <c r="M206" t="s">
        <v>11</v>
      </c>
      <c r="N206">
        <v>3.46165477166352E-2</v>
      </c>
      <c r="O206" t="s">
        <v>6</v>
      </c>
    </row>
    <row r="207" spans="2:15" x14ac:dyDescent="0.45">
      <c r="B207" t="s">
        <v>53</v>
      </c>
      <c r="C207" t="s">
        <v>12</v>
      </c>
      <c r="D207">
        <v>4.7425918949606627E-2</v>
      </c>
      <c r="E207" t="s">
        <v>6</v>
      </c>
      <c r="G207" t="s">
        <v>54</v>
      </c>
      <c r="H207" t="s">
        <v>12</v>
      </c>
      <c r="I207">
        <v>3.5893989485686659E-2</v>
      </c>
      <c r="J207" t="s">
        <v>6</v>
      </c>
      <c r="L207" t="s">
        <v>55</v>
      </c>
      <c r="M207" t="s">
        <v>12</v>
      </c>
      <c r="N207">
        <v>3.5065105777328354E-2</v>
      </c>
      <c r="O207" t="s">
        <v>6</v>
      </c>
    </row>
    <row r="208" spans="2:15" x14ac:dyDescent="0.45">
      <c r="B208" t="s">
        <v>53</v>
      </c>
      <c r="C208" t="s">
        <v>13</v>
      </c>
      <c r="D208">
        <v>3.3775907142228139E-3</v>
      </c>
      <c r="E208" t="s">
        <v>6</v>
      </c>
      <c r="G208" t="s">
        <v>54</v>
      </c>
      <c r="H208" t="s">
        <v>13</v>
      </c>
      <c r="I208">
        <v>3.999152243420559E-2</v>
      </c>
      <c r="J208" t="s">
        <v>6</v>
      </c>
      <c r="L208" t="s">
        <v>55</v>
      </c>
      <c r="M208" t="s">
        <v>13</v>
      </c>
      <c r="N208">
        <v>3.7961142118366334E-2</v>
      </c>
      <c r="O208" t="s">
        <v>6</v>
      </c>
    </row>
    <row r="209" spans="2:15" x14ac:dyDescent="0.45">
      <c r="B209" t="s">
        <v>53</v>
      </c>
      <c r="C209" t="s">
        <v>14</v>
      </c>
      <c r="D209">
        <v>4.7783447026815724E-5</v>
      </c>
      <c r="E209" t="s">
        <v>6</v>
      </c>
      <c r="G209" t="s">
        <v>54</v>
      </c>
      <c r="H209" t="s">
        <v>14</v>
      </c>
      <c r="I209">
        <v>8.5600020479088532E-2</v>
      </c>
      <c r="J209" t="s">
        <v>6</v>
      </c>
      <c r="L209" t="s">
        <v>55</v>
      </c>
      <c r="M209" t="s">
        <v>14</v>
      </c>
      <c r="N209">
        <v>8.7612131076410651E-2</v>
      </c>
      <c r="O209" t="s">
        <v>6</v>
      </c>
    </row>
    <row r="210" spans="2:15" x14ac:dyDescent="0.45">
      <c r="B210" t="s">
        <v>53</v>
      </c>
      <c r="C210" t="s">
        <v>15</v>
      </c>
      <c r="D210">
        <v>4.5551252423912947E-3</v>
      </c>
      <c r="E210" t="s">
        <v>6</v>
      </c>
      <c r="G210" t="s">
        <v>54</v>
      </c>
      <c r="H210" t="s">
        <v>15</v>
      </c>
      <c r="I210">
        <v>4.2442467672173967E-2</v>
      </c>
      <c r="J210" t="s">
        <v>6</v>
      </c>
      <c r="L210" t="s">
        <v>55</v>
      </c>
      <c r="M210" t="s">
        <v>15</v>
      </c>
      <c r="N210">
        <v>4.5612233504942964E-2</v>
      </c>
      <c r="O210" t="s">
        <v>6</v>
      </c>
    </row>
    <row r="211" spans="2:15" x14ac:dyDescent="0.45">
      <c r="B211" t="s">
        <v>53</v>
      </c>
      <c r="C211" t="s">
        <v>16</v>
      </c>
      <c r="D211">
        <v>6.4468612809207071E-2</v>
      </c>
      <c r="E211" t="s">
        <v>6</v>
      </c>
      <c r="G211" t="s">
        <v>54</v>
      </c>
      <c r="H211" t="s">
        <v>16</v>
      </c>
      <c r="I211">
        <v>2.745928697188944E-2</v>
      </c>
      <c r="J211" t="s">
        <v>6</v>
      </c>
      <c r="L211" t="s">
        <v>55</v>
      </c>
      <c r="M211" t="s">
        <v>16</v>
      </c>
      <c r="N211">
        <v>3.1459451464815734E-2</v>
      </c>
      <c r="O211" t="s">
        <v>6</v>
      </c>
    </row>
    <row r="212" spans="2:15" x14ac:dyDescent="0.45">
      <c r="B212" t="s">
        <v>53</v>
      </c>
      <c r="C212" t="s">
        <v>17</v>
      </c>
      <c r="D212">
        <v>0.11659456534858069</v>
      </c>
      <c r="E212" t="s">
        <v>6</v>
      </c>
      <c r="G212" t="s">
        <v>54</v>
      </c>
      <c r="H212" t="s">
        <v>17</v>
      </c>
      <c r="I212">
        <v>2.6217440614991119E-2</v>
      </c>
      <c r="J212" t="s">
        <v>6</v>
      </c>
      <c r="L212" t="s">
        <v>55</v>
      </c>
      <c r="M212" t="s">
        <v>17</v>
      </c>
      <c r="N212">
        <v>3.1676420714642446E-2</v>
      </c>
      <c r="O212" t="s">
        <v>6</v>
      </c>
    </row>
    <row r="213" spans="2:15" x14ac:dyDescent="0.45">
      <c r="B213" t="s">
        <v>53</v>
      </c>
      <c r="C213" t="s">
        <v>18</v>
      </c>
      <c r="D213">
        <v>9.5668225210207528E-2</v>
      </c>
      <c r="E213" t="s">
        <v>6</v>
      </c>
      <c r="G213" t="s">
        <v>54</v>
      </c>
      <c r="H213" t="s">
        <v>18</v>
      </c>
      <c r="I213">
        <v>2.9248790579617906E-2</v>
      </c>
      <c r="J213" t="s">
        <v>6</v>
      </c>
      <c r="L213" t="s">
        <v>55</v>
      </c>
      <c r="M213" t="s">
        <v>18</v>
      </c>
      <c r="N213">
        <v>3.4944425903160901E-2</v>
      </c>
      <c r="O213" t="s">
        <v>6</v>
      </c>
    </row>
    <row r="214" spans="2:15" x14ac:dyDescent="0.45">
      <c r="B214" t="s">
        <v>53</v>
      </c>
      <c r="C214" t="s">
        <v>19</v>
      </c>
      <c r="D214">
        <v>2.4085651860060859E-2</v>
      </c>
      <c r="E214" t="s">
        <v>6</v>
      </c>
      <c r="G214" t="s">
        <v>54</v>
      </c>
      <c r="H214" t="s">
        <v>19</v>
      </c>
      <c r="I214">
        <v>2.9942376210151445E-2</v>
      </c>
      <c r="J214" t="s">
        <v>6</v>
      </c>
      <c r="L214" t="s">
        <v>55</v>
      </c>
      <c r="M214" t="s">
        <v>19</v>
      </c>
      <c r="N214">
        <v>3.4932041715946924E-2</v>
      </c>
      <c r="O214" t="s">
        <v>6</v>
      </c>
    </row>
    <row r="215" spans="2:15" x14ac:dyDescent="0.45">
      <c r="B215" t="s">
        <v>53</v>
      </c>
      <c r="C215" t="s">
        <v>20</v>
      </c>
      <c r="D215">
        <v>4.1753758886640822E-4</v>
      </c>
      <c r="E215" t="s">
        <v>6</v>
      </c>
      <c r="G215" t="s">
        <v>54</v>
      </c>
      <c r="H215" t="s">
        <v>20</v>
      </c>
      <c r="I215">
        <v>6.7381674322832819E-2</v>
      </c>
      <c r="J215" t="s">
        <v>6</v>
      </c>
      <c r="L215" t="s">
        <v>55</v>
      </c>
      <c r="M215" t="s">
        <v>20</v>
      </c>
      <c r="N215">
        <v>5.4111556503847594E-2</v>
      </c>
      <c r="O215" t="s">
        <v>6</v>
      </c>
    </row>
    <row r="216" spans="2:15" x14ac:dyDescent="0.45">
      <c r="B216" t="s">
        <v>53</v>
      </c>
      <c r="C216" t="s">
        <v>21</v>
      </c>
      <c r="D216">
        <v>7.3347639547825354E-3</v>
      </c>
      <c r="E216" t="s">
        <v>6</v>
      </c>
      <c r="G216" t="s">
        <v>54</v>
      </c>
      <c r="H216" t="s">
        <v>21</v>
      </c>
      <c r="I216">
        <v>2.8057245673973899E-2</v>
      </c>
      <c r="J216" t="s">
        <v>6</v>
      </c>
      <c r="L216" t="s">
        <v>55</v>
      </c>
      <c r="M216" t="s">
        <v>21</v>
      </c>
      <c r="N216">
        <v>1.9666223481873104E-2</v>
      </c>
      <c r="O216" t="s">
        <v>6</v>
      </c>
    </row>
    <row r="217" spans="2:15" x14ac:dyDescent="0.45">
      <c r="B217" t="s">
        <v>53</v>
      </c>
      <c r="C217" t="s">
        <v>22</v>
      </c>
      <c r="D217">
        <v>7.3940215523520259E-2</v>
      </c>
      <c r="E217" t="s">
        <v>6</v>
      </c>
      <c r="G217" t="s">
        <v>54</v>
      </c>
      <c r="H217" t="s">
        <v>22</v>
      </c>
      <c r="I217">
        <v>1.6202040665212865E-2</v>
      </c>
      <c r="J217" t="s">
        <v>6</v>
      </c>
      <c r="L217" t="s">
        <v>55</v>
      </c>
      <c r="M217" t="s">
        <v>22</v>
      </c>
      <c r="N217">
        <v>1.3041584939333757E-2</v>
      </c>
      <c r="O217" t="s">
        <v>6</v>
      </c>
    </row>
    <row r="218" spans="2:15" x14ac:dyDescent="0.45">
      <c r="B218" t="s">
        <v>53</v>
      </c>
      <c r="C218" t="s">
        <v>23</v>
      </c>
      <c r="D218">
        <v>0.12665638362701978</v>
      </c>
      <c r="E218" t="s">
        <v>6</v>
      </c>
      <c r="G218" t="s">
        <v>54</v>
      </c>
      <c r="H218" t="s">
        <v>23</v>
      </c>
      <c r="I218">
        <v>1.6925562077987923E-2</v>
      </c>
      <c r="J218" t="s">
        <v>6</v>
      </c>
      <c r="L218" t="s">
        <v>55</v>
      </c>
      <c r="M218" t="s">
        <v>23</v>
      </c>
      <c r="N218">
        <v>1.6775403156466102E-2</v>
      </c>
      <c r="O218" t="s">
        <v>6</v>
      </c>
    </row>
    <row r="219" spans="2:15" x14ac:dyDescent="0.45">
      <c r="B219" t="s">
        <v>53</v>
      </c>
      <c r="C219" t="s">
        <v>24</v>
      </c>
      <c r="D219">
        <v>0.11054515950394735</v>
      </c>
      <c r="E219" t="s">
        <v>6</v>
      </c>
      <c r="G219" t="s">
        <v>54</v>
      </c>
      <c r="H219" t="s">
        <v>24</v>
      </c>
      <c r="I219">
        <v>1.8925902796566182E-2</v>
      </c>
      <c r="J219" t="s">
        <v>6</v>
      </c>
      <c r="L219" t="s">
        <v>55</v>
      </c>
      <c r="M219" t="s">
        <v>24</v>
      </c>
      <c r="N219">
        <v>2.6547125249807863E-2</v>
      </c>
      <c r="O219" t="s">
        <v>6</v>
      </c>
    </row>
    <row r="220" spans="2:15" x14ac:dyDescent="0.45">
      <c r="B220" t="s">
        <v>53</v>
      </c>
      <c r="C220" t="s">
        <v>25</v>
      </c>
      <c r="D220">
        <v>3.5525522502242286E-2</v>
      </c>
      <c r="E220" t="s">
        <v>6</v>
      </c>
      <c r="G220" t="s">
        <v>54</v>
      </c>
      <c r="H220" t="s">
        <v>25</v>
      </c>
      <c r="I220">
        <v>1.9956128427672627E-2</v>
      </c>
      <c r="J220" t="s">
        <v>6</v>
      </c>
      <c r="L220" t="s">
        <v>55</v>
      </c>
      <c r="M220" t="s">
        <v>25</v>
      </c>
      <c r="N220">
        <v>2.8601108920459112E-2</v>
      </c>
      <c r="O220" t="s">
        <v>6</v>
      </c>
    </row>
    <row r="221" spans="2:15" x14ac:dyDescent="0.45">
      <c r="B221" t="s">
        <v>53</v>
      </c>
      <c r="C221" t="s">
        <v>26</v>
      </c>
      <c r="D221">
        <v>0</v>
      </c>
      <c r="E221" t="s">
        <v>6</v>
      </c>
      <c r="G221" t="s">
        <v>54</v>
      </c>
      <c r="H221" t="s">
        <v>26</v>
      </c>
      <c r="I221">
        <v>0.10103507252778857</v>
      </c>
      <c r="J221" t="s">
        <v>6</v>
      </c>
      <c r="L221" t="s">
        <v>55</v>
      </c>
      <c r="M221" t="s">
        <v>26</v>
      </c>
      <c r="N221">
        <v>9.1326950436284429E-2</v>
      </c>
      <c r="O221" t="s">
        <v>6</v>
      </c>
    </row>
    <row r="222" spans="2:15" x14ac:dyDescent="0.45">
      <c r="B222" t="s">
        <v>53</v>
      </c>
      <c r="C222" t="s">
        <v>27</v>
      </c>
      <c r="D222">
        <v>7.4204432671846595E-4</v>
      </c>
      <c r="E222" t="s">
        <v>6</v>
      </c>
      <c r="G222" t="s">
        <v>54</v>
      </c>
      <c r="H222" t="s">
        <v>27</v>
      </c>
      <c r="I222">
        <v>4.6630794446084575E-2</v>
      </c>
      <c r="J222" t="s">
        <v>6</v>
      </c>
      <c r="L222" t="s">
        <v>55</v>
      </c>
      <c r="M222" t="s">
        <v>27</v>
      </c>
      <c r="N222">
        <v>4.4992287598692823E-2</v>
      </c>
      <c r="O222" t="s">
        <v>6</v>
      </c>
    </row>
    <row r="223" spans="2:15" x14ac:dyDescent="0.45">
      <c r="B223" t="s">
        <v>53</v>
      </c>
      <c r="C223" t="s">
        <v>28</v>
      </c>
      <c r="D223">
        <v>4.0519816360956223E-2</v>
      </c>
      <c r="E223" t="s">
        <v>6</v>
      </c>
      <c r="G223" t="s">
        <v>54</v>
      </c>
      <c r="H223" t="s">
        <v>28</v>
      </c>
      <c r="I223">
        <v>3.2055255515670573E-2</v>
      </c>
      <c r="J223" t="s">
        <v>6</v>
      </c>
      <c r="L223" t="s">
        <v>55</v>
      </c>
      <c r="M223" t="s">
        <v>28</v>
      </c>
      <c r="N223">
        <v>3.0975084029987977E-2</v>
      </c>
      <c r="O223" t="s">
        <v>6</v>
      </c>
    </row>
    <row r="224" spans="2:15" x14ac:dyDescent="0.45">
      <c r="B224" t="s">
        <v>53</v>
      </c>
      <c r="C224" t="s">
        <v>29</v>
      </c>
      <c r="D224">
        <v>8.9614311015630999E-2</v>
      </c>
      <c r="E224" t="s">
        <v>6</v>
      </c>
      <c r="G224" t="s">
        <v>54</v>
      </c>
      <c r="H224" t="s">
        <v>29</v>
      </c>
      <c r="I224">
        <v>3.2344287959461364E-2</v>
      </c>
      <c r="J224" t="s">
        <v>6</v>
      </c>
      <c r="L224" t="s">
        <v>55</v>
      </c>
      <c r="M224" t="s">
        <v>29</v>
      </c>
      <c r="N224">
        <v>3.1290477618735484E-2</v>
      </c>
      <c r="O224" t="s">
        <v>6</v>
      </c>
    </row>
    <row r="225" spans="2:15" x14ac:dyDescent="0.45">
      <c r="B225" t="s">
        <v>53</v>
      </c>
      <c r="C225" t="s">
        <v>30</v>
      </c>
      <c r="D225">
        <v>6.5287741202821561E-2</v>
      </c>
      <c r="E225" t="s">
        <v>6</v>
      </c>
      <c r="G225" t="s">
        <v>54</v>
      </c>
      <c r="H225" t="s">
        <v>30</v>
      </c>
      <c r="I225">
        <v>3.4636138206294867E-2</v>
      </c>
      <c r="J225" t="s">
        <v>6</v>
      </c>
      <c r="L225" t="s">
        <v>55</v>
      </c>
      <c r="M225" t="s">
        <v>30</v>
      </c>
      <c r="N225">
        <v>3.4683139535490674E-2</v>
      </c>
      <c r="O225" t="s">
        <v>6</v>
      </c>
    </row>
    <row r="226" spans="2:15" x14ac:dyDescent="0.45">
      <c r="B226" t="s">
        <v>53</v>
      </c>
      <c r="C226" t="s">
        <v>31</v>
      </c>
      <c r="D226">
        <v>7.8376461202941984E-3</v>
      </c>
      <c r="E226" t="s">
        <v>6</v>
      </c>
      <c r="G226" t="s">
        <v>54</v>
      </c>
      <c r="H226" t="s">
        <v>31</v>
      </c>
      <c r="I226">
        <v>3.8191289949202838E-2</v>
      </c>
      <c r="J226" t="s">
        <v>6</v>
      </c>
      <c r="L226" t="s">
        <v>55</v>
      </c>
      <c r="M226" t="s">
        <v>31</v>
      </c>
      <c r="N226">
        <v>3.6375385389298708E-2</v>
      </c>
      <c r="O226" t="s">
        <v>6</v>
      </c>
    </row>
    <row r="227" spans="2:15" x14ac:dyDescent="0.45">
      <c r="B227" t="s">
        <v>56</v>
      </c>
      <c r="C227" t="s">
        <v>5</v>
      </c>
      <c r="D227">
        <v>0</v>
      </c>
      <c r="E227" t="s">
        <v>6</v>
      </c>
      <c r="G227" t="s">
        <v>57</v>
      </c>
      <c r="H227" t="s">
        <v>5</v>
      </c>
      <c r="I227">
        <v>0.10815038218880632</v>
      </c>
      <c r="J227" t="s">
        <v>6</v>
      </c>
      <c r="L227" t="s">
        <v>58</v>
      </c>
      <c r="M227" t="s">
        <v>5</v>
      </c>
      <c r="N227">
        <v>0.12345756641418745</v>
      </c>
      <c r="O227" t="s">
        <v>6</v>
      </c>
    </row>
    <row r="228" spans="2:15" x14ac:dyDescent="0.45">
      <c r="B228" t="s">
        <v>56</v>
      </c>
      <c r="C228" t="s">
        <v>9</v>
      </c>
      <c r="D228">
        <v>0</v>
      </c>
      <c r="E228" t="s">
        <v>6</v>
      </c>
      <c r="G228" t="s">
        <v>57</v>
      </c>
      <c r="H228" t="s">
        <v>9</v>
      </c>
      <c r="I228">
        <v>5.3765015216450579E-2</v>
      </c>
      <c r="J228" t="s">
        <v>6</v>
      </c>
      <c r="L228" t="s">
        <v>58</v>
      </c>
      <c r="M228" t="s">
        <v>9</v>
      </c>
      <c r="N228">
        <v>6.0695723098974072E-2</v>
      </c>
      <c r="O228" t="s">
        <v>6</v>
      </c>
    </row>
    <row r="229" spans="2:15" x14ac:dyDescent="0.45">
      <c r="B229" t="s">
        <v>56</v>
      </c>
      <c r="C229" t="s">
        <v>10</v>
      </c>
      <c r="D229">
        <v>2.1642478315850682E-2</v>
      </c>
      <c r="E229" t="s">
        <v>6</v>
      </c>
      <c r="G229" t="s">
        <v>57</v>
      </c>
      <c r="H229" t="s">
        <v>10</v>
      </c>
      <c r="I229">
        <v>3.7198397897892976E-2</v>
      </c>
      <c r="J229" t="s">
        <v>6</v>
      </c>
      <c r="L229" t="s">
        <v>58</v>
      </c>
      <c r="M229" t="s">
        <v>10</v>
      </c>
      <c r="N229">
        <v>4.2000290372739932E-2</v>
      </c>
      <c r="O229" t="s">
        <v>6</v>
      </c>
    </row>
    <row r="230" spans="2:15" x14ac:dyDescent="0.45">
      <c r="B230" t="s">
        <v>56</v>
      </c>
      <c r="C230" t="s">
        <v>11</v>
      </c>
      <c r="D230">
        <v>6.6452650175175224E-2</v>
      </c>
      <c r="E230" t="s">
        <v>6</v>
      </c>
      <c r="G230" t="s">
        <v>57</v>
      </c>
      <c r="H230" t="s">
        <v>11</v>
      </c>
      <c r="I230">
        <v>3.3087765530184284E-2</v>
      </c>
      <c r="J230" t="s">
        <v>6</v>
      </c>
      <c r="L230" t="s">
        <v>58</v>
      </c>
      <c r="M230" t="s">
        <v>11</v>
      </c>
      <c r="N230">
        <v>4.1894584655110104E-2</v>
      </c>
      <c r="O230" t="s">
        <v>6</v>
      </c>
    </row>
    <row r="231" spans="2:15" x14ac:dyDescent="0.45">
      <c r="B231" t="s">
        <v>56</v>
      </c>
      <c r="C231" t="s">
        <v>12</v>
      </c>
      <c r="D231">
        <v>4.4302906413509549E-2</v>
      </c>
      <c r="E231" t="s">
        <v>6</v>
      </c>
      <c r="G231" t="s">
        <v>57</v>
      </c>
      <c r="H231" t="s">
        <v>12</v>
      </c>
      <c r="I231">
        <v>3.604841488572446E-2</v>
      </c>
      <c r="J231" t="s">
        <v>6</v>
      </c>
      <c r="L231" t="s">
        <v>58</v>
      </c>
      <c r="M231" t="s">
        <v>12</v>
      </c>
      <c r="N231">
        <v>4.1610434463722638E-2</v>
      </c>
      <c r="O231" t="s">
        <v>6</v>
      </c>
    </row>
    <row r="232" spans="2:15" x14ac:dyDescent="0.45">
      <c r="B232" t="s">
        <v>56</v>
      </c>
      <c r="C232" t="s">
        <v>13</v>
      </c>
      <c r="D232">
        <v>2.0928822185730038E-3</v>
      </c>
      <c r="E232" t="s">
        <v>6</v>
      </c>
      <c r="G232" t="s">
        <v>57</v>
      </c>
      <c r="H232" t="s">
        <v>13</v>
      </c>
      <c r="I232">
        <v>4.0496940809107956E-2</v>
      </c>
      <c r="J232" t="s">
        <v>6</v>
      </c>
      <c r="L232" t="s">
        <v>58</v>
      </c>
      <c r="M232" t="s">
        <v>13</v>
      </c>
      <c r="N232">
        <v>3.9735198211617348E-2</v>
      </c>
      <c r="O232" t="s">
        <v>6</v>
      </c>
    </row>
    <row r="233" spans="2:15" x14ac:dyDescent="0.45">
      <c r="B233" t="s">
        <v>56</v>
      </c>
      <c r="C233" t="s">
        <v>14</v>
      </c>
      <c r="D233">
        <v>1.7649158924682716E-5</v>
      </c>
      <c r="E233" t="s">
        <v>6</v>
      </c>
      <c r="G233" t="s">
        <v>57</v>
      </c>
      <c r="H233" t="s">
        <v>14</v>
      </c>
      <c r="I233">
        <v>8.9113465731815056E-2</v>
      </c>
      <c r="J233" t="s">
        <v>6</v>
      </c>
      <c r="L233" t="s">
        <v>58</v>
      </c>
      <c r="M233" t="s">
        <v>14</v>
      </c>
      <c r="N233">
        <v>8.7243569366968921E-2</v>
      </c>
      <c r="O233" t="s">
        <v>6</v>
      </c>
    </row>
    <row r="234" spans="2:15" x14ac:dyDescent="0.45">
      <c r="B234" t="s">
        <v>56</v>
      </c>
      <c r="C234" t="s">
        <v>15</v>
      </c>
      <c r="D234">
        <v>6.3834704535100902E-3</v>
      </c>
      <c r="E234" t="s">
        <v>6</v>
      </c>
      <c r="G234" t="s">
        <v>57</v>
      </c>
      <c r="H234" t="s">
        <v>15</v>
      </c>
      <c r="I234">
        <v>4.450108082495826E-2</v>
      </c>
      <c r="J234" t="s">
        <v>6</v>
      </c>
      <c r="L234" t="s">
        <v>58</v>
      </c>
      <c r="M234" t="s">
        <v>15</v>
      </c>
      <c r="N234">
        <v>5.0685865082681796E-2</v>
      </c>
      <c r="O234" t="s">
        <v>6</v>
      </c>
    </row>
    <row r="235" spans="2:15" x14ac:dyDescent="0.45">
      <c r="B235" t="s">
        <v>56</v>
      </c>
      <c r="C235" t="s">
        <v>16</v>
      </c>
      <c r="D235">
        <v>7.1930992149855419E-2</v>
      </c>
      <c r="E235" t="s">
        <v>6</v>
      </c>
      <c r="G235" t="s">
        <v>57</v>
      </c>
      <c r="H235" t="s">
        <v>16</v>
      </c>
      <c r="I235">
        <v>2.762160595212447E-2</v>
      </c>
      <c r="J235" t="s">
        <v>6</v>
      </c>
      <c r="L235" t="s">
        <v>58</v>
      </c>
      <c r="M235" t="s">
        <v>16</v>
      </c>
      <c r="N235">
        <v>3.5696692414402709E-2</v>
      </c>
      <c r="O235" t="s">
        <v>6</v>
      </c>
    </row>
    <row r="236" spans="2:15" x14ac:dyDescent="0.45">
      <c r="B236" t="s">
        <v>56</v>
      </c>
      <c r="C236" t="s">
        <v>17</v>
      </c>
      <c r="D236">
        <v>0.11700235393446116</v>
      </c>
      <c r="E236" t="s">
        <v>6</v>
      </c>
      <c r="G236" t="s">
        <v>57</v>
      </c>
      <c r="H236" t="s">
        <v>17</v>
      </c>
      <c r="I236">
        <v>2.5680081090254422E-2</v>
      </c>
      <c r="J236" t="s">
        <v>6</v>
      </c>
      <c r="L236" t="s">
        <v>58</v>
      </c>
      <c r="M236" t="s">
        <v>17</v>
      </c>
      <c r="N236">
        <v>3.7687069315026626E-2</v>
      </c>
      <c r="O236" t="s">
        <v>6</v>
      </c>
    </row>
    <row r="237" spans="2:15" x14ac:dyDescent="0.45">
      <c r="B237" t="s">
        <v>56</v>
      </c>
      <c r="C237" t="s">
        <v>18</v>
      </c>
      <c r="D237">
        <v>8.887205113027942E-2</v>
      </c>
      <c r="E237" t="s">
        <v>6</v>
      </c>
      <c r="G237" t="s">
        <v>57</v>
      </c>
      <c r="H237" t="s">
        <v>18</v>
      </c>
      <c r="I237">
        <v>2.8551222100083328E-2</v>
      </c>
      <c r="J237" t="s">
        <v>6</v>
      </c>
      <c r="L237" t="s">
        <v>58</v>
      </c>
      <c r="M237" t="s">
        <v>18</v>
      </c>
      <c r="N237">
        <v>3.8830547978604031E-2</v>
      </c>
      <c r="O237" t="s">
        <v>6</v>
      </c>
    </row>
    <row r="238" spans="2:15" x14ac:dyDescent="0.45">
      <c r="B238" t="s">
        <v>56</v>
      </c>
      <c r="C238" t="s">
        <v>19</v>
      </c>
      <c r="D238">
        <v>2.0317141678245412E-2</v>
      </c>
      <c r="E238" t="s">
        <v>6</v>
      </c>
      <c r="G238" t="s">
        <v>57</v>
      </c>
      <c r="H238" t="s">
        <v>19</v>
      </c>
      <c r="I238">
        <v>2.967515990406832E-2</v>
      </c>
      <c r="J238" t="s">
        <v>6</v>
      </c>
      <c r="L238" t="s">
        <v>58</v>
      </c>
      <c r="M238" t="s">
        <v>19</v>
      </c>
      <c r="N238">
        <v>3.5356478593057343E-2</v>
      </c>
      <c r="O238" t="s">
        <v>6</v>
      </c>
    </row>
    <row r="239" spans="2:15" x14ac:dyDescent="0.45">
      <c r="B239" t="s">
        <v>56</v>
      </c>
      <c r="C239" t="s">
        <v>20</v>
      </c>
      <c r="D239">
        <v>2.5200134769913783E-4</v>
      </c>
      <c r="E239" t="s">
        <v>6</v>
      </c>
      <c r="G239" t="s">
        <v>57</v>
      </c>
      <c r="H239" t="s">
        <v>20</v>
      </c>
      <c r="I239">
        <v>6.622897973088851E-2</v>
      </c>
      <c r="J239" t="s">
        <v>6</v>
      </c>
      <c r="L239" t="s">
        <v>58</v>
      </c>
      <c r="M239" t="s">
        <v>20</v>
      </c>
      <c r="N239">
        <v>3.3438504316251443E-2</v>
      </c>
      <c r="O239" t="s">
        <v>6</v>
      </c>
    </row>
    <row r="240" spans="2:15" x14ac:dyDescent="0.45">
      <c r="B240" t="s">
        <v>56</v>
      </c>
      <c r="C240" t="s">
        <v>21</v>
      </c>
      <c r="D240">
        <v>1.0316075327711099E-2</v>
      </c>
      <c r="E240" t="s">
        <v>6</v>
      </c>
      <c r="G240" t="s">
        <v>57</v>
      </c>
      <c r="H240" t="s">
        <v>21</v>
      </c>
      <c r="I240">
        <v>2.6725166969467851E-2</v>
      </c>
      <c r="J240" t="s">
        <v>6</v>
      </c>
      <c r="L240" t="s">
        <v>58</v>
      </c>
      <c r="M240" t="s">
        <v>21</v>
      </c>
      <c r="N240">
        <v>1.5798949242404055E-2</v>
      </c>
      <c r="O240" t="s">
        <v>6</v>
      </c>
    </row>
    <row r="241" spans="2:15" x14ac:dyDescent="0.45">
      <c r="B241" t="s">
        <v>56</v>
      </c>
      <c r="C241" t="s">
        <v>22</v>
      </c>
      <c r="D241">
        <v>8.4288428637205273E-2</v>
      </c>
      <c r="E241" t="s">
        <v>6</v>
      </c>
      <c r="G241" t="s">
        <v>57</v>
      </c>
      <c r="H241" t="s">
        <v>22</v>
      </c>
      <c r="I241">
        <v>1.4545277208612428E-2</v>
      </c>
      <c r="J241" t="s">
        <v>6</v>
      </c>
      <c r="L241" t="s">
        <v>58</v>
      </c>
      <c r="M241" t="s">
        <v>22</v>
      </c>
      <c r="N241">
        <v>1.3676103171527865E-2</v>
      </c>
      <c r="O241" t="s">
        <v>6</v>
      </c>
    </row>
    <row r="242" spans="2:15" x14ac:dyDescent="0.45">
      <c r="B242" t="s">
        <v>56</v>
      </c>
      <c r="C242" t="s">
        <v>23</v>
      </c>
      <c r="D242">
        <v>0.13160595768540367</v>
      </c>
      <c r="E242" t="s">
        <v>6</v>
      </c>
      <c r="G242" t="s">
        <v>57</v>
      </c>
      <c r="H242" t="s">
        <v>23</v>
      </c>
      <c r="I242">
        <v>1.6029158500443851E-2</v>
      </c>
      <c r="J242" t="s">
        <v>6</v>
      </c>
      <c r="L242" t="s">
        <v>58</v>
      </c>
      <c r="M242" t="s">
        <v>23</v>
      </c>
      <c r="N242">
        <v>1.8583337909846655E-2</v>
      </c>
      <c r="O242" t="s">
        <v>6</v>
      </c>
    </row>
    <row r="243" spans="2:15" x14ac:dyDescent="0.45">
      <c r="B243" t="s">
        <v>56</v>
      </c>
      <c r="C243" t="s">
        <v>24</v>
      </c>
      <c r="D243">
        <v>0.10707714289179161</v>
      </c>
      <c r="E243" t="s">
        <v>6</v>
      </c>
      <c r="G243" t="s">
        <v>57</v>
      </c>
      <c r="H243" t="s">
        <v>24</v>
      </c>
      <c r="I243">
        <v>1.7736006518352679E-2</v>
      </c>
      <c r="J243" t="s">
        <v>6</v>
      </c>
      <c r="L243" t="s">
        <v>58</v>
      </c>
      <c r="M243" t="s">
        <v>24</v>
      </c>
      <c r="N243">
        <v>2.1587987683363973E-2</v>
      </c>
      <c r="O243" t="s">
        <v>6</v>
      </c>
    </row>
    <row r="244" spans="2:15" x14ac:dyDescent="0.45">
      <c r="B244" t="s">
        <v>56</v>
      </c>
      <c r="C244" t="s">
        <v>25</v>
      </c>
      <c r="D244">
        <v>3.2135482453235741E-2</v>
      </c>
      <c r="E244" t="s">
        <v>6</v>
      </c>
      <c r="G244" t="s">
        <v>57</v>
      </c>
      <c r="H244" t="s">
        <v>25</v>
      </c>
      <c r="I244">
        <v>1.8645972314739651E-2</v>
      </c>
      <c r="J244" t="s">
        <v>6</v>
      </c>
      <c r="L244" t="s">
        <v>58</v>
      </c>
      <c r="M244" t="s">
        <v>25</v>
      </c>
      <c r="N244">
        <v>1.517482728179175E-2</v>
      </c>
      <c r="O244" t="s">
        <v>6</v>
      </c>
    </row>
    <row r="245" spans="2:15" x14ac:dyDescent="0.45">
      <c r="B245" t="s">
        <v>56</v>
      </c>
      <c r="C245" t="s">
        <v>26</v>
      </c>
      <c r="D245">
        <v>0</v>
      </c>
      <c r="E245" t="s">
        <v>6</v>
      </c>
      <c r="G245" t="s">
        <v>57</v>
      </c>
      <c r="H245" t="s">
        <v>26</v>
      </c>
      <c r="I245">
        <v>0.1041937557896624</v>
      </c>
      <c r="J245" t="s">
        <v>6</v>
      </c>
      <c r="L245" t="s">
        <v>58</v>
      </c>
      <c r="M245" t="s">
        <v>26</v>
      </c>
      <c r="N245">
        <v>8.418524023404575E-2</v>
      </c>
      <c r="O245" t="s">
        <v>6</v>
      </c>
    </row>
    <row r="246" spans="2:15" x14ac:dyDescent="0.45">
      <c r="B246" t="s">
        <v>56</v>
      </c>
      <c r="C246" t="s">
        <v>27</v>
      </c>
      <c r="D246">
        <v>1.2599484016146991E-3</v>
      </c>
      <c r="E246" t="s">
        <v>6</v>
      </c>
      <c r="G246" t="s">
        <v>57</v>
      </c>
      <c r="H246" t="s">
        <v>27</v>
      </c>
      <c r="I246">
        <v>4.8523044100362463E-2</v>
      </c>
      <c r="J246" t="s">
        <v>6</v>
      </c>
      <c r="L246" t="s">
        <v>58</v>
      </c>
      <c r="M246" t="s">
        <v>27</v>
      </c>
      <c r="N246">
        <v>4.1184343750797957E-2</v>
      </c>
      <c r="O246" t="s">
        <v>6</v>
      </c>
    </row>
    <row r="247" spans="2:15" x14ac:dyDescent="0.45">
      <c r="B247" t="s">
        <v>56</v>
      </c>
      <c r="C247" t="s">
        <v>28</v>
      </c>
      <c r="D247">
        <v>4.3693422828332086E-2</v>
      </c>
      <c r="E247" t="s">
        <v>6</v>
      </c>
      <c r="G247" t="s">
        <v>57</v>
      </c>
      <c r="H247" t="s">
        <v>28</v>
      </c>
      <c r="I247">
        <v>3.1914492582721186E-2</v>
      </c>
      <c r="J247" t="s">
        <v>6</v>
      </c>
      <c r="L247" t="s">
        <v>58</v>
      </c>
      <c r="M247" t="s">
        <v>28</v>
      </c>
      <c r="N247">
        <v>2.8528486808186208E-2</v>
      </c>
      <c r="O247" t="s">
        <v>6</v>
      </c>
    </row>
    <row r="248" spans="2:15" x14ac:dyDescent="0.45">
      <c r="B248" t="s">
        <v>56</v>
      </c>
      <c r="C248" t="s">
        <v>29</v>
      </c>
      <c r="D248">
        <v>8.5664178498166155E-2</v>
      </c>
      <c r="E248" t="s">
        <v>6</v>
      </c>
      <c r="G248" t="s">
        <v>57</v>
      </c>
      <c r="H248" t="s">
        <v>29</v>
      </c>
      <c r="I248">
        <v>3.1127033816868793E-2</v>
      </c>
      <c r="J248" t="s">
        <v>6</v>
      </c>
      <c r="L248" t="s">
        <v>58</v>
      </c>
      <c r="M248" t="s">
        <v>29</v>
      </c>
      <c r="N248">
        <v>2.8108005516395033E-2</v>
      </c>
      <c r="O248" t="s">
        <v>6</v>
      </c>
    </row>
    <row r="249" spans="2:15" x14ac:dyDescent="0.45">
      <c r="B249" t="s">
        <v>56</v>
      </c>
      <c r="C249" t="s">
        <v>30</v>
      </c>
      <c r="D249">
        <v>5.8706159901481085E-2</v>
      </c>
      <c r="E249" t="s">
        <v>6</v>
      </c>
      <c r="G249" t="s">
        <v>57</v>
      </c>
      <c r="H249" t="s">
        <v>30</v>
      </c>
      <c r="I249">
        <v>3.3204928329803166E-2</v>
      </c>
      <c r="J249" t="s">
        <v>6</v>
      </c>
      <c r="L249" t="s">
        <v>58</v>
      </c>
      <c r="M249" t="s">
        <v>30</v>
      </c>
      <c r="N249">
        <v>3.112651582481353E-2</v>
      </c>
      <c r="O249" t="s">
        <v>6</v>
      </c>
    </row>
    <row r="250" spans="2:15" x14ac:dyDescent="0.45">
      <c r="B250" t="s">
        <v>56</v>
      </c>
      <c r="C250" t="s">
        <v>31</v>
      </c>
      <c r="D250">
        <v>5.986626398975293E-3</v>
      </c>
      <c r="E250" t="s">
        <v>6</v>
      </c>
      <c r="G250" t="s">
        <v>57</v>
      </c>
      <c r="H250" t="s">
        <v>31</v>
      </c>
      <c r="I250">
        <v>3.7236652006608938E-2</v>
      </c>
      <c r="J250" t="s">
        <v>6</v>
      </c>
      <c r="L250" t="s">
        <v>58</v>
      </c>
      <c r="M250" t="s">
        <v>31</v>
      </c>
      <c r="N250">
        <v>3.3713678293482804E-2</v>
      </c>
      <c r="O250" t="s">
        <v>6</v>
      </c>
    </row>
    <row r="251" spans="2:15" x14ac:dyDescent="0.45">
      <c r="B251" t="s">
        <v>59</v>
      </c>
      <c r="C251" t="s">
        <v>5</v>
      </c>
      <c r="D251">
        <v>0</v>
      </c>
      <c r="E251" t="s">
        <v>6</v>
      </c>
      <c r="G251" t="s">
        <v>60</v>
      </c>
      <c r="H251" t="s">
        <v>5</v>
      </c>
      <c r="I251">
        <v>8.1848220914908051E-2</v>
      </c>
      <c r="J251" t="s">
        <v>6</v>
      </c>
      <c r="L251" t="s">
        <v>61</v>
      </c>
      <c r="M251" t="s">
        <v>5</v>
      </c>
      <c r="N251">
        <v>0.10123711688297002</v>
      </c>
      <c r="O251" t="s">
        <v>6</v>
      </c>
    </row>
    <row r="252" spans="2:15" x14ac:dyDescent="0.45">
      <c r="B252" t="s">
        <v>59</v>
      </c>
      <c r="C252" t="s">
        <v>9</v>
      </c>
      <c r="D252">
        <v>0</v>
      </c>
      <c r="E252" t="s">
        <v>6</v>
      </c>
      <c r="G252" t="s">
        <v>60</v>
      </c>
      <c r="H252" t="s">
        <v>9</v>
      </c>
      <c r="I252">
        <v>4.1013185166211892E-2</v>
      </c>
      <c r="J252" t="s">
        <v>6</v>
      </c>
      <c r="L252" t="s">
        <v>61</v>
      </c>
      <c r="M252" t="s">
        <v>9</v>
      </c>
      <c r="N252">
        <v>5.0503354077462315E-2</v>
      </c>
      <c r="O252" t="s">
        <v>6</v>
      </c>
    </row>
    <row r="253" spans="2:15" x14ac:dyDescent="0.45">
      <c r="B253" t="s">
        <v>59</v>
      </c>
      <c r="C253" t="s">
        <v>10</v>
      </c>
      <c r="D253">
        <v>1.9396884707074801E-2</v>
      </c>
      <c r="E253" t="s">
        <v>6</v>
      </c>
      <c r="G253" t="s">
        <v>60</v>
      </c>
      <c r="H253" t="s">
        <v>10</v>
      </c>
      <c r="I253">
        <v>3.2265250627495197E-2</v>
      </c>
      <c r="J253" t="s">
        <v>6</v>
      </c>
      <c r="L253" t="s">
        <v>61</v>
      </c>
      <c r="M253" t="s">
        <v>10</v>
      </c>
      <c r="N253">
        <v>3.628013291767309E-2</v>
      </c>
      <c r="O253" t="s">
        <v>6</v>
      </c>
    </row>
    <row r="254" spans="2:15" x14ac:dyDescent="0.45">
      <c r="B254" t="s">
        <v>59</v>
      </c>
      <c r="C254" t="s">
        <v>11</v>
      </c>
      <c r="D254">
        <v>6.4435886562008729E-2</v>
      </c>
      <c r="E254" t="s">
        <v>6</v>
      </c>
      <c r="G254" t="s">
        <v>60</v>
      </c>
      <c r="H254" t="s">
        <v>11</v>
      </c>
      <c r="I254">
        <v>3.4479007121417132E-2</v>
      </c>
      <c r="J254" t="s">
        <v>6</v>
      </c>
      <c r="L254" t="s">
        <v>61</v>
      </c>
      <c r="M254" t="s">
        <v>11</v>
      </c>
      <c r="N254">
        <v>3.4563361368648342E-2</v>
      </c>
      <c r="O254" t="s">
        <v>6</v>
      </c>
    </row>
    <row r="255" spans="2:15" x14ac:dyDescent="0.45">
      <c r="B255" t="s">
        <v>59</v>
      </c>
      <c r="C255" t="s">
        <v>12</v>
      </c>
      <c r="D255">
        <v>4.1704003476887637E-2</v>
      </c>
      <c r="E255" t="s">
        <v>6</v>
      </c>
      <c r="G255" t="s">
        <v>60</v>
      </c>
      <c r="H255" t="s">
        <v>12</v>
      </c>
      <c r="I255">
        <v>3.5102294989407132E-2</v>
      </c>
      <c r="J255" t="s">
        <v>6</v>
      </c>
      <c r="L255" t="s">
        <v>61</v>
      </c>
      <c r="M255" t="s">
        <v>12</v>
      </c>
      <c r="N255">
        <v>3.5849192752383088E-2</v>
      </c>
      <c r="O255" t="s">
        <v>6</v>
      </c>
    </row>
    <row r="256" spans="2:15" x14ac:dyDescent="0.45">
      <c r="B256" t="s">
        <v>59</v>
      </c>
      <c r="C256" t="s">
        <v>13</v>
      </c>
      <c r="D256">
        <v>1.9013889408405291E-3</v>
      </c>
      <c r="E256" t="s">
        <v>6</v>
      </c>
      <c r="G256" t="s">
        <v>60</v>
      </c>
      <c r="H256" t="s">
        <v>13</v>
      </c>
      <c r="I256">
        <v>3.2752060799114371E-2</v>
      </c>
      <c r="J256" t="s">
        <v>6</v>
      </c>
      <c r="L256" t="s">
        <v>61</v>
      </c>
      <c r="M256" t="s">
        <v>13</v>
      </c>
      <c r="N256">
        <v>3.872709719771069E-2</v>
      </c>
      <c r="O256" t="s">
        <v>6</v>
      </c>
    </row>
    <row r="257" spans="2:15" x14ac:dyDescent="0.45">
      <c r="B257" t="s">
        <v>59</v>
      </c>
      <c r="C257" t="s">
        <v>14</v>
      </c>
      <c r="D257">
        <v>2.4856587232886057E-5</v>
      </c>
      <c r="E257" t="s">
        <v>6</v>
      </c>
      <c r="G257" t="s">
        <v>60</v>
      </c>
      <c r="H257" t="s">
        <v>14</v>
      </c>
      <c r="I257">
        <v>0.11047654416381307</v>
      </c>
      <c r="J257" t="s">
        <v>6</v>
      </c>
      <c r="L257" t="s">
        <v>61</v>
      </c>
      <c r="M257" t="s">
        <v>14</v>
      </c>
      <c r="N257">
        <v>9.1058113761208898E-2</v>
      </c>
      <c r="O257" t="s">
        <v>6</v>
      </c>
    </row>
    <row r="258" spans="2:15" x14ac:dyDescent="0.45">
      <c r="B258" t="s">
        <v>59</v>
      </c>
      <c r="C258" t="s">
        <v>15</v>
      </c>
      <c r="D258">
        <v>5.7998642388167121E-3</v>
      </c>
      <c r="E258" t="s">
        <v>6</v>
      </c>
      <c r="G258" t="s">
        <v>60</v>
      </c>
      <c r="H258" t="s">
        <v>15</v>
      </c>
      <c r="I258">
        <v>5.3125040691548567E-2</v>
      </c>
      <c r="J258" t="s">
        <v>6</v>
      </c>
      <c r="L258" t="s">
        <v>61</v>
      </c>
      <c r="M258" t="s">
        <v>15</v>
      </c>
      <c r="N258">
        <v>4.6003303045997743E-2</v>
      </c>
      <c r="O258" t="s">
        <v>6</v>
      </c>
    </row>
    <row r="259" spans="2:15" x14ac:dyDescent="0.45">
      <c r="B259" t="s">
        <v>59</v>
      </c>
      <c r="C259" t="s">
        <v>16</v>
      </c>
      <c r="D259">
        <v>6.9324634027558105E-2</v>
      </c>
      <c r="E259" t="s">
        <v>6</v>
      </c>
      <c r="G259" t="s">
        <v>60</v>
      </c>
      <c r="H259" t="s">
        <v>16</v>
      </c>
      <c r="I259">
        <v>4.0547113767508261E-2</v>
      </c>
      <c r="J259" t="s">
        <v>6</v>
      </c>
      <c r="L259" t="s">
        <v>61</v>
      </c>
      <c r="M259" t="s">
        <v>16</v>
      </c>
      <c r="N259">
        <v>3.2098951782361912E-2</v>
      </c>
      <c r="O259" t="s">
        <v>6</v>
      </c>
    </row>
    <row r="260" spans="2:15" x14ac:dyDescent="0.45">
      <c r="B260" t="s">
        <v>59</v>
      </c>
      <c r="C260" t="s">
        <v>17</v>
      </c>
      <c r="D260">
        <v>0.12113672138070693</v>
      </c>
      <c r="E260" t="s">
        <v>6</v>
      </c>
      <c r="G260" t="s">
        <v>60</v>
      </c>
      <c r="H260" t="s">
        <v>17</v>
      </c>
      <c r="I260">
        <v>4.376829483836419E-2</v>
      </c>
      <c r="J260" t="s">
        <v>6</v>
      </c>
      <c r="L260" t="s">
        <v>61</v>
      </c>
      <c r="M260" t="s">
        <v>17</v>
      </c>
      <c r="N260">
        <v>3.1101077842724662E-2</v>
      </c>
      <c r="O260" t="s">
        <v>6</v>
      </c>
    </row>
    <row r="261" spans="2:15" x14ac:dyDescent="0.45">
      <c r="B261" t="s">
        <v>59</v>
      </c>
      <c r="C261" t="s">
        <v>18</v>
      </c>
      <c r="D261">
        <v>9.6573205714261423E-2</v>
      </c>
      <c r="E261" t="s">
        <v>6</v>
      </c>
      <c r="G261" t="s">
        <v>60</v>
      </c>
      <c r="H261" t="s">
        <v>18</v>
      </c>
      <c r="I261">
        <v>4.6808185763290905E-2</v>
      </c>
      <c r="J261" t="s">
        <v>6</v>
      </c>
      <c r="L261" t="s">
        <v>61</v>
      </c>
      <c r="M261" t="s">
        <v>18</v>
      </c>
      <c r="N261">
        <v>3.2499366299026312E-2</v>
      </c>
      <c r="O261" t="s">
        <v>6</v>
      </c>
    </row>
    <row r="262" spans="2:15" x14ac:dyDescent="0.45">
      <c r="B262" t="s">
        <v>59</v>
      </c>
      <c r="C262" t="s">
        <v>19</v>
      </c>
      <c r="D262">
        <v>2.196579980143407E-2</v>
      </c>
      <c r="E262" t="s">
        <v>6</v>
      </c>
      <c r="G262" t="s">
        <v>60</v>
      </c>
      <c r="H262" t="s">
        <v>19</v>
      </c>
      <c r="I262">
        <v>4.4399858277297928E-2</v>
      </c>
      <c r="J262" t="s">
        <v>6</v>
      </c>
      <c r="L262" t="s">
        <v>61</v>
      </c>
      <c r="M262" t="s">
        <v>19</v>
      </c>
      <c r="N262">
        <v>3.3394497515557987E-2</v>
      </c>
      <c r="O262" t="s">
        <v>6</v>
      </c>
    </row>
    <row r="263" spans="2:15" x14ac:dyDescent="0.45">
      <c r="B263" t="s">
        <v>59</v>
      </c>
      <c r="C263" t="s">
        <v>20</v>
      </c>
      <c r="D263">
        <v>3.3172090976986749E-4</v>
      </c>
      <c r="E263" t="s">
        <v>6</v>
      </c>
      <c r="G263" t="s">
        <v>60</v>
      </c>
      <c r="H263" t="s">
        <v>20</v>
      </c>
      <c r="I263">
        <v>3.7034637298851154E-2</v>
      </c>
      <c r="J263" t="s">
        <v>6</v>
      </c>
      <c r="L263" t="s">
        <v>61</v>
      </c>
      <c r="M263" t="s">
        <v>20</v>
      </c>
      <c r="N263">
        <v>6.3147038602055922E-2</v>
      </c>
      <c r="O263" t="s">
        <v>6</v>
      </c>
    </row>
    <row r="264" spans="2:15" x14ac:dyDescent="0.45">
      <c r="B264" t="s">
        <v>59</v>
      </c>
      <c r="C264" t="s">
        <v>21</v>
      </c>
      <c r="D264">
        <v>9.7147573694379569E-3</v>
      </c>
      <c r="E264" t="s">
        <v>6</v>
      </c>
      <c r="G264" t="s">
        <v>60</v>
      </c>
      <c r="H264" t="s">
        <v>21</v>
      </c>
      <c r="I264">
        <v>1.6329196155382093E-2</v>
      </c>
      <c r="J264" t="s">
        <v>6</v>
      </c>
      <c r="L264" t="s">
        <v>61</v>
      </c>
      <c r="M264" t="s">
        <v>21</v>
      </c>
      <c r="N264">
        <v>2.9194295650344388E-2</v>
      </c>
      <c r="O264" t="s">
        <v>6</v>
      </c>
    </row>
    <row r="265" spans="2:15" x14ac:dyDescent="0.45">
      <c r="B265" t="s">
        <v>59</v>
      </c>
      <c r="C265" t="s">
        <v>22</v>
      </c>
      <c r="D265">
        <v>7.9830468765063264E-2</v>
      </c>
      <c r="E265" t="s">
        <v>6</v>
      </c>
      <c r="G265" t="s">
        <v>60</v>
      </c>
      <c r="H265" t="s">
        <v>22</v>
      </c>
      <c r="I265">
        <v>1.2882011449893472E-2</v>
      </c>
      <c r="J265" t="s">
        <v>6</v>
      </c>
      <c r="L265" t="s">
        <v>61</v>
      </c>
      <c r="M265" t="s">
        <v>22</v>
      </c>
      <c r="N265">
        <v>1.9033860126925775E-2</v>
      </c>
      <c r="O265" t="s">
        <v>6</v>
      </c>
    </row>
    <row r="266" spans="2:15" x14ac:dyDescent="0.45">
      <c r="B266" t="s">
        <v>59</v>
      </c>
      <c r="C266" t="s">
        <v>23</v>
      </c>
      <c r="D266">
        <v>0.13283567680520789</v>
      </c>
      <c r="E266" t="s">
        <v>6</v>
      </c>
      <c r="G266" t="s">
        <v>60</v>
      </c>
      <c r="H266" t="s">
        <v>23</v>
      </c>
      <c r="I266">
        <v>1.6884092605522066E-2</v>
      </c>
      <c r="J266" t="s">
        <v>6</v>
      </c>
      <c r="L266" t="s">
        <v>61</v>
      </c>
      <c r="M266" t="s">
        <v>23</v>
      </c>
      <c r="N266">
        <v>1.8668948318093924E-2</v>
      </c>
      <c r="O266" t="s">
        <v>6</v>
      </c>
    </row>
    <row r="267" spans="2:15" x14ac:dyDescent="0.45">
      <c r="B267" t="s">
        <v>59</v>
      </c>
      <c r="C267" t="s">
        <v>24</v>
      </c>
      <c r="D267">
        <v>0.11303625954381488</v>
      </c>
      <c r="E267" t="s">
        <v>6</v>
      </c>
      <c r="G267" t="s">
        <v>60</v>
      </c>
      <c r="H267" t="s">
        <v>24</v>
      </c>
      <c r="I267">
        <v>1.9598073041471716E-2</v>
      </c>
      <c r="J267" t="s">
        <v>6</v>
      </c>
      <c r="L267" t="s">
        <v>61</v>
      </c>
      <c r="M267" t="s">
        <v>24</v>
      </c>
      <c r="N267">
        <v>1.9939148622301252E-2</v>
      </c>
      <c r="O267" t="s">
        <v>6</v>
      </c>
    </row>
    <row r="268" spans="2:15" x14ac:dyDescent="0.45">
      <c r="B268" t="s">
        <v>59</v>
      </c>
      <c r="C268" t="s">
        <v>25</v>
      </c>
      <c r="D268">
        <v>3.3796361768223801E-2</v>
      </c>
      <c r="E268" t="s">
        <v>6</v>
      </c>
      <c r="G268" t="s">
        <v>60</v>
      </c>
      <c r="H268" t="s">
        <v>25</v>
      </c>
      <c r="I268">
        <v>1.6224419866087539E-2</v>
      </c>
      <c r="J268" t="s">
        <v>6</v>
      </c>
      <c r="L268" t="s">
        <v>61</v>
      </c>
      <c r="M268" t="s">
        <v>25</v>
      </c>
      <c r="N268">
        <v>2.2601532834907945E-2</v>
      </c>
      <c r="O268" t="s">
        <v>6</v>
      </c>
    </row>
    <row r="269" spans="2:15" x14ac:dyDescent="0.45">
      <c r="B269" t="s">
        <v>59</v>
      </c>
      <c r="C269" t="s">
        <v>26</v>
      </c>
      <c r="D269">
        <v>0</v>
      </c>
      <c r="E269" t="s">
        <v>6</v>
      </c>
      <c r="G269" t="s">
        <v>60</v>
      </c>
      <c r="H269" t="s">
        <v>26</v>
      </c>
      <c r="I269">
        <v>9.4877238801530261E-2</v>
      </c>
      <c r="J269" t="s">
        <v>6</v>
      </c>
      <c r="L269" t="s">
        <v>61</v>
      </c>
      <c r="M269" t="s">
        <v>26</v>
      </c>
      <c r="N269">
        <v>8.7724502499827009E-2</v>
      </c>
      <c r="O269" t="s">
        <v>6</v>
      </c>
    </row>
    <row r="270" spans="2:15" x14ac:dyDescent="0.45">
      <c r="B270" t="s">
        <v>59</v>
      </c>
      <c r="C270" t="s">
        <v>27</v>
      </c>
      <c r="D270">
        <v>1.1198889198419807E-3</v>
      </c>
      <c r="E270" t="s">
        <v>6</v>
      </c>
      <c r="G270" t="s">
        <v>60</v>
      </c>
      <c r="H270" t="s">
        <v>27</v>
      </c>
      <c r="I270">
        <v>4.5891486262194241E-2</v>
      </c>
      <c r="J270" t="s">
        <v>6</v>
      </c>
      <c r="L270" t="s">
        <v>61</v>
      </c>
      <c r="M270" t="s">
        <v>27</v>
      </c>
      <c r="N270">
        <v>4.4457508461459135E-2</v>
      </c>
      <c r="O270" t="s">
        <v>6</v>
      </c>
    </row>
    <row r="271" spans="2:15" x14ac:dyDescent="0.45">
      <c r="B271" t="s">
        <v>59</v>
      </c>
      <c r="C271" t="s">
        <v>28</v>
      </c>
      <c r="D271">
        <v>4.0287208386437581E-2</v>
      </c>
      <c r="E271" t="s">
        <v>6</v>
      </c>
      <c r="G271" t="s">
        <v>60</v>
      </c>
      <c r="H271" t="s">
        <v>28</v>
      </c>
      <c r="I271">
        <v>3.4259335595290277E-2</v>
      </c>
      <c r="J271" t="s">
        <v>6</v>
      </c>
      <c r="L271" t="s">
        <v>61</v>
      </c>
      <c r="M271" t="s">
        <v>28</v>
      </c>
      <c r="N271">
        <v>3.2644117912335388E-2</v>
      </c>
      <c r="O271" t="s">
        <v>6</v>
      </c>
    </row>
    <row r="272" spans="2:15" x14ac:dyDescent="0.45">
      <c r="B272" t="s">
        <v>59</v>
      </c>
      <c r="C272" t="s">
        <v>29</v>
      </c>
      <c r="D272">
        <v>8.2373255965158917E-2</v>
      </c>
      <c r="E272" t="s">
        <v>6</v>
      </c>
      <c r="G272" t="s">
        <v>60</v>
      </c>
      <c r="H272" t="s">
        <v>29</v>
      </c>
      <c r="I272">
        <v>3.5913257953686169E-2</v>
      </c>
      <c r="J272" t="s">
        <v>6</v>
      </c>
      <c r="L272" t="s">
        <v>61</v>
      </c>
      <c r="M272" t="s">
        <v>29</v>
      </c>
      <c r="N272">
        <v>3.2765466086744771E-2</v>
      </c>
      <c r="O272" t="s">
        <v>6</v>
      </c>
    </row>
    <row r="273" spans="2:15" x14ac:dyDescent="0.45">
      <c r="B273" t="s">
        <v>59</v>
      </c>
      <c r="C273" t="s">
        <v>30</v>
      </c>
      <c r="D273">
        <v>5.854704762721577E-2</v>
      </c>
      <c r="E273" t="s">
        <v>6</v>
      </c>
      <c r="G273" t="s">
        <v>60</v>
      </c>
      <c r="H273" t="s">
        <v>30</v>
      </c>
      <c r="I273">
        <v>3.6823353913534231E-2</v>
      </c>
      <c r="J273" t="s">
        <v>6</v>
      </c>
      <c r="L273" t="s">
        <v>61</v>
      </c>
      <c r="M273" t="s">
        <v>30</v>
      </c>
      <c r="N273">
        <v>3.3204195360862582E-2</v>
      </c>
      <c r="O273" t="s">
        <v>6</v>
      </c>
    </row>
    <row r="274" spans="2:15" x14ac:dyDescent="0.45">
      <c r="B274" t="s">
        <v>59</v>
      </c>
      <c r="C274" t="s">
        <v>31</v>
      </c>
      <c r="D274">
        <v>5.8641085030081627E-3</v>
      </c>
      <c r="E274" t="s">
        <v>6</v>
      </c>
      <c r="G274" t="s">
        <v>60</v>
      </c>
      <c r="H274" t="s">
        <v>31</v>
      </c>
      <c r="I274">
        <v>3.6697839936178298E-2</v>
      </c>
      <c r="J274" t="s">
        <v>6</v>
      </c>
      <c r="L274" t="s">
        <v>61</v>
      </c>
      <c r="M274" t="s">
        <v>31</v>
      </c>
      <c r="N274">
        <v>3.3303820080412827E-2</v>
      </c>
      <c r="O274" t="s">
        <v>6</v>
      </c>
    </row>
    <row r="275" spans="2:15" x14ac:dyDescent="0.45">
      <c r="B275" t="s">
        <v>62</v>
      </c>
      <c r="C275" t="s">
        <v>5</v>
      </c>
      <c r="D275">
        <v>0</v>
      </c>
      <c r="E275" t="s">
        <v>6</v>
      </c>
      <c r="G275" t="s">
        <v>63</v>
      </c>
      <c r="H275" t="s">
        <v>5</v>
      </c>
      <c r="I275">
        <v>8.3873324109708339E-2</v>
      </c>
      <c r="J275" t="s">
        <v>6</v>
      </c>
      <c r="L275" t="s">
        <v>64</v>
      </c>
      <c r="M275" t="s">
        <v>5</v>
      </c>
      <c r="N275">
        <v>0.10480064358902842</v>
      </c>
      <c r="O275" t="s">
        <v>6</v>
      </c>
    </row>
    <row r="276" spans="2:15" x14ac:dyDescent="0.45">
      <c r="B276" t="s">
        <v>62</v>
      </c>
      <c r="C276" t="s">
        <v>9</v>
      </c>
      <c r="D276">
        <v>1.1771769707025897E-5</v>
      </c>
      <c r="E276" t="s">
        <v>6</v>
      </c>
      <c r="G276" t="s">
        <v>63</v>
      </c>
      <c r="H276" t="s">
        <v>9</v>
      </c>
      <c r="I276">
        <v>4.4968274609739914E-2</v>
      </c>
      <c r="J276" t="s">
        <v>6</v>
      </c>
      <c r="L276" t="s">
        <v>64</v>
      </c>
      <c r="M276" t="s">
        <v>9</v>
      </c>
      <c r="N276">
        <v>5.2099458453703409E-2</v>
      </c>
      <c r="O276" t="s">
        <v>6</v>
      </c>
    </row>
    <row r="277" spans="2:15" x14ac:dyDescent="0.45">
      <c r="B277" t="s">
        <v>62</v>
      </c>
      <c r="C277" t="s">
        <v>10</v>
      </c>
      <c r="D277">
        <v>2.6711160139185716E-2</v>
      </c>
      <c r="E277" t="s">
        <v>6</v>
      </c>
      <c r="G277" t="s">
        <v>63</v>
      </c>
      <c r="H277" t="s">
        <v>10</v>
      </c>
      <c r="I277">
        <v>3.1140028757768914E-2</v>
      </c>
      <c r="J277" t="s">
        <v>6</v>
      </c>
      <c r="L277" t="s">
        <v>64</v>
      </c>
      <c r="M277" t="s">
        <v>10</v>
      </c>
      <c r="N277">
        <v>3.6298208635309914E-2</v>
      </c>
      <c r="O277" t="s">
        <v>6</v>
      </c>
    </row>
    <row r="278" spans="2:15" x14ac:dyDescent="0.45">
      <c r="B278" t="s">
        <v>62</v>
      </c>
      <c r="C278" t="s">
        <v>11</v>
      </c>
      <c r="D278">
        <v>6.2235446119052455E-2</v>
      </c>
      <c r="E278" t="s">
        <v>6</v>
      </c>
      <c r="G278" t="s">
        <v>63</v>
      </c>
      <c r="H278" t="s">
        <v>11</v>
      </c>
      <c r="I278">
        <v>3.1446423802914909E-2</v>
      </c>
      <c r="J278" t="s">
        <v>6</v>
      </c>
      <c r="L278" t="s">
        <v>64</v>
      </c>
      <c r="M278" t="s">
        <v>11</v>
      </c>
      <c r="N278">
        <v>3.3737126755196356E-2</v>
      </c>
      <c r="O278" t="s">
        <v>6</v>
      </c>
    </row>
    <row r="279" spans="2:15" x14ac:dyDescent="0.45">
      <c r="B279" t="s">
        <v>62</v>
      </c>
      <c r="C279" t="s">
        <v>12</v>
      </c>
      <c r="D279">
        <v>3.0419180841310275E-2</v>
      </c>
      <c r="E279" t="s">
        <v>6</v>
      </c>
      <c r="G279" t="s">
        <v>63</v>
      </c>
      <c r="H279" t="s">
        <v>12</v>
      </c>
      <c r="I279">
        <v>3.4333362443606089E-2</v>
      </c>
      <c r="J279" t="s">
        <v>6</v>
      </c>
      <c r="L279" t="s">
        <v>64</v>
      </c>
      <c r="M279" t="s">
        <v>12</v>
      </c>
      <c r="N279">
        <v>3.4925390611974305E-2</v>
      </c>
      <c r="O279" t="s">
        <v>6</v>
      </c>
    </row>
    <row r="280" spans="2:15" x14ac:dyDescent="0.45">
      <c r="B280" t="s">
        <v>62</v>
      </c>
      <c r="C280" t="s">
        <v>13</v>
      </c>
      <c r="D280">
        <v>5.6862475168332973E-4</v>
      </c>
      <c r="E280" t="s">
        <v>6</v>
      </c>
      <c r="G280" t="s">
        <v>63</v>
      </c>
      <c r="H280" t="s">
        <v>13</v>
      </c>
      <c r="I280">
        <v>3.4712633177751299E-2</v>
      </c>
      <c r="J280" t="s">
        <v>6</v>
      </c>
      <c r="L280" t="s">
        <v>64</v>
      </c>
      <c r="M280" t="s">
        <v>13</v>
      </c>
      <c r="N280">
        <v>3.842567909262317E-2</v>
      </c>
      <c r="O280" t="s">
        <v>6</v>
      </c>
    </row>
    <row r="281" spans="2:15" x14ac:dyDescent="0.45">
      <c r="B281" t="s">
        <v>62</v>
      </c>
      <c r="C281" t="s">
        <v>14</v>
      </c>
      <c r="D281">
        <v>0</v>
      </c>
      <c r="E281" t="s">
        <v>6</v>
      </c>
      <c r="G281" t="s">
        <v>63</v>
      </c>
      <c r="H281" t="s">
        <v>14</v>
      </c>
      <c r="I281">
        <v>9.9789904487944003E-2</v>
      </c>
      <c r="J281" t="s">
        <v>6</v>
      </c>
      <c r="L281" t="s">
        <v>64</v>
      </c>
      <c r="M281" t="s">
        <v>14</v>
      </c>
      <c r="N281">
        <v>8.8017135046080552E-2</v>
      </c>
      <c r="O281" t="s">
        <v>6</v>
      </c>
    </row>
    <row r="282" spans="2:15" x14ac:dyDescent="0.45">
      <c r="B282" t="s">
        <v>62</v>
      </c>
      <c r="C282" t="s">
        <v>15</v>
      </c>
      <c r="D282">
        <v>1.0606233933107279E-2</v>
      </c>
      <c r="E282" t="s">
        <v>6</v>
      </c>
      <c r="G282" t="s">
        <v>63</v>
      </c>
      <c r="H282" t="s">
        <v>15</v>
      </c>
      <c r="I282">
        <v>4.6354724356614967E-2</v>
      </c>
      <c r="J282" t="s">
        <v>6</v>
      </c>
      <c r="L282" t="s">
        <v>64</v>
      </c>
      <c r="M282" t="s">
        <v>15</v>
      </c>
      <c r="N282">
        <v>4.5257438194933435E-2</v>
      </c>
      <c r="O282" t="s">
        <v>6</v>
      </c>
    </row>
    <row r="283" spans="2:15" x14ac:dyDescent="0.45">
      <c r="B283" t="s">
        <v>62</v>
      </c>
      <c r="C283" t="s">
        <v>16</v>
      </c>
      <c r="D283">
        <v>8.4162461675588635E-2</v>
      </c>
      <c r="E283" t="s">
        <v>6</v>
      </c>
      <c r="G283" t="s">
        <v>63</v>
      </c>
      <c r="H283" t="s">
        <v>16</v>
      </c>
      <c r="I283">
        <v>3.6811843776815283E-2</v>
      </c>
      <c r="J283" t="s">
        <v>6</v>
      </c>
      <c r="L283" t="s">
        <v>64</v>
      </c>
      <c r="M283" t="s">
        <v>16</v>
      </c>
      <c r="N283">
        <v>3.0480398166369511E-2</v>
      </c>
      <c r="O283" t="s">
        <v>6</v>
      </c>
    </row>
    <row r="284" spans="2:15" x14ac:dyDescent="0.45">
      <c r="B284" t="s">
        <v>62</v>
      </c>
      <c r="C284" t="s">
        <v>17</v>
      </c>
      <c r="D284">
        <v>0.1204280815325261</v>
      </c>
      <c r="E284" t="s">
        <v>6</v>
      </c>
      <c r="G284" t="s">
        <v>63</v>
      </c>
      <c r="H284" t="s">
        <v>17</v>
      </c>
      <c r="I284">
        <v>4.4703831112537916E-2</v>
      </c>
      <c r="J284" t="s">
        <v>6</v>
      </c>
      <c r="L284" t="s">
        <v>64</v>
      </c>
      <c r="M284" t="s">
        <v>17</v>
      </c>
      <c r="N284">
        <v>2.9116490613167512E-2</v>
      </c>
      <c r="O284" t="s">
        <v>6</v>
      </c>
    </row>
    <row r="285" spans="2:15" x14ac:dyDescent="0.45">
      <c r="B285" t="s">
        <v>62</v>
      </c>
      <c r="C285" t="s">
        <v>18</v>
      </c>
      <c r="D285">
        <v>8.0262647600933129E-2</v>
      </c>
      <c r="E285" t="s">
        <v>6</v>
      </c>
      <c r="G285" t="s">
        <v>63</v>
      </c>
      <c r="H285" t="s">
        <v>18</v>
      </c>
      <c r="I285">
        <v>4.9966098262686789E-2</v>
      </c>
      <c r="J285" t="s">
        <v>6</v>
      </c>
      <c r="L285" t="s">
        <v>64</v>
      </c>
      <c r="M285" t="s">
        <v>18</v>
      </c>
      <c r="N285">
        <v>3.1388451458761714E-2</v>
      </c>
      <c r="O285" t="s">
        <v>6</v>
      </c>
    </row>
    <row r="286" spans="2:15" x14ac:dyDescent="0.45">
      <c r="B286" t="s">
        <v>62</v>
      </c>
      <c r="C286" t="s">
        <v>19</v>
      </c>
      <c r="D286">
        <v>1.1844598039726949E-2</v>
      </c>
      <c r="E286" t="s">
        <v>6</v>
      </c>
      <c r="G286" t="s">
        <v>63</v>
      </c>
      <c r="H286" t="s">
        <v>19</v>
      </c>
      <c r="I286">
        <v>4.7563044763116256E-2</v>
      </c>
      <c r="J286" t="s">
        <v>6</v>
      </c>
      <c r="L286" t="s">
        <v>64</v>
      </c>
      <c r="M286" t="s">
        <v>19</v>
      </c>
      <c r="N286">
        <v>3.3083443841107757E-2</v>
      </c>
      <c r="O286" t="s">
        <v>6</v>
      </c>
    </row>
    <row r="287" spans="2:15" x14ac:dyDescent="0.45">
      <c r="B287" t="s">
        <v>62</v>
      </c>
      <c r="C287" t="s">
        <v>20</v>
      </c>
      <c r="D287">
        <v>1.8995278306083201E-6</v>
      </c>
      <c r="E287" t="s">
        <v>6</v>
      </c>
      <c r="G287" t="s">
        <v>63</v>
      </c>
      <c r="H287" t="s">
        <v>20</v>
      </c>
      <c r="I287">
        <v>4.5822462916280275E-2</v>
      </c>
      <c r="J287" t="s">
        <v>6</v>
      </c>
      <c r="L287" t="s">
        <v>64</v>
      </c>
      <c r="M287" t="s">
        <v>20</v>
      </c>
      <c r="N287">
        <v>6.5187563564721857E-2</v>
      </c>
      <c r="O287" t="s">
        <v>6</v>
      </c>
    </row>
    <row r="288" spans="2:15" x14ac:dyDescent="0.45">
      <c r="B288" t="s">
        <v>62</v>
      </c>
      <c r="C288" t="s">
        <v>21</v>
      </c>
      <c r="D288">
        <v>1.8686423328450646E-2</v>
      </c>
      <c r="E288" t="s">
        <v>6</v>
      </c>
      <c r="G288" t="s">
        <v>63</v>
      </c>
      <c r="H288" t="s">
        <v>21</v>
      </c>
      <c r="I288">
        <v>1.5251489702589053E-2</v>
      </c>
      <c r="J288" t="s">
        <v>6</v>
      </c>
      <c r="L288" t="s">
        <v>64</v>
      </c>
      <c r="M288" t="s">
        <v>21</v>
      </c>
      <c r="N288">
        <v>2.701386100965808E-2</v>
      </c>
      <c r="O288" t="s">
        <v>6</v>
      </c>
    </row>
    <row r="289" spans="2:15" x14ac:dyDescent="0.45">
      <c r="B289" t="s">
        <v>62</v>
      </c>
      <c r="C289" t="s">
        <v>22</v>
      </c>
      <c r="D289">
        <v>0.10270469472375758</v>
      </c>
      <c r="E289" t="s">
        <v>6</v>
      </c>
      <c r="G289" t="s">
        <v>63</v>
      </c>
      <c r="H289" t="s">
        <v>22</v>
      </c>
      <c r="I289">
        <v>1.2891308329012571E-2</v>
      </c>
      <c r="J289" t="s">
        <v>6</v>
      </c>
      <c r="L289" t="s">
        <v>64</v>
      </c>
      <c r="M289" t="s">
        <v>22</v>
      </c>
      <c r="N289">
        <v>1.600869373859453E-2</v>
      </c>
      <c r="O289" t="s">
        <v>6</v>
      </c>
    </row>
    <row r="290" spans="2:15" x14ac:dyDescent="0.45">
      <c r="B290" t="s">
        <v>62</v>
      </c>
      <c r="C290" t="s">
        <v>23</v>
      </c>
      <c r="D290">
        <v>0.13932166077702635</v>
      </c>
      <c r="E290" t="s">
        <v>6</v>
      </c>
      <c r="G290" t="s">
        <v>63</v>
      </c>
      <c r="H290" t="s">
        <v>23</v>
      </c>
      <c r="I290">
        <v>1.7821975179319299E-2</v>
      </c>
      <c r="J290" t="s">
        <v>6</v>
      </c>
      <c r="L290" t="s">
        <v>64</v>
      </c>
      <c r="M290" t="s">
        <v>23</v>
      </c>
      <c r="N290">
        <v>1.7308220757290195E-2</v>
      </c>
      <c r="O290" t="s">
        <v>6</v>
      </c>
    </row>
    <row r="291" spans="2:15" x14ac:dyDescent="0.45">
      <c r="B291" t="s">
        <v>62</v>
      </c>
      <c r="C291" t="s">
        <v>24</v>
      </c>
      <c r="D291">
        <v>0.10294701834480449</v>
      </c>
      <c r="E291" t="s">
        <v>6</v>
      </c>
      <c r="G291" t="s">
        <v>63</v>
      </c>
      <c r="H291" t="s">
        <v>24</v>
      </c>
      <c r="I291">
        <v>2.2353872049711895E-2</v>
      </c>
      <c r="J291" t="s">
        <v>6</v>
      </c>
      <c r="L291" t="s">
        <v>64</v>
      </c>
      <c r="M291" t="s">
        <v>24</v>
      </c>
      <c r="N291">
        <v>2.3183153982672608E-2</v>
      </c>
      <c r="O291" t="s">
        <v>6</v>
      </c>
    </row>
    <row r="292" spans="2:15" x14ac:dyDescent="0.45">
      <c r="B292" t="s">
        <v>62</v>
      </c>
      <c r="C292" t="s">
        <v>25</v>
      </c>
      <c r="D292">
        <v>2.2398053592194492E-2</v>
      </c>
      <c r="E292" t="s">
        <v>6</v>
      </c>
      <c r="G292" t="s">
        <v>63</v>
      </c>
      <c r="H292" t="s">
        <v>25</v>
      </c>
      <c r="I292">
        <v>2.275903926224496E-2</v>
      </c>
      <c r="J292" t="s">
        <v>6</v>
      </c>
      <c r="L292" t="s">
        <v>64</v>
      </c>
      <c r="M292" t="s">
        <v>25</v>
      </c>
      <c r="N292">
        <v>2.6325124904666129E-2</v>
      </c>
      <c r="O292" t="s">
        <v>6</v>
      </c>
    </row>
    <row r="293" spans="2:15" x14ac:dyDescent="0.45">
      <c r="B293" t="s">
        <v>62</v>
      </c>
      <c r="C293" t="s">
        <v>26</v>
      </c>
      <c r="D293">
        <v>0</v>
      </c>
      <c r="E293" t="s">
        <v>6</v>
      </c>
      <c r="G293" t="s">
        <v>63</v>
      </c>
      <c r="H293" t="s">
        <v>26</v>
      </c>
      <c r="I293">
        <v>9.4642716617927267E-2</v>
      </c>
      <c r="J293" t="s">
        <v>6</v>
      </c>
      <c r="L293" t="s">
        <v>64</v>
      </c>
      <c r="M293" t="s">
        <v>26</v>
      </c>
      <c r="N293">
        <v>8.7525098762622683E-2</v>
      </c>
      <c r="O293" t="s">
        <v>6</v>
      </c>
    </row>
    <row r="294" spans="2:15" x14ac:dyDescent="0.45">
      <c r="B294" t="s">
        <v>62</v>
      </c>
      <c r="C294" t="s">
        <v>27</v>
      </c>
      <c r="D294">
        <v>3.0235469955280305E-3</v>
      </c>
      <c r="E294" t="s">
        <v>6</v>
      </c>
      <c r="G294" t="s">
        <v>63</v>
      </c>
      <c r="H294" t="s">
        <v>27</v>
      </c>
      <c r="I294">
        <v>4.243233356728604E-2</v>
      </c>
      <c r="J294" t="s">
        <v>6</v>
      </c>
      <c r="L294" t="s">
        <v>64</v>
      </c>
      <c r="M294" t="s">
        <v>27</v>
      </c>
      <c r="N294">
        <v>4.4827968597458766E-2</v>
      </c>
      <c r="O294" t="s">
        <v>6</v>
      </c>
    </row>
    <row r="295" spans="2:15" x14ac:dyDescent="0.45">
      <c r="B295" t="s">
        <v>62</v>
      </c>
      <c r="C295" t="s">
        <v>28</v>
      </c>
      <c r="D295">
        <v>5.0702429347800934E-2</v>
      </c>
      <c r="E295" t="s">
        <v>6</v>
      </c>
      <c r="G295" t="s">
        <v>63</v>
      </c>
      <c r="H295" t="s">
        <v>28</v>
      </c>
      <c r="I295">
        <v>3.0479107244125381E-2</v>
      </c>
      <c r="J295" t="s">
        <v>6</v>
      </c>
      <c r="L295" t="s">
        <v>64</v>
      </c>
      <c r="M295" t="s">
        <v>28</v>
      </c>
      <c r="N295">
        <v>3.2238022821328184E-2</v>
      </c>
      <c r="O295" t="s">
        <v>6</v>
      </c>
    </row>
    <row r="296" spans="2:15" x14ac:dyDescent="0.45">
      <c r="B296" t="s">
        <v>62</v>
      </c>
      <c r="C296" t="s">
        <v>29</v>
      </c>
      <c r="D296">
        <v>8.423844739161386E-2</v>
      </c>
      <c r="E296" t="s">
        <v>6</v>
      </c>
      <c r="G296" t="s">
        <v>63</v>
      </c>
      <c r="H296" t="s">
        <v>29</v>
      </c>
      <c r="I296">
        <v>3.3430843597747756E-2</v>
      </c>
      <c r="J296" t="s">
        <v>6</v>
      </c>
      <c r="L296" t="s">
        <v>64</v>
      </c>
      <c r="M296" t="s">
        <v>29</v>
      </c>
      <c r="N296">
        <v>3.2979838178010909E-2</v>
      </c>
      <c r="O296" t="s">
        <v>6</v>
      </c>
    </row>
    <row r="297" spans="2:15" x14ac:dyDescent="0.45">
      <c r="B297" t="s">
        <v>62</v>
      </c>
      <c r="C297" t="s">
        <v>30</v>
      </c>
      <c r="D297">
        <v>4.6220533769910317E-2</v>
      </c>
      <c r="E297" t="s">
        <v>6</v>
      </c>
      <c r="G297" t="s">
        <v>63</v>
      </c>
      <c r="H297" t="s">
        <v>30</v>
      </c>
      <c r="I297">
        <v>3.7784367611775276E-2</v>
      </c>
      <c r="J297" t="s">
        <v>6</v>
      </c>
      <c r="L297" t="s">
        <v>64</v>
      </c>
      <c r="M297" t="s">
        <v>30</v>
      </c>
      <c r="N297">
        <v>3.4941394402067512E-2</v>
      </c>
      <c r="O297" t="s">
        <v>6</v>
      </c>
    </row>
    <row r="298" spans="2:15" x14ac:dyDescent="0.45">
      <c r="B298" t="s">
        <v>62</v>
      </c>
      <c r="C298" t="s">
        <v>31</v>
      </c>
      <c r="D298">
        <v>2.5050857982627942E-3</v>
      </c>
      <c r="E298" t="s">
        <v>6</v>
      </c>
      <c r="G298" t="s">
        <v>63</v>
      </c>
      <c r="H298" t="s">
        <v>31</v>
      </c>
      <c r="I298">
        <v>3.8666990260779376E-2</v>
      </c>
      <c r="J298" t="s">
        <v>6</v>
      </c>
      <c r="L298" t="s">
        <v>64</v>
      </c>
      <c r="M298" t="s">
        <v>31</v>
      </c>
      <c r="N298">
        <v>3.483119482265102E-2</v>
      </c>
      <c r="O298" t="s">
        <v>6</v>
      </c>
    </row>
    <row r="299" spans="2:15" x14ac:dyDescent="0.45">
      <c r="B299" t="s">
        <v>65</v>
      </c>
      <c r="C299" t="s">
        <v>5</v>
      </c>
      <c r="D299">
        <v>0</v>
      </c>
      <c r="E299" t="s">
        <v>6</v>
      </c>
      <c r="G299" t="s">
        <v>66</v>
      </c>
      <c r="H299" t="s">
        <v>5</v>
      </c>
      <c r="I299">
        <v>7.237058791274821E-2</v>
      </c>
      <c r="J299" t="s">
        <v>6</v>
      </c>
      <c r="L299" t="s">
        <v>67</v>
      </c>
      <c r="M299" t="s">
        <v>5</v>
      </c>
      <c r="N299">
        <v>9.3087717446921417E-2</v>
      </c>
      <c r="O299" t="s">
        <v>6</v>
      </c>
    </row>
    <row r="300" spans="2:15" x14ac:dyDescent="0.45">
      <c r="B300" t="s">
        <v>65</v>
      </c>
      <c r="C300" t="s">
        <v>9</v>
      </c>
      <c r="D300">
        <v>4.4731003261611713E-5</v>
      </c>
      <c r="E300" t="s">
        <v>6</v>
      </c>
      <c r="G300" t="s">
        <v>66</v>
      </c>
      <c r="H300" t="s">
        <v>9</v>
      </c>
      <c r="I300">
        <v>4.191773078941935E-2</v>
      </c>
      <c r="J300" t="s">
        <v>6</v>
      </c>
      <c r="L300" t="s">
        <v>67</v>
      </c>
      <c r="M300" t="s">
        <v>9</v>
      </c>
      <c r="N300">
        <v>4.7254648740130537E-2</v>
      </c>
      <c r="O300" t="s">
        <v>6</v>
      </c>
    </row>
    <row r="301" spans="2:15" x14ac:dyDescent="0.45">
      <c r="B301" t="s">
        <v>65</v>
      </c>
      <c r="C301" t="s">
        <v>10</v>
      </c>
      <c r="D301">
        <v>3.3330714940964859E-2</v>
      </c>
      <c r="E301" t="s">
        <v>6</v>
      </c>
      <c r="G301" t="s">
        <v>66</v>
      </c>
      <c r="H301" t="s">
        <v>10</v>
      </c>
      <c r="I301">
        <v>2.9042104673421096E-2</v>
      </c>
      <c r="J301" t="s">
        <v>6</v>
      </c>
      <c r="L301" t="s">
        <v>67</v>
      </c>
      <c r="M301" t="s">
        <v>10</v>
      </c>
      <c r="N301">
        <v>3.5398637948989509E-2</v>
      </c>
      <c r="O301" t="s">
        <v>6</v>
      </c>
    </row>
    <row r="302" spans="2:15" x14ac:dyDescent="0.45">
      <c r="B302" t="s">
        <v>65</v>
      </c>
      <c r="C302" t="s">
        <v>11</v>
      </c>
      <c r="D302">
        <v>7.4337939930621127E-2</v>
      </c>
      <c r="E302" t="s">
        <v>6</v>
      </c>
      <c r="G302" t="s">
        <v>66</v>
      </c>
      <c r="H302" t="s">
        <v>11</v>
      </c>
      <c r="I302">
        <v>3.1037151556308592E-2</v>
      </c>
      <c r="J302" t="s">
        <v>6</v>
      </c>
      <c r="L302" t="s">
        <v>67</v>
      </c>
      <c r="M302" t="s">
        <v>11</v>
      </c>
      <c r="N302">
        <v>3.4781058750781475E-2</v>
      </c>
      <c r="O302" t="s">
        <v>6</v>
      </c>
    </row>
    <row r="303" spans="2:15" x14ac:dyDescent="0.45">
      <c r="B303" t="s">
        <v>65</v>
      </c>
      <c r="C303" t="s">
        <v>12</v>
      </c>
      <c r="D303">
        <v>3.5659498099024987E-2</v>
      </c>
      <c r="E303" t="s">
        <v>6</v>
      </c>
      <c r="G303" t="s">
        <v>66</v>
      </c>
      <c r="H303" t="s">
        <v>12</v>
      </c>
      <c r="I303">
        <v>3.2765463583835967E-2</v>
      </c>
      <c r="J303" t="s">
        <v>6</v>
      </c>
      <c r="L303" t="s">
        <v>67</v>
      </c>
      <c r="M303" t="s">
        <v>12</v>
      </c>
      <c r="N303">
        <v>3.4996197723805328E-2</v>
      </c>
      <c r="O303" t="s">
        <v>6</v>
      </c>
    </row>
    <row r="304" spans="2:15" x14ac:dyDescent="0.45">
      <c r="B304" t="s">
        <v>65</v>
      </c>
      <c r="C304" t="s">
        <v>13</v>
      </c>
      <c r="D304">
        <v>7.5705209053834822E-4</v>
      </c>
      <c r="E304" t="s">
        <v>6</v>
      </c>
      <c r="G304" t="s">
        <v>66</v>
      </c>
      <c r="H304" t="s">
        <v>13</v>
      </c>
      <c r="I304">
        <v>2.9896218244886721E-2</v>
      </c>
      <c r="J304" t="s">
        <v>6</v>
      </c>
      <c r="L304" t="s">
        <v>67</v>
      </c>
      <c r="M304" t="s">
        <v>13</v>
      </c>
      <c r="N304">
        <v>3.526300554429513E-2</v>
      </c>
      <c r="O304" t="s">
        <v>6</v>
      </c>
    </row>
    <row r="305" spans="2:15" x14ac:dyDescent="0.45">
      <c r="B305" t="s">
        <v>65</v>
      </c>
      <c r="C305" t="s">
        <v>14</v>
      </c>
      <c r="D305">
        <v>0</v>
      </c>
      <c r="E305" t="s">
        <v>6</v>
      </c>
      <c r="G305" t="s">
        <v>66</v>
      </c>
      <c r="H305" t="s">
        <v>14</v>
      </c>
      <c r="I305">
        <v>0.10902377903568149</v>
      </c>
      <c r="J305" t="s">
        <v>6</v>
      </c>
      <c r="L305" t="s">
        <v>67</v>
      </c>
      <c r="M305" t="s">
        <v>14</v>
      </c>
      <c r="N305">
        <v>9.2528048700598275E-2</v>
      </c>
      <c r="O305" t="s">
        <v>6</v>
      </c>
    </row>
    <row r="306" spans="2:15" x14ac:dyDescent="0.45">
      <c r="B306" t="s">
        <v>65</v>
      </c>
      <c r="C306" t="s">
        <v>15</v>
      </c>
      <c r="D306">
        <v>1.0350615324471527E-2</v>
      </c>
      <c r="E306" t="s">
        <v>6</v>
      </c>
      <c r="G306" t="s">
        <v>66</v>
      </c>
      <c r="H306" t="s">
        <v>15</v>
      </c>
      <c r="I306">
        <v>4.9972662530861002E-2</v>
      </c>
      <c r="J306" t="s">
        <v>6</v>
      </c>
      <c r="L306" t="s">
        <v>67</v>
      </c>
      <c r="M306" t="s">
        <v>15</v>
      </c>
      <c r="N306">
        <v>4.3965679985663662E-2</v>
      </c>
      <c r="O306" t="s">
        <v>6</v>
      </c>
    </row>
    <row r="307" spans="2:15" x14ac:dyDescent="0.45">
      <c r="B307" t="s">
        <v>65</v>
      </c>
      <c r="C307" t="s">
        <v>16</v>
      </c>
      <c r="D307">
        <v>8.0575407504622679E-2</v>
      </c>
      <c r="E307" t="s">
        <v>6</v>
      </c>
      <c r="G307" t="s">
        <v>66</v>
      </c>
      <c r="H307" t="s">
        <v>16</v>
      </c>
      <c r="I307">
        <v>3.8765443847291879E-2</v>
      </c>
      <c r="J307" t="s">
        <v>6</v>
      </c>
      <c r="L307" t="s">
        <v>67</v>
      </c>
      <c r="M307" t="s">
        <v>16</v>
      </c>
      <c r="N307">
        <v>3.1306567952875911E-2</v>
      </c>
      <c r="O307" t="s">
        <v>6</v>
      </c>
    </row>
    <row r="308" spans="2:15" x14ac:dyDescent="0.45">
      <c r="B308" t="s">
        <v>65</v>
      </c>
      <c r="C308" t="s">
        <v>17</v>
      </c>
      <c r="D308">
        <v>0.1147242664330785</v>
      </c>
      <c r="E308" t="s">
        <v>6</v>
      </c>
      <c r="G308" t="s">
        <v>66</v>
      </c>
      <c r="H308" t="s">
        <v>17</v>
      </c>
      <c r="I308">
        <v>4.7439928760342601E-2</v>
      </c>
      <c r="J308" t="s">
        <v>6</v>
      </c>
      <c r="L308" t="s">
        <v>67</v>
      </c>
      <c r="M308" t="s">
        <v>17</v>
      </c>
      <c r="N308">
        <v>3.1989347187252382E-2</v>
      </c>
      <c r="O308" t="s">
        <v>6</v>
      </c>
    </row>
    <row r="309" spans="2:15" x14ac:dyDescent="0.45">
      <c r="B309" t="s">
        <v>65</v>
      </c>
      <c r="C309" t="s">
        <v>18</v>
      </c>
      <c r="D309">
        <v>7.3418212793417786E-2</v>
      </c>
      <c r="E309" t="s">
        <v>6</v>
      </c>
      <c r="G309" t="s">
        <v>66</v>
      </c>
      <c r="H309" t="s">
        <v>18</v>
      </c>
      <c r="I309">
        <v>5.3635379758453582E-2</v>
      </c>
      <c r="J309" t="s">
        <v>6</v>
      </c>
      <c r="L309" t="s">
        <v>67</v>
      </c>
      <c r="M309" t="s">
        <v>18</v>
      </c>
      <c r="N309">
        <v>3.4378746345662334E-2</v>
      </c>
      <c r="O309" t="s">
        <v>6</v>
      </c>
    </row>
    <row r="310" spans="2:15" x14ac:dyDescent="0.45">
      <c r="B310" t="s">
        <v>65</v>
      </c>
      <c r="C310" t="s">
        <v>19</v>
      </c>
      <c r="D310">
        <v>1.058196507031204E-2</v>
      </c>
      <c r="E310" t="s">
        <v>6</v>
      </c>
      <c r="G310" t="s">
        <v>66</v>
      </c>
      <c r="H310" t="s">
        <v>19</v>
      </c>
      <c r="I310">
        <v>5.1932122669309001E-2</v>
      </c>
      <c r="J310" t="s">
        <v>6</v>
      </c>
      <c r="L310" t="s">
        <v>67</v>
      </c>
      <c r="M310" t="s">
        <v>19</v>
      </c>
      <c r="N310">
        <v>3.6279226843630698E-2</v>
      </c>
      <c r="O310" t="s">
        <v>6</v>
      </c>
    </row>
    <row r="311" spans="2:15" x14ac:dyDescent="0.45">
      <c r="B311" t="s">
        <v>65</v>
      </c>
      <c r="C311" t="s">
        <v>20</v>
      </c>
      <c r="D311">
        <v>0</v>
      </c>
      <c r="E311" t="s">
        <v>6</v>
      </c>
      <c r="G311" t="s">
        <v>66</v>
      </c>
      <c r="H311" t="s">
        <v>20</v>
      </c>
      <c r="I311">
        <v>3.3983229358033308E-2</v>
      </c>
      <c r="J311" t="s">
        <v>6</v>
      </c>
      <c r="L311" t="s">
        <v>67</v>
      </c>
      <c r="M311" t="s">
        <v>20</v>
      </c>
      <c r="N311">
        <v>6.6942483081059614E-2</v>
      </c>
      <c r="O311" t="s">
        <v>6</v>
      </c>
    </row>
    <row r="312" spans="2:15" x14ac:dyDescent="0.45">
      <c r="B312" t="s">
        <v>65</v>
      </c>
      <c r="C312" t="s">
        <v>21</v>
      </c>
      <c r="D312">
        <v>1.8686266061239191E-2</v>
      </c>
      <c r="E312" t="s">
        <v>6</v>
      </c>
      <c r="G312" t="s">
        <v>66</v>
      </c>
      <c r="H312" t="s">
        <v>21</v>
      </c>
      <c r="I312">
        <v>1.161784310735252E-2</v>
      </c>
      <c r="J312" t="s">
        <v>6</v>
      </c>
      <c r="L312" t="s">
        <v>67</v>
      </c>
      <c r="M312" t="s">
        <v>21</v>
      </c>
      <c r="N312">
        <v>3.2034118167972199E-2</v>
      </c>
      <c r="O312" t="s">
        <v>6</v>
      </c>
    </row>
    <row r="313" spans="2:15" x14ac:dyDescent="0.45">
      <c r="B313" t="s">
        <v>65</v>
      </c>
      <c r="C313" t="s">
        <v>22</v>
      </c>
      <c r="D313">
        <v>0.10181730194197892</v>
      </c>
      <c r="E313" t="s">
        <v>6</v>
      </c>
      <c r="G313" t="s">
        <v>66</v>
      </c>
      <c r="H313" t="s">
        <v>22</v>
      </c>
      <c r="I313">
        <v>9.8623739939030855E-3</v>
      </c>
      <c r="J313" t="s">
        <v>6</v>
      </c>
      <c r="L313" t="s">
        <v>67</v>
      </c>
      <c r="M313" t="s">
        <v>22</v>
      </c>
      <c r="N313">
        <v>2.2320023104326098E-2</v>
      </c>
      <c r="O313" t="s">
        <v>6</v>
      </c>
    </row>
    <row r="314" spans="2:15" x14ac:dyDescent="0.45">
      <c r="B314" t="s">
        <v>65</v>
      </c>
      <c r="C314" t="s">
        <v>23</v>
      </c>
      <c r="D314">
        <v>0.13599456473275875</v>
      </c>
      <c r="E314" t="s">
        <v>6</v>
      </c>
      <c r="G314" t="s">
        <v>66</v>
      </c>
      <c r="H314" t="s">
        <v>23</v>
      </c>
      <c r="I314">
        <v>1.4662621214925217E-2</v>
      </c>
      <c r="J314" t="s">
        <v>6</v>
      </c>
      <c r="L314" t="s">
        <v>67</v>
      </c>
      <c r="M314" t="s">
        <v>23</v>
      </c>
      <c r="N314">
        <v>2.3050926749003307E-2</v>
      </c>
      <c r="O314" t="s">
        <v>6</v>
      </c>
    </row>
    <row r="315" spans="2:15" x14ac:dyDescent="0.45">
      <c r="B315" t="s">
        <v>65</v>
      </c>
      <c r="C315" t="s">
        <v>24</v>
      </c>
      <c r="D315">
        <v>9.785775557716285E-2</v>
      </c>
      <c r="E315" t="s">
        <v>6</v>
      </c>
      <c r="G315" t="s">
        <v>66</v>
      </c>
      <c r="H315" t="s">
        <v>24</v>
      </c>
      <c r="I315">
        <v>1.6298787905438337E-2</v>
      </c>
      <c r="J315" t="s">
        <v>6</v>
      </c>
      <c r="L315" t="s">
        <v>67</v>
      </c>
      <c r="M315" t="s">
        <v>24</v>
      </c>
      <c r="N315">
        <v>2.5770554384228431E-2</v>
      </c>
      <c r="O315" t="s">
        <v>6</v>
      </c>
    </row>
    <row r="316" spans="2:15" x14ac:dyDescent="0.45">
      <c r="B316" t="s">
        <v>65</v>
      </c>
      <c r="C316" t="s">
        <v>25</v>
      </c>
      <c r="D316">
        <v>2.0912759942592892E-2</v>
      </c>
      <c r="E316" t="s">
        <v>6</v>
      </c>
      <c r="G316" t="s">
        <v>66</v>
      </c>
      <c r="H316" t="s">
        <v>25</v>
      </c>
      <c r="I316">
        <v>1.5966321463271996E-2</v>
      </c>
      <c r="J316" t="s">
        <v>6</v>
      </c>
      <c r="L316" t="s">
        <v>67</v>
      </c>
      <c r="M316" t="s">
        <v>25</v>
      </c>
      <c r="N316">
        <v>2.6382445829602988E-2</v>
      </c>
      <c r="O316" t="s">
        <v>6</v>
      </c>
    </row>
    <row r="317" spans="2:15" x14ac:dyDescent="0.45">
      <c r="B317" t="s">
        <v>65</v>
      </c>
      <c r="C317" t="s">
        <v>26</v>
      </c>
      <c r="D317">
        <v>0</v>
      </c>
      <c r="E317" t="s">
        <v>6</v>
      </c>
      <c r="G317" t="s">
        <v>66</v>
      </c>
      <c r="H317" t="s">
        <v>26</v>
      </c>
      <c r="I317">
        <v>0.10715852843099388</v>
      </c>
      <c r="J317" t="s">
        <v>6</v>
      </c>
      <c r="L317" t="s">
        <v>67</v>
      </c>
      <c r="M317" t="s">
        <v>26</v>
      </c>
      <c r="N317">
        <v>8.5819395346653587E-2</v>
      </c>
      <c r="O317" t="s">
        <v>6</v>
      </c>
    </row>
    <row r="318" spans="2:15" x14ac:dyDescent="0.45">
      <c r="B318" t="s">
        <v>65</v>
      </c>
      <c r="C318" t="s">
        <v>27</v>
      </c>
      <c r="D318">
        <v>2.9937959034298596E-3</v>
      </c>
      <c r="E318" t="s">
        <v>6</v>
      </c>
      <c r="G318" t="s">
        <v>66</v>
      </c>
      <c r="H318" t="s">
        <v>27</v>
      </c>
      <c r="I318">
        <v>4.2705344115172079E-2</v>
      </c>
      <c r="J318" t="s">
        <v>6</v>
      </c>
      <c r="L318" t="s">
        <v>67</v>
      </c>
      <c r="M318" t="s">
        <v>27</v>
      </c>
      <c r="N318">
        <v>4.1508737774682128E-2</v>
      </c>
      <c r="O318" t="s">
        <v>6</v>
      </c>
    </row>
    <row r="319" spans="2:15" x14ac:dyDescent="0.45">
      <c r="B319" t="s">
        <v>65</v>
      </c>
      <c r="C319" t="s">
        <v>28</v>
      </c>
      <c r="D319">
        <v>5.1312723729267519E-2</v>
      </c>
      <c r="E319" t="s">
        <v>6</v>
      </c>
      <c r="G319" t="s">
        <v>66</v>
      </c>
      <c r="H319" t="s">
        <v>28</v>
      </c>
      <c r="I319">
        <v>3.1464083124541346E-2</v>
      </c>
      <c r="J319" t="s">
        <v>6</v>
      </c>
      <c r="L319" t="s">
        <v>67</v>
      </c>
      <c r="M319" t="s">
        <v>28</v>
      </c>
      <c r="N319">
        <v>3.0888627518845194E-2</v>
      </c>
      <c r="O319" t="s">
        <v>6</v>
      </c>
    </row>
    <row r="320" spans="2:15" x14ac:dyDescent="0.45">
      <c r="B320" t="s">
        <v>65</v>
      </c>
      <c r="C320" t="s">
        <v>29</v>
      </c>
      <c r="D320">
        <v>8.6483684128169008E-2</v>
      </c>
      <c r="E320" t="s">
        <v>6</v>
      </c>
      <c r="G320" t="s">
        <v>66</v>
      </c>
      <c r="H320" t="s">
        <v>29</v>
      </c>
      <c r="I320">
        <v>3.7135639288432651E-2</v>
      </c>
      <c r="J320" t="s">
        <v>6</v>
      </c>
      <c r="L320" t="s">
        <v>67</v>
      </c>
      <c r="M320" t="s">
        <v>29</v>
      </c>
      <c r="N320">
        <v>3.0155513588389454E-2</v>
      </c>
      <c r="O320" t="s">
        <v>6</v>
      </c>
    </row>
    <row r="321" spans="2:15" x14ac:dyDescent="0.45">
      <c r="B321" t="s">
        <v>65</v>
      </c>
      <c r="C321" t="s">
        <v>30</v>
      </c>
      <c r="D321">
        <v>4.7795838285733923E-2</v>
      </c>
      <c r="E321" t="s">
        <v>6</v>
      </c>
      <c r="G321" t="s">
        <v>66</v>
      </c>
      <c r="H321" t="s">
        <v>30</v>
      </c>
      <c r="I321">
        <v>4.449912305337974E-2</v>
      </c>
      <c r="J321" t="s">
        <v>6</v>
      </c>
      <c r="L321" t="s">
        <v>67</v>
      </c>
      <c r="M321" t="s">
        <v>30</v>
      </c>
      <c r="N321">
        <v>3.1582340825115081E-2</v>
      </c>
      <c r="O321" t="s">
        <v>6</v>
      </c>
    </row>
    <row r="322" spans="2:15" x14ac:dyDescent="0.45">
      <c r="B322" t="s">
        <v>65</v>
      </c>
      <c r="C322" t="s">
        <v>31</v>
      </c>
      <c r="D322">
        <v>2.3649065073521624E-3</v>
      </c>
      <c r="E322" t="s">
        <v>6</v>
      </c>
      <c r="G322" t="s">
        <v>66</v>
      </c>
      <c r="H322" t="s">
        <v>31</v>
      </c>
      <c r="I322">
        <v>4.6847531581995311E-2</v>
      </c>
      <c r="J322" t="s">
        <v>6</v>
      </c>
      <c r="L322" t="s">
        <v>67</v>
      </c>
      <c r="M322" t="s">
        <v>31</v>
      </c>
      <c r="N322">
        <v>3.2315950459519481E-2</v>
      </c>
      <c r="O322" t="s">
        <v>6</v>
      </c>
    </row>
    <row r="323" spans="2:15" x14ac:dyDescent="0.45">
      <c r="B323" t="s">
        <v>68</v>
      </c>
      <c r="C323" t="s">
        <v>5</v>
      </c>
      <c r="D323">
        <v>0</v>
      </c>
      <c r="E323" t="s">
        <v>6</v>
      </c>
      <c r="G323" t="s">
        <v>69</v>
      </c>
      <c r="H323" t="s">
        <v>5</v>
      </c>
      <c r="I323">
        <v>0.10611824190392126</v>
      </c>
      <c r="J323" t="s">
        <v>6</v>
      </c>
      <c r="L323" t="s">
        <v>70</v>
      </c>
      <c r="M323" t="s">
        <v>5</v>
      </c>
      <c r="N323">
        <v>9.3108461398791781E-2</v>
      </c>
      <c r="O323" t="s">
        <v>6</v>
      </c>
    </row>
    <row r="324" spans="2:15" x14ac:dyDescent="0.45">
      <c r="B324" t="s">
        <v>68</v>
      </c>
      <c r="C324" t="s">
        <v>9</v>
      </c>
      <c r="D324">
        <v>0</v>
      </c>
      <c r="E324" t="s">
        <v>6</v>
      </c>
      <c r="G324" t="s">
        <v>69</v>
      </c>
      <c r="H324" t="s">
        <v>9</v>
      </c>
      <c r="I324">
        <v>5.8430221553273418E-2</v>
      </c>
      <c r="J324" t="s">
        <v>6</v>
      </c>
      <c r="L324" t="s">
        <v>70</v>
      </c>
      <c r="M324" t="s">
        <v>9</v>
      </c>
      <c r="N324">
        <v>4.7319853831235541E-2</v>
      </c>
      <c r="O324" t="s">
        <v>6</v>
      </c>
    </row>
    <row r="325" spans="2:15" x14ac:dyDescent="0.45">
      <c r="B325" t="s">
        <v>68</v>
      </c>
      <c r="C325" t="s">
        <v>10</v>
      </c>
      <c r="D325">
        <v>2.554169378722437E-2</v>
      </c>
      <c r="E325" t="s">
        <v>6</v>
      </c>
      <c r="G325" t="s">
        <v>69</v>
      </c>
      <c r="H325" t="s">
        <v>10</v>
      </c>
      <c r="I325">
        <v>4.3214855071459356E-2</v>
      </c>
      <c r="J325" t="s">
        <v>6</v>
      </c>
      <c r="L325" t="s">
        <v>70</v>
      </c>
      <c r="M325" t="s">
        <v>10</v>
      </c>
      <c r="N325">
        <v>3.4685012849782704E-2</v>
      </c>
      <c r="O325" t="s">
        <v>6</v>
      </c>
    </row>
    <row r="326" spans="2:15" x14ac:dyDescent="0.45">
      <c r="B326" t="s">
        <v>68</v>
      </c>
      <c r="C326" t="s">
        <v>11</v>
      </c>
      <c r="D326">
        <v>6.4507343507513318E-2</v>
      </c>
      <c r="E326" t="s">
        <v>6</v>
      </c>
      <c r="G326" t="s">
        <v>69</v>
      </c>
      <c r="H326" t="s">
        <v>11</v>
      </c>
      <c r="I326">
        <v>3.8633772968289674E-2</v>
      </c>
      <c r="J326" t="s">
        <v>6</v>
      </c>
      <c r="L326" t="s">
        <v>70</v>
      </c>
      <c r="M326" t="s">
        <v>11</v>
      </c>
      <c r="N326">
        <v>3.4000893454833411E-2</v>
      </c>
      <c r="O326" t="s">
        <v>6</v>
      </c>
    </row>
    <row r="327" spans="2:15" x14ac:dyDescent="0.45">
      <c r="B327" t="s">
        <v>68</v>
      </c>
      <c r="C327" t="s">
        <v>12</v>
      </c>
      <c r="D327">
        <v>3.5928089179994377E-2</v>
      </c>
      <c r="E327" t="s">
        <v>6</v>
      </c>
      <c r="G327" t="s">
        <v>69</v>
      </c>
      <c r="H327" t="s">
        <v>12</v>
      </c>
      <c r="I327">
        <v>3.963893424033002E-2</v>
      </c>
      <c r="J327" t="s">
        <v>6</v>
      </c>
      <c r="L327" t="s">
        <v>70</v>
      </c>
      <c r="M327" t="s">
        <v>12</v>
      </c>
      <c r="N327">
        <v>3.4225256057909215E-2</v>
      </c>
      <c r="O327" t="s">
        <v>6</v>
      </c>
    </row>
    <row r="328" spans="2:15" x14ac:dyDescent="0.45">
      <c r="B328" t="s">
        <v>68</v>
      </c>
      <c r="C328" t="s">
        <v>13</v>
      </c>
      <c r="D328">
        <v>1.1453349426108568E-3</v>
      </c>
      <c r="E328" t="s">
        <v>6</v>
      </c>
      <c r="G328" t="s">
        <v>69</v>
      </c>
      <c r="H328" t="s">
        <v>13</v>
      </c>
      <c r="I328">
        <v>4.1080067606007117E-2</v>
      </c>
      <c r="J328" t="s">
        <v>6</v>
      </c>
      <c r="L328" t="s">
        <v>70</v>
      </c>
      <c r="M328" t="s">
        <v>13</v>
      </c>
      <c r="N328">
        <v>3.5249105489468038E-2</v>
      </c>
      <c r="O328" t="s">
        <v>6</v>
      </c>
    </row>
    <row r="329" spans="2:15" x14ac:dyDescent="0.45">
      <c r="B329" t="s">
        <v>68</v>
      </c>
      <c r="C329" t="s">
        <v>14</v>
      </c>
      <c r="D329">
        <v>0</v>
      </c>
      <c r="E329" t="s">
        <v>6</v>
      </c>
      <c r="G329" t="s">
        <v>69</v>
      </c>
      <c r="H329" t="s">
        <v>14</v>
      </c>
      <c r="I329">
        <v>9.878657876687541E-2</v>
      </c>
      <c r="J329" t="s">
        <v>6</v>
      </c>
      <c r="L329" t="s">
        <v>70</v>
      </c>
      <c r="M329" t="s">
        <v>14</v>
      </c>
      <c r="N329">
        <v>8.9656311799965638E-2</v>
      </c>
      <c r="O329" t="s">
        <v>6</v>
      </c>
    </row>
    <row r="330" spans="2:15" x14ac:dyDescent="0.45">
      <c r="B330" t="s">
        <v>68</v>
      </c>
      <c r="C330" t="s">
        <v>15</v>
      </c>
      <c r="D330">
        <v>8.4330117160057901E-3</v>
      </c>
      <c r="E330" t="s">
        <v>6</v>
      </c>
      <c r="G330" t="s">
        <v>69</v>
      </c>
      <c r="H330" t="s">
        <v>15</v>
      </c>
      <c r="I330">
        <v>4.6535215234814055E-2</v>
      </c>
      <c r="J330" t="s">
        <v>6</v>
      </c>
      <c r="L330" t="s">
        <v>70</v>
      </c>
      <c r="M330" t="s">
        <v>15</v>
      </c>
      <c r="N330">
        <v>4.3709506018349088E-2</v>
      </c>
      <c r="O330" t="s">
        <v>6</v>
      </c>
    </row>
    <row r="331" spans="2:15" x14ac:dyDescent="0.45">
      <c r="B331" t="s">
        <v>68</v>
      </c>
      <c r="C331" t="s">
        <v>16</v>
      </c>
      <c r="D331">
        <v>7.7246384905232279E-2</v>
      </c>
      <c r="E331" t="s">
        <v>6</v>
      </c>
      <c r="G331" t="s">
        <v>69</v>
      </c>
      <c r="H331" t="s">
        <v>16</v>
      </c>
      <c r="I331">
        <v>3.395773877113422E-2</v>
      </c>
      <c r="J331" t="s">
        <v>6</v>
      </c>
      <c r="L331" t="s">
        <v>70</v>
      </c>
      <c r="M331" t="s">
        <v>16</v>
      </c>
      <c r="N331">
        <v>3.0676099042905827E-2</v>
      </c>
      <c r="O331" t="s">
        <v>6</v>
      </c>
    </row>
    <row r="332" spans="2:15" x14ac:dyDescent="0.45">
      <c r="B332" t="s">
        <v>68</v>
      </c>
      <c r="C332" t="s">
        <v>17</v>
      </c>
      <c r="D332">
        <v>0.11618790446393103</v>
      </c>
      <c r="E332" t="s">
        <v>6</v>
      </c>
      <c r="G332" t="s">
        <v>69</v>
      </c>
      <c r="H332" t="s">
        <v>17</v>
      </c>
      <c r="I332">
        <v>3.9002711728115536E-2</v>
      </c>
      <c r="J332" t="s">
        <v>6</v>
      </c>
      <c r="L332" t="s">
        <v>70</v>
      </c>
      <c r="M332" t="s">
        <v>17</v>
      </c>
      <c r="N332">
        <v>3.0334225269841031E-2</v>
      </c>
      <c r="O332" t="s">
        <v>6</v>
      </c>
    </row>
    <row r="333" spans="2:15" x14ac:dyDescent="0.45">
      <c r="B333" t="s">
        <v>68</v>
      </c>
      <c r="C333" t="s">
        <v>18</v>
      </c>
      <c r="D333">
        <v>7.9752902225673342E-2</v>
      </c>
      <c r="E333" t="s">
        <v>6</v>
      </c>
      <c r="G333" t="s">
        <v>69</v>
      </c>
      <c r="H333" t="s">
        <v>18</v>
      </c>
      <c r="I333">
        <v>4.1082658106953378E-2</v>
      </c>
      <c r="J333" t="s">
        <v>6</v>
      </c>
      <c r="L333" t="s">
        <v>70</v>
      </c>
      <c r="M333" t="s">
        <v>18</v>
      </c>
      <c r="N333">
        <v>3.1735063463882704E-2</v>
      </c>
      <c r="O333" t="s">
        <v>6</v>
      </c>
    </row>
    <row r="334" spans="2:15" x14ac:dyDescent="0.45">
      <c r="B334" t="s">
        <v>68</v>
      </c>
      <c r="C334" t="s">
        <v>19</v>
      </c>
      <c r="D334">
        <v>1.4145360916527261E-2</v>
      </c>
      <c r="E334" t="s">
        <v>6</v>
      </c>
      <c r="G334" t="s">
        <v>69</v>
      </c>
      <c r="H334" t="s">
        <v>19</v>
      </c>
      <c r="I334">
        <v>3.6515599252461443E-2</v>
      </c>
      <c r="J334" t="s">
        <v>6</v>
      </c>
      <c r="L334" t="s">
        <v>70</v>
      </c>
      <c r="M334" t="s">
        <v>19</v>
      </c>
      <c r="N334">
        <v>3.3565840416753118E-2</v>
      </c>
      <c r="O334" t="s">
        <v>6</v>
      </c>
    </row>
    <row r="335" spans="2:15" x14ac:dyDescent="0.45">
      <c r="B335" t="s">
        <v>68</v>
      </c>
      <c r="C335" t="s">
        <v>20</v>
      </c>
      <c r="D335">
        <v>5.4354464636797463E-5</v>
      </c>
      <c r="E335" t="s">
        <v>6</v>
      </c>
      <c r="G335" t="s">
        <v>69</v>
      </c>
      <c r="H335" t="s">
        <v>20</v>
      </c>
      <c r="I335">
        <v>2.5688016745732293E-2</v>
      </c>
      <c r="J335" t="s">
        <v>6</v>
      </c>
      <c r="L335" t="s">
        <v>70</v>
      </c>
      <c r="M335" t="s">
        <v>20</v>
      </c>
      <c r="N335">
        <v>7.0220422909089059E-2</v>
      </c>
      <c r="O335" t="s">
        <v>6</v>
      </c>
    </row>
    <row r="336" spans="2:15" x14ac:dyDescent="0.45">
      <c r="B336" t="s">
        <v>68</v>
      </c>
      <c r="C336" t="s">
        <v>21</v>
      </c>
      <c r="D336">
        <v>1.4971918626013292E-2</v>
      </c>
      <c r="E336" t="s">
        <v>6</v>
      </c>
      <c r="G336" t="s">
        <v>69</v>
      </c>
      <c r="H336" t="s">
        <v>21</v>
      </c>
      <c r="I336">
        <v>1.6123076398931367E-2</v>
      </c>
      <c r="J336" t="s">
        <v>6</v>
      </c>
      <c r="L336" t="s">
        <v>70</v>
      </c>
      <c r="M336" t="s">
        <v>21</v>
      </c>
      <c r="N336">
        <v>3.2612312898659082E-2</v>
      </c>
      <c r="O336" t="s">
        <v>6</v>
      </c>
    </row>
    <row r="337" spans="2:15" x14ac:dyDescent="0.45">
      <c r="B337" t="s">
        <v>68</v>
      </c>
      <c r="C337" t="s">
        <v>22</v>
      </c>
      <c r="D337">
        <v>9.8760867906376157E-2</v>
      </c>
      <c r="E337" t="s">
        <v>6</v>
      </c>
      <c r="G337" t="s">
        <v>69</v>
      </c>
      <c r="H337" t="s">
        <v>22</v>
      </c>
      <c r="I337">
        <v>9.8724953609755483E-3</v>
      </c>
      <c r="J337" t="s">
        <v>6</v>
      </c>
      <c r="L337" t="s">
        <v>70</v>
      </c>
      <c r="M337" t="s">
        <v>22</v>
      </c>
      <c r="N337">
        <v>2.3033378514375789E-2</v>
      </c>
      <c r="O337" t="s">
        <v>6</v>
      </c>
    </row>
    <row r="338" spans="2:15" x14ac:dyDescent="0.45">
      <c r="B338" t="s">
        <v>68</v>
      </c>
      <c r="C338" t="s">
        <v>23</v>
      </c>
      <c r="D338">
        <v>0.14031535858758631</v>
      </c>
      <c r="E338" t="s">
        <v>6</v>
      </c>
      <c r="G338" t="s">
        <v>69</v>
      </c>
      <c r="H338" t="s">
        <v>23</v>
      </c>
      <c r="I338">
        <v>1.3313975167771866E-2</v>
      </c>
      <c r="J338" t="s">
        <v>6</v>
      </c>
      <c r="L338" t="s">
        <v>70</v>
      </c>
      <c r="M338" t="s">
        <v>23</v>
      </c>
      <c r="N338">
        <v>2.3624432232390014E-2</v>
      </c>
      <c r="O338" t="s">
        <v>6</v>
      </c>
    </row>
    <row r="339" spans="2:15" x14ac:dyDescent="0.45">
      <c r="B339" t="s">
        <v>68</v>
      </c>
      <c r="C339" t="s">
        <v>24</v>
      </c>
      <c r="D339">
        <v>0.10364131422625457</v>
      </c>
      <c r="E339" t="s">
        <v>6</v>
      </c>
      <c r="G339" t="s">
        <v>69</v>
      </c>
      <c r="H339" t="s">
        <v>24</v>
      </c>
      <c r="I339">
        <v>8.8725532552685667E-3</v>
      </c>
      <c r="J339" t="s">
        <v>6</v>
      </c>
      <c r="L339" t="s">
        <v>70</v>
      </c>
      <c r="M339" t="s">
        <v>24</v>
      </c>
      <c r="N339">
        <v>2.5280549339233627E-2</v>
      </c>
      <c r="O339" t="s">
        <v>6</v>
      </c>
    </row>
    <row r="340" spans="2:15" x14ac:dyDescent="0.45">
      <c r="B340" t="s">
        <v>68</v>
      </c>
      <c r="C340" t="s">
        <v>25</v>
      </c>
      <c r="D340">
        <v>2.5840343258538255E-2</v>
      </c>
      <c r="E340" t="s">
        <v>6</v>
      </c>
      <c r="G340" t="s">
        <v>69</v>
      </c>
      <c r="H340" t="s">
        <v>25</v>
      </c>
      <c r="I340">
        <v>6.5753033488140291E-3</v>
      </c>
      <c r="J340" t="s">
        <v>6</v>
      </c>
      <c r="L340" t="s">
        <v>70</v>
      </c>
      <c r="M340" t="s">
        <v>25</v>
      </c>
      <c r="N340">
        <v>2.7120036729910479E-2</v>
      </c>
      <c r="O340" t="s">
        <v>6</v>
      </c>
    </row>
    <row r="341" spans="2:15" x14ac:dyDescent="0.45">
      <c r="B341" t="s">
        <v>68</v>
      </c>
      <c r="C341" t="s">
        <v>26</v>
      </c>
      <c r="D341">
        <v>0</v>
      </c>
      <c r="E341" t="s">
        <v>6</v>
      </c>
      <c r="G341" t="s">
        <v>69</v>
      </c>
      <c r="H341" t="s">
        <v>26</v>
      </c>
      <c r="I341">
        <v>0.10626969486293644</v>
      </c>
      <c r="J341" t="s">
        <v>6</v>
      </c>
      <c r="L341" t="s">
        <v>70</v>
      </c>
      <c r="M341" t="s">
        <v>26</v>
      </c>
      <c r="N341">
        <v>8.5982767013031355E-2</v>
      </c>
      <c r="O341" t="s">
        <v>6</v>
      </c>
    </row>
    <row r="342" spans="2:15" x14ac:dyDescent="0.45">
      <c r="B342" t="s">
        <v>68</v>
      </c>
      <c r="C342" t="s">
        <v>27</v>
      </c>
      <c r="D342">
        <v>2.2930953429744598E-3</v>
      </c>
      <c r="E342" t="s">
        <v>6</v>
      </c>
      <c r="G342" t="s">
        <v>69</v>
      </c>
      <c r="H342" t="s">
        <v>27</v>
      </c>
      <c r="I342">
        <v>4.9680088199496153E-2</v>
      </c>
      <c r="J342" t="s">
        <v>6</v>
      </c>
      <c r="L342" t="s">
        <v>70</v>
      </c>
      <c r="M342" t="s">
        <v>27</v>
      </c>
      <c r="N342">
        <v>4.1815288705373231E-2</v>
      </c>
      <c r="O342" t="s">
        <v>6</v>
      </c>
    </row>
    <row r="343" spans="2:15" x14ac:dyDescent="0.45">
      <c r="B343" t="s">
        <v>68</v>
      </c>
      <c r="C343" t="s">
        <v>28</v>
      </c>
      <c r="D343">
        <v>5.0838798940373568E-2</v>
      </c>
      <c r="E343" t="s">
        <v>6</v>
      </c>
      <c r="G343" t="s">
        <v>69</v>
      </c>
      <c r="H343" t="s">
        <v>28</v>
      </c>
      <c r="I343">
        <v>3.1988910860636779E-2</v>
      </c>
      <c r="J343" t="s">
        <v>6</v>
      </c>
      <c r="L343" t="s">
        <v>70</v>
      </c>
      <c r="M343" t="s">
        <v>28</v>
      </c>
      <c r="N343">
        <v>3.2132059168632689E-2</v>
      </c>
      <c r="O343" t="s">
        <v>6</v>
      </c>
    </row>
    <row r="344" spans="2:15" x14ac:dyDescent="0.45">
      <c r="B344" t="s">
        <v>68</v>
      </c>
      <c r="C344" t="s">
        <v>29</v>
      </c>
      <c r="D344">
        <v>8.6909060623276968E-2</v>
      </c>
      <c r="E344" t="s">
        <v>6</v>
      </c>
      <c r="G344" t="s">
        <v>69</v>
      </c>
      <c r="H344" t="s">
        <v>29</v>
      </c>
      <c r="I344">
        <v>3.4127163934991621E-2</v>
      </c>
      <c r="J344" t="s">
        <v>6</v>
      </c>
      <c r="L344" t="s">
        <v>70</v>
      </c>
      <c r="M344" t="s">
        <v>29</v>
      </c>
      <c r="N344">
        <v>3.2027331466419597E-2</v>
      </c>
      <c r="O344" t="s">
        <v>6</v>
      </c>
    </row>
    <row r="345" spans="2:15" x14ac:dyDescent="0.45">
      <c r="B345" t="s">
        <v>68</v>
      </c>
      <c r="C345" t="s">
        <v>30</v>
      </c>
      <c r="D345">
        <v>5.0252546607116769E-2</v>
      </c>
      <c r="E345" t="s">
        <v>6</v>
      </c>
      <c r="G345" t="s">
        <v>69</v>
      </c>
      <c r="H345" t="s">
        <v>30</v>
      </c>
      <c r="I345">
        <v>3.6605864990076134E-2</v>
      </c>
      <c r="J345" t="s">
        <v>6</v>
      </c>
      <c r="L345" t="s">
        <v>70</v>
      </c>
      <c r="M345" t="s">
        <v>30</v>
      </c>
      <c r="N345">
        <v>3.3664890781093228E-2</v>
      </c>
      <c r="O345" t="s">
        <v>6</v>
      </c>
    </row>
    <row r="346" spans="2:15" x14ac:dyDescent="0.45">
      <c r="B346" t="s">
        <v>68</v>
      </c>
      <c r="C346" t="s">
        <v>31</v>
      </c>
      <c r="D346">
        <v>3.2343157721393158E-3</v>
      </c>
      <c r="E346" t="s">
        <v>6</v>
      </c>
      <c r="G346" t="s">
        <v>69</v>
      </c>
      <c r="H346" t="s">
        <v>31</v>
      </c>
      <c r="I346">
        <v>3.7886261670734306E-2</v>
      </c>
      <c r="J346" t="s">
        <v>6</v>
      </c>
      <c r="L346" t="s">
        <v>70</v>
      </c>
      <c r="M346" t="s">
        <v>31</v>
      </c>
      <c r="N346">
        <v>3.4220901148071803E-2</v>
      </c>
      <c r="O346" t="s">
        <v>6</v>
      </c>
    </row>
    <row r="347" spans="2:15" x14ac:dyDescent="0.45">
      <c r="B347" t="s">
        <v>71</v>
      </c>
      <c r="C347" t="s">
        <v>5</v>
      </c>
      <c r="D347">
        <v>0</v>
      </c>
      <c r="E347" t="s">
        <v>6</v>
      </c>
      <c r="G347" t="s">
        <v>72</v>
      </c>
      <c r="H347" t="s">
        <v>5</v>
      </c>
      <c r="I347">
        <v>0.10279624258332443</v>
      </c>
      <c r="J347" t="s">
        <v>6</v>
      </c>
      <c r="L347" t="s">
        <v>73</v>
      </c>
      <c r="M347" t="s">
        <v>5</v>
      </c>
      <c r="N347">
        <v>9.6033851155294891E-2</v>
      </c>
      <c r="O347" t="s">
        <v>6</v>
      </c>
    </row>
    <row r="348" spans="2:15" x14ac:dyDescent="0.45">
      <c r="B348" t="s">
        <v>71</v>
      </c>
      <c r="C348" t="s">
        <v>9</v>
      </c>
      <c r="D348">
        <v>0</v>
      </c>
      <c r="E348" t="s">
        <v>6</v>
      </c>
      <c r="G348" t="s">
        <v>72</v>
      </c>
      <c r="H348" t="s">
        <v>9</v>
      </c>
      <c r="I348">
        <v>5.0006265320771681E-2</v>
      </c>
      <c r="J348" t="s">
        <v>6</v>
      </c>
      <c r="L348" t="s">
        <v>73</v>
      </c>
      <c r="M348" t="s">
        <v>9</v>
      </c>
      <c r="N348">
        <v>4.8548847313165895E-2</v>
      </c>
      <c r="O348" t="s">
        <v>6</v>
      </c>
    </row>
    <row r="349" spans="2:15" x14ac:dyDescent="0.45">
      <c r="B349" t="s">
        <v>71</v>
      </c>
      <c r="C349" t="s">
        <v>10</v>
      </c>
      <c r="D349">
        <v>2.6102635126356726E-2</v>
      </c>
      <c r="E349" t="s">
        <v>6</v>
      </c>
      <c r="G349" t="s">
        <v>72</v>
      </c>
      <c r="H349" t="s">
        <v>10</v>
      </c>
      <c r="I349">
        <v>3.512190087699564E-2</v>
      </c>
      <c r="J349" t="s">
        <v>6</v>
      </c>
      <c r="L349" t="s">
        <v>73</v>
      </c>
      <c r="M349" t="s">
        <v>10</v>
      </c>
      <c r="N349">
        <v>3.5578496899472137E-2</v>
      </c>
      <c r="O349" t="s">
        <v>6</v>
      </c>
    </row>
    <row r="350" spans="2:15" x14ac:dyDescent="0.45">
      <c r="B350" t="s">
        <v>71</v>
      </c>
      <c r="C350" t="s">
        <v>11</v>
      </c>
      <c r="D350">
        <v>6.6644224961160639E-2</v>
      </c>
      <c r="E350" t="s">
        <v>6</v>
      </c>
      <c r="G350" t="s">
        <v>72</v>
      </c>
      <c r="H350" t="s">
        <v>11</v>
      </c>
      <c r="I350">
        <v>3.6318338165069498E-2</v>
      </c>
      <c r="J350" t="s">
        <v>6</v>
      </c>
      <c r="L350" t="s">
        <v>73</v>
      </c>
      <c r="M350" t="s">
        <v>11</v>
      </c>
      <c r="N350">
        <v>3.5758486462282538E-2</v>
      </c>
      <c r="O350" t="s">
        <v>6</v>
      </c>
    </row>
    <row r="351" spans="2:15" x14ac:dyDescent="0.45">
      <c r="B351" t="s">
        <v>71</v>
      </c>
      <c r="C351" t="s">
        <v>12</v>
      </c>
      <c r="D351">
        <v>3.4411556509493284E-2</v>
      </c>
      <c r="E351" t="s">
        <v>6</v>
      </c>
      <c r="G351" t="s">
        <v>72</v>
      </c>
      <c r="H351" t="s">
        <v>12</v>
      </c>
      <c r="I351">
        <v>3.9183137765903764E-2</v>
      </c>
      <c r="J351" t="s">
        <v>6</v>
      </c>
      <c r="L351" t="s">
        <v>73</v>
      </c>
      <c r="M351" t="s">
        <v>12</v>
      </c>
      <c r="N351">
        <v>3.6248528396151447E-2</v>
      </c>
      <c r="O351" t="s">
        <v>6</v>
      </c>
    </row>
    <row r="352" spans="2:15" x14ac:dyDescent="0.45">
      <c r="B352" t="s">
        <v>71</v>
      </c>
      <c r="C352" t="s">
        <v>13</v>
      </c>
      <c r="D352">
        <v>8.0157227143675877E-4</v>
      </c>
      <c r="E352" t="s">
        <v>6</v>
      </c>
      <c r="G352" t="s">
        <v>72</v>
      </c>
      <c r="H352" t="s">
        <v>13</v>
      </c>
      <c r="I352">
        <v>4.1350489448984729E-2</v>
      </c>
      <c r="J352" t="s">
        <v>6</v>
      </c>
      <c r="L352" t="s">
        <v>73</v>
      </c>
      <c r="M352" t="s">
        <v>13</v>
      </c>
      <c r="N352">
        <v>3.6196682594797115E-2</v>
      </c>
      <c r="O352" t="s">
        <v>6</v>
      </c>
    </row>
    <row r="353" spans="2:15" x14ac:dyDescent="0.45">
      <c r="B353" t="s">
        <v>71</v>
      </c>
      <c r="C353" t="s">
        <v>14</v>
      </c>
      <c r="D353">
        <v>0</v>
      </c>
      <c r="E353" t="s">
        <v>6</v>
      </c>
      <c r="G353" t="s">
        <v>72</v>
      </c>
      <c r="H353" t="s">
        <v>14</v>
      </c>
      <c r="I353">
        <v>7.0010984568376525E-2</v>
      </c>
      <c r="J353" t="s">
        <v>6</v>
      </c>
      <c r="L353" t="s">
        <v>73</v>
      </c>
      <c r="M353" t="s">
        <v>14</v>
      </c>
      <c r="N353">
        <v>9.3696780888761655E-2</v>
      </c>
      <c r="O353" t="s">
        <v>6</v>
      </c>
    </row>
    <row r="354" spans="2:15" x14ac:dyDescent="0.45">
      <c r="B354" t="s">
        <v>71</v>
      </c>
      <c r="C354" t="s">
        <v>15</v>
      </c>
      <c r="D354">
        <v>9.1593305366811876E-3</v>
      </c>
      <c r="E354" t="s">
        <v>6</v>
      </c>
      <c r="G354" t="s">
        <v>72</v>
      </c>
      <c r="H354" t="s">
        <v>15</v>
      </c>
      <c r="I354">
        <v>3.2473563781970666E-2</v>
      </c>
      <c r="J354" t="s">
        <v>6</v>
      </c>
      <c r="L354" t="s">
        <v>73</v>
      </c>
      <c r="M354" t="s">
        <v>15</v>
      </c>
      <c r="N354">
        <v>4.6805642075912583E-2</v>
      </c>
      <c r="O354" t="s">
        <v>6</v>
      </c>
    </row>
    <row r="355" spans="2:15" x14ac:dyDescent="0.45">
      <c r="B355" t="s">
        <v>71</v>
      </c>
      <c r="C355" t="s">
        <v>16</v>
      </c>
      <c r="D355">
        <v>7.9535027160383076E-2</v>
      </c>
      <c r="E355" t="s">
        <v>6</v>
      </c>
      <c r="G355" t="s">
        <v>72</v>
      </c>
      <c r="H355" t="s">
        <v>16</v>
      </c>
      <c r="I355">
        <v>2.6848736812658605E-2</v>
      </c>
      <c r="J355" t="s">
        <v>6</v>
      </c>
      <c r="L355" t="s">
        <v>73</v>
      </c>
      <c r="M355" t="s">
        <v>16</v>
      </c>
      <c r="N355">
        <v>3.3956295556326323E-2</v>
      </c>
      <c r="O355" t="s">
        <v>6</v>
      </c>
    </row>
    <row r="356" spans="2:15" x14ac:dyDescent="0.45">
      <c r="B356" t="s">
        <v>71</v>
      </c>
      <c r="C356" t="s">
        <v>17</v>
      </c>
      <c r="D356">
        <v>0.11794488294187856</v>
      </c>
      <c r="E356" t="s">
        <v>6</v>
      </c>
      <c r="G356" t="s">
        <v>72</v>
      </c>
      <c r="H356" t="s">
        <v>17</v>
      </c>
      <c r="I356">
        <v>3.1298266829186322E-2</v>
      </c>
      <c r="J356" t="s">
        <v>6</v>
      </c>
      <c r="L356" t="s">
        <v>73</v>
      </c>
      <c r="M356" t="s">
        <v>17</v>
      </c>
      <c r="N356">
        <v>3.4498054915704283E-2</v>
      </c>
      <c r="O356" t="s">
        <v>6</v>
      </c>
    </row>
    <row r="357" spans="2:15" x14ac:dyDescent="0.45">
      <c r="B357" t="s">
        <v>71</v>
      </c>
      <c r="C357" t="s">
        <v>18</v>
      </c>
      <c r="D357">
        <v>8.0620569069485906E-2</v>
      </c>
      <c r="E357" t="s">
        <v>6</v>
      </c>
      <c r="G357" t="s">
        <v>72</v>
      </c>
      <c r="H357" t="s">
        <v>18</v>
      </c>
      <c r="I357">
        <v>3.4470725076965636E-2</v>
      </c>
      <c r="J357" t="s">
        <v>6</v>
      </c>
      <c r="L357" t="s">
        <v>73</v>
      </c>
      <c r="M357" t="s">
        <v>18</v>
      </c>
      <c r="N357">
        <v>3.5645802862604804E-2</v>
      </c>
      <c r="O357" t="s">
        <v>6</v>
      </c>
    </row>
    <row r="358" spans="2:15" x14ac:dyDescent="0.45">
      <c r="B358" t="s">
        <v>71</v>
      </c>
      <c r="C358" t="s">
        <v>19</v>
      </c>
      <c r="D358">
        <v>1.3424177904985219E-2</v>
      </c>
      <c r="E358" t="s">
        <v>6</v>
      </c>
      <c r="G358" t="s">
        <v>72</v>
      </c>
      <c r="H358" t="s">
        <v>19</v>
      </c>
      <c r="I358">
        <v>3.1936493988078823E-2</v>
      </c>
      <c r="J358" t="s">
        <v>6</v>
      </c>
      <c r="L358" t="s">
        <v>73</v>
      </c>
      <c r="M358" t="s">
        <v>19</v>
      </c>
      <c r="N358">
        <v>3.6199647486125246E-2</v>
      </c>
      <c r="O358" t="s">
        <v>6</v>
      </c>
    </row>
    <row r="359" spans="2:15" x14ac:dyDescent="0.45">
      <c r="B359" t="s">
        <v>71</v>
      </c>
      <c r="C359" t="s">
        <v>20</v>
      </c>
      <c r="D359">
        <v>2.3002725035880693E-5</v>
      </c>
      <c r="E359" t="s">
        <v>6</v>
      </c>
      <c r="G359" t="s">
        <v>72</v>
      </c>
      <c r="H359" t="s">
        <v>20</v>
      </c>
      <c r="I359">
        <v>6.8351757195606738E-2</v>
      </c>
      <c r="J359" t="s">
        <v>6</v>
      </c>
      <c r="L359" t="s">
        <v>73</v>
      </c>
      <c r="M359" t="s">
        <v>20</v>
      </c>
      <c r="N359">
        <v>6.6523025115805143E-2</v>
      </c>
      <c r="O359" t="s">
        <v>6</v>
      </c>
    </row>
    <row r="360" spans="2:15" x14ac:dyDescent="0.45">
      <c r="B360" t="s">
        <v>71</v>
      </c>
      <c r="C360" t="s">
        <v>21</v>
      </c>
      <c r="D360">
        <v>1.6597138442170423E-2</v>
      </c>
      <c r="E360" t="s">
        <v>6</v>
      </c>
      <c r="G360" t="s">
        <v>72</v>
      </c>
      <c r="H360" t="s">
        <v>21</v>
      </c>
      <c r="I360">
        <v>2.8634766303266689E-2</v>
      </c>
      <c r="J360" t="s">
        <v>6</v>
      </c>
      <c r="L360" t="s">
        <v>73</v>
      </c>
      <c r="M360" t="s">
        <v>21</v>
      </c>
      <c r="N360">
        <v>3.1941458722573597E-2</v>
      </c>
      <c r="O360" t="s">
        <v>6</v>
      </c>
    </row>
    <row r="361" spans="2:15" x14ac:dyDescent="0.45">
      <c r="B361" t="s">
        <v>71</v>
      </c>
      <c r="C361" t="s">
        <v>22</v>
      </c>
      <c r="D361">
        <v>9.9412252010889046E-2</v>
      </c>
      <c r="E361" t="s">
        <v>6</v>
      </c>
      <c r="G361" t="s">
        <v>72</v>
      </c>
      <c r="H361" t="s">
        <v>22</v>
      </c>
      <c r="I361">
        <v>2.3015124790436031E-2</v>
      </c>
      <c r="J361" t="s">
        <v>6</v>
      </c>
      <c r="L361" t="s">
        <v>73</v>
      </c>
      <c r="M361" t="s">
        <v>22</v>
      </c>
      <c r="N361">
        <v>2.2517773863905341E-2</v>
      </c>
      <c r="O361" t="s">
        <v>6</v>
      </c>
    </row>
    <row r="362" spans="2:15" x14ac:dyDescent="0.45">
      <c r="B362" t="s">
        <v>71</v>
      </c>
      <c r="C362" t="s">
        <v>23</v>
      </c>
      <c r="D362">
        <v>0.1412679010082957</v>
      </c>
      <c r="E362" t="s">
        <v>6</v>
      </c>
      <c r="G362" t="s">
        <v>72</v>
      </c>
      <c r="H362" t="s">
        <v>23</v>
      </c>
      <c r="I362">
        <v>2.6054300111464826E-2</v>
      </c>
      <c r="J362" t="s">
        <v>6</v>
      </c>
      <c r="L362" t="s">
        <v>73</v>
      </c>
      <c r="M362" t="s">
        <v>23</v>
      </c>
      <c r="N362">
        <v>2.3049226037317107E-2</v>
      </c>
      <c r="O362" t="s">
        <v>6</v>
      </c>
    </row>
    <row r="363" spans="2:15" x14ac:dyDescent="0.45">
      <c r="B363" t="s">
        <v>71</v>
      </c>
      <c r="C363" t="s">
        <v>24</v>
      </c>
      <c r="D363">
        <v>0.10229252989857217</v>
      </c>
      <c r="E363" t="s">
        <v>6</v>
      </c>
      <c r="G363" t="s">
        <v>72</v>
      </c>
      <c r="H363" t="s">
        <v>24</v>
      </c>
      <c r="I363">
        <v>2.9009518446226703E-2</v>
      </c>
      <c r="J363" t="s">
        <v>6</v>
      </c>
      <c r="L363" t="s">
        <v>73</v>
      </c>
      <c r="M363" t="s">
        <v>24</v>
      </c>
      <c r="N363">
        <v>2.5562100035377011E-2</v>
      </c>
      <c r="O363" t="s">
        <v>6</v>
      </c>
    </row>
    <row r="364" spans="2:15" x14ac:dyDescent="0.45">
      <c r="B364" t="s">
        <v>71</v>
      </c>
      <c r="C364" t="s">
        <v>25</v>
      </c>
      <c r="D364">
        <v>2.428058271532374E-2</v>
      </c>
      <c r="E364" t="s">
        <v>6</v>
      </c>
      <c r="G364" t="s">
        <v>72</v>
      </c>
      <c r="H364" t="s">
        <v>25</v>
      </c>
      <c r="I364">
        <v>2.820797071044542E-2</v>
      </c>
      <c r="J364" t="s">
        <v>6</v>
      </c>
      <c r="L364" t="s">
        <v>73</v>
      </c>
      <c r="M364" t="s">
        <v>25</v>
      </c>
      <c r="N364">
        <v>2.6509124347317774E-2</v>
      </c>
      <c r="O364" t="s">
        <v>6</v>
      </c>
    </row>
    <row r="365" spans="2:15" x14ac:dyDescent="0.45">
      <c r="B365" t="s">
        <v>71</v>
      </c>
      <c r="C365" t="s">
        <v>26</v>
      </c>
      <c r="D365">
        <v>0</v>
      </c>
      <c r="E365" t="s">
        <v>6</v>
      </c>
      <c r="G365" t="s">
        <v>72</v>
      </c>
      <c r="H365" t="s">
        <v>26</v>
      </c>
      <c r="I365">
        <v>8.9054568695315639E-2</v>
      </c>
      <c r="J365" t="s">
        <v>6</v>
      </c>
      <c r="L365" t="s">
        <v>73</v>
      </c>
      <c r="M365" t="s">
        <v>26</v>
      </c>
      <c r="N365">
        <v>7.8241699976395337E-2</v>
      </c>
      <c r="O365" t="s">
        <v>6</v>
      </c>
    </row>
    <row r="366" spans="2:15" x14ac:dyDescent="0.45">
      <c r="B366" t="s">
        <v>71</v>
      </c>
      <c r="C366" t="s">
        <v>27</v>
      </c>
      <c r="D366">
        <v>2.5303355094457099E-3</v>
      </c>
      <c r="E366" t="s">
        <v>6</v>
      </c>
      <c r="G366" t="s">
        <v>72</v>
      </c>
      <c r="H366" t="s">
        <v>27</v>
      </c>
      <c r="I366">
        <v>4.2502870052910535E-2</v>
      </c>
      <c r="J366" t="s">
        <v>6</v>
      </c>
      <c r="L366" t="s">
        <v>73</v>
      </c>
      <c r="M366" t="s">
        <v>27</v>
      </c>
      <c r="N366">
        <v>3.8655426216920891E-2</v>
      </c>
      <c r="O366" t="s">
        <v>6</v>
      </c>
    </row>
    <row r="367" spans="2:15" x14ac:dyDescent="0.45">
      <c r="B367" t="s">
        <v>71</v>
      </c>
      <c r="C367" t="s">
        <v>28</v>
      </c>
      <c r="D367">
        <v>4.942750717265252E-2</v>
      </c>
      <c r="E367" t="s">
        <v>6</v>
      </c>
      <c r="G367" t="s">
        <v>72</v>
      </c>
      <c r="H367" t="s">
        <v>28</v>
      </c>
      <c r="I367">
        <v>3.023912764756707E-2</v>
      </c>
      <c r="J367" t="s">
        <v>6</v>
      </c>
      <c r="L367" t="s">
        <v>73</v>
      </c>
      <c r="M367" t="s">
        <v>28</v>
      </c>
      <c r="N367">
        <v>2.9067365717849278E-2</v>
      </c>
      <c r="O367" t="s">
        <v>6</v>
      </c>
    </row>
    <row r="368" spans="2:15" x14ac:dyDescent="0.45">
      <c r="B368" t="s">
        <v>71</v>
      </c>
      <c r="C368" t="s">
        <v>29</v>
      </c>
      <c r="D368">
        <v>8.417419934459501E-2</v>
      </c>
      <c r="E368" t="s">
        <v>6</v>
      </c>
      <c r="G368" t="s">
        <v>72</v>
      </c>
      <c r="H368" t="s">
        <v>29</v>
      </c>
      <c r="I368">
        <v>3.3481084048973341E-2</v>
      </c>
      <c r="J368" t="s">
        <v>6</v>
      </c>
      <c r="L368" t="s">
        <v>73</v>
      </c>
      <c r="M368" t="s">
        <v>29</v>
      </c>
      <c r="N368">
        <v>2.8985560175908875E-2</v>
      </c>
      <c r="O368" t="s">
        <v>6</v>
      </c>
    </row>
    <row r="369" spans="2:15" x14ac:dyDescent="0.45">
      <c r="B369" t="s">
        <v>71</v>
      </c>
      <c r="C369" t="s">
        <v>30</v>
      </c>
      <c r="D369">
        <v>4.8502387722525499E-2</v>
      </c>
      <c r="E369" t="s">
        <v>6</v>
      </c>
      <c r="G369" t="s">
        <v>72</v>
      </c>
      <c r="H369" t="s">
        <v>30</v>
      </c>
      <c r="I369">
        <v>3.4789796566965028E-2</v>
      </c>
      <c r="J369" t="s">
        <v>6</v>
      </c>
      <c r="L369" t="s">
        <v>73</v>
      </c>
      <c r="M369" t="s">
        <v>30</v>
      </c>
      <c r="N369">
        <v>2.9691347893517149E-2</v>
      </c>
      <c r="O369" t="s">
        <v>6</v>
      </c>
    </row>
    <row r="370" spans="2:15" x14ac:dyDescent="0.45">
      <c r="B370" t="s">
        <v>71</v>
      </c>
      <c r="C370" t="s">
        <v>31</v>
      </c>
      <c r="D370">
        <v>2.8481869686353472E-3</v>
      </c>
      <c r="E370" t="s">
        <v>6</v>
      </c>
      <c r="G370" t="s">
        <v>72</v>
      </c>
      <c r="H370" t="s">
        <v>31</v>
      </c>
      <c r="I370">
        <v>3.484397021253783E-2</v>
      </c>
      <c r="J370" t="s">
        <v>6</v>
      </c>
      <c r="L370" t="s">
        <v>73</v>
      </c>
      <c r="M370" t="s">
        <v>31</v>
      </c>
      <c r="N370">
        <v>3.0088775290516838E-2</v>
      </c>
      <c r="O370" t="s">
        <v>6</v>
      </c>
    </row>
    <row r="371" spans="2:15" x14ac:dyDescent="0.45">
      <c r="B371" t="s">
        <v>74</v>
      </c>
      <c r="C371" t="s">
        <v>5</v>
      </c>
      <c r="D371">
        <v>0</v>
      </c>
      <c r="E371" t="s">
        <v>6</v>
      </c>
      <c r="G371" t="s">
        <v>75</v>
      </c>
      <c r="H371" t="s">
        <v>5</v>
      </c>
      <c r="I371">
        <v>9.5684032216089565E-2</v>
      </c>
      <c r="J371" t="s">
        <v>6</v>
      </c>
      <c r="L371" t="s">
        <v>76</v>
      </c>
      <c r="M371" t="s">
        <v>5</v>
      </c>
      <c r="N371">
        <v>9.6652647786446375E-2</v>
      </c>
      <c r="O371" t="s">
        <v>6</v>
      </c>
    </row>
    <row r="372" spans="2:15" x14ac:dyDescent="0.45">
      <c r="B372" t="s">
        <v>74</v>
      </c>
      <c r="C372" t="s">
        <v>9</v>
      </c>
      <c r="D372">
        <v>4.9264904054549247E-7</v>
      </c>
      <c r="E372" t="s">
        <v>6</v>
      </c>
      <c r="G372" t="s">
        <v>75</v>
      </c>
      <c r="H372" t="s">
        <v>9</v>
      </c>
      <c r="I372">
        <v>4.7181931479240047E-2</v>
      </c>
      <c r="J372" t="s">
        <v>6</v>
      </c>
      <c r="L372" t="s">
        <v>76</v>
      </c>
      <c r="M372" t="s">
        <v>9</v>
      </c>
      <c r="N372">
        <v>4.8753699935191894E-2</v>
      </c>
      <c r="O372" t="s">
        <v>6</v>
      </c>
    </row>
    <row r="373" spans="2:15" x14ac:dyDescent="0.45">
      <c r="B373" t="s">
        <v>74</v>
      </c>
      <c r="C373" t="s">
        <v>10</v>
      </c>
      <c r="D373">
        <v>3.0711237307841883E-2</v>
      </c>
      <c r="E373" t="s">
        <v>6</v>
      </c>
      <c r="G373" t="s">
        <v>75</v>
      </c>
      <c r="H373" t="s">
        <v>10</v>
      </c>
      <c r="I373">
        <v>3.2224812122555867E-2</v>
      </c>
      <c r="J373" t="s">
        <v>6</v>
      </c>
      <c r="L373" t="s">
        <v>76</v>
      </c>
      <c r="M373" t="s">
        <v>10</v>
      </c>
      <c r="N373">
        <v>3.51692363676087E-2</v>
      </c>
      <c r="O373" t="s">
        <v>6</v>
      </c>
    </row>
    <row r="374" spans="2:15" x14ac:dyDescent="0.45">
      <c r="B374" t="s">
        <v>74</v>
      </c>
      <c r="C374" t="s">
        <v>11</v>
      </c>
      <c r="D374">
        <v>7.3285762600717438E-2</v>
      </c>
      <c r="E374" t="s">
        <v>6</v>
      </c>
      <c r="G374" t="s">
        <v>75</v>
      </c>
      <c r="H374" t="s">
        <v>11</v>
      </c>
      <c r="I374">
        <v>3.4723378684215954E-2</v>
      </c>
      <c r="J374" t="s">
        <v>6</v>
      </c>
      <c r="L374" t="s">
        <v>76</v>
      </c>
      <c r="M374" t="s">
        <v>11</v>
      </c>
      <c r="N374">
        <v>3.5293227074415304E-2</v>
      </c>
      <c r="O374" t="s">
        <v>6</v>
      </c>
    </row>
    <row r="375" spans="2:15" x14ac:dyDescent="0.45">
      <c r="B375" t="s">
        <v>74</v>
      </c>
      <c r="C375" t="s">
        <v>12</v>
      </c>
      <c r="D375">
        <v>3.9853492227947394E-2</v>
      </c>
      <c r="E375" t="s">
        <v>6</v>
      </c>
      <c r="G375" t="s">
        <v>75</v>
      </c>
      <c r="H375" t="s">
        <v>12</v>
      </c>
      <c r="I375">
        <v>3.9655705113180555E-2</v>
      </c>
      <c r="J375" t="s">
        <v>6</v>
      </c>
      <c r="L375" t="s">
        <v>76</v>
      </c>
      <c r="M375" t="s">
        <v>12</v>
      </c>
      <c r="N375">
        <v>3.6059946034032869E-2</v>
      </c>
      <c r="O375" t="s">
        <v>6</v>
      </c>
    </row>
    <row r="376" spans="2:15" x14ac:dyDescent="0.45">
      <c r="B376" t="s">
        <v>74</v>
      </c>
      <c r="C376" t="s">
        <v>13</v>
      </c>
      <c r="D376">
        <v>1.2687957844523801E-3</v>
      </c>
      <c r="E376" t="s">
        <v>6</v>
      </c>
      <c r="G376" t="s">
        <v>75</v>
      </c>
      <c r="H376" t="s">
        <v>13</v>
      </c>
      <c r="I376">
        <v>3.9613056148778178E-2</v>
      </c>
      <c r="J376" t="s">
        <v>6</v>
      </c>
      <c r="L376" t="s">
        <v>76</v>
      </c>
      <c r="M376" t="s">
        <v>13</v>
      </c>
      <c r="N376">
        <v>3.6864430649021999E-2</v>
      </c>
      <c r="O376" t="s">
        <v>6</v>
      </c>
    </row>
    <row r="377" spans="2:15" x14ac:dyDescent="0.45">
      <c r="B377" t="s">
        <v>74</v>
      </c>
      <c r="C377" t="s">
        <v>14</v>
      </c>
      <c r="D377">
        <v>0</v>
      </c>
      <c r="E377" t="s">
        <v>6</v>
      </c>
      <c r="G377" t="s">
        <v>75</v>
      </c>
      <c r="H377" t="s">
        <v>14</v>
      </c>
      <c r="I377">
        <v>8.4968342159776195E-2</v>
      </c>
      <c r="J377" t="s">
        <v>6</v>
      </c>
      <c r="L377" t="s">
        <v>76</v>
      </c>
      <c r="M377" t="s">
        <v>14</v>
      </c>
      <c r="N377">
        <v>9.2469504749177561E-2</v>
      </c>
      <c r="O377" t="s">
        <v>6</v>
      </c>
    </row>
    <row r="378" spans="2:15" x14ac:dyDescent="0.45">
      <c r="B378" t="s">
        <v>74</v>
      </c>
      <c r="C378" t="s">
        <v>15</v>
      </c>
      <c r="D378">
        <v>8.6158075536120361E-3</v>
      </c>
      <c r="E378" t="s">
        <v>6</v>
      </c>
      <c r="G378" t="s">
        <v>75</v>
      </c>
      <c r="H378" t="s">
        <v>15</v>
      </c>
      <c r="I378">
        <v>3.9606413085391486E-2</v>
      </c>
      <c r="J378" t="s">
        <v>6</v>
      </c>
      <c r="L378" t="s">
        <v>76</v>
      </c>
      <c r="M378" t="s">
        <v>15</v>
      </c>
      <c r="N378">
        <v>4.6585771337976409E-2</v>
      </c>
      <c r="O378" t="s">
        <v>6</v>
      </c>
    </row>
    <row r="379" spans="2:15" x14ac:dyDescent="0.45">
      <c r="B379" t="s">
        <v>74</v>
      </c>
      <c r="C379" t="s">
        <v>16</v>
      </c>
      <c r="D379">
        <v>7.7026191387684739E-2</v>
      </c>
      <c r="E379" t="s">
        <v>6</v>
      </c>
      <c r="G379" t="s">
        <v>75</v>
      </c>
      <c r="H379" t="s">
        <v>16</v>
      </c>
      <c r="I379">
        <v>3.3311863785261353E-2</v>
      </c>
      <c r="J379" t="s">
        <v>6</v>
      </c>
      <c r="L379" t="s">
        <v>76</v>
      </c>
      <c r="M379" t="s">
        <v>16</v>
      </c>
      <c r="N379">
        <v>3.4675285348964781E-2</v>
      </c>
      <c r="O379" t="s">
        <v>6</v>
      </c>
    </row>
    <row r="380" spans="2:15" x14ac:dyDescent="0.45">
      <c r="B380" t="s">
        <v>74</v>
      </c>
      <c r="C380" t="s">
        <v>17</v>
      </c>
      <c r="D380">
        <v>0.11101103780553163</v>
      </c>
      <c r="E380" t="s">
        <v>6</v>
      </c>
      <c r="G380" t="s">
        <v>75</v>
      </c>
      <c r="H380" t="s">
        <v>17</v>
      </c>
      <c r="I380">
        <v>4.3838984743502417E-2</v>
      </c>
      <c r="J380" t="s">
        <v>6</v>
      </c>
      <c r="L380" t="s">
        <v>76</v>
      </c>
      <c r="M380" t="s">
        <v>17</v>
      </c>
      <c r="N380">
        <v>3.4891070145537467E-2</v>
      </c>
      <c r="O380" t="s">
        <v>6</v>
      </c>
    </row>
    <row r="381" spans="2:15" x14ac:dyDescent="0.45">
      <c r="B381" t="s">
        <v>74</v>
      </c>
      <c r="C381" t="s">
        <v>18</v>
      </c>
      <c r="D381">
        <v>7.3346531647918503E-2</v>
      </c>
      <c r="E381" t="s">
        <v>6</v>
      </c>
      <c r="G381" t="s">
        <v>75</v>
      </c>
      <c r="H381" t="s">
        <v>18</v>
      </c>
      <c r="I381">
        <v>4.9069280953983795E-2</v>
      </c>
      <c r="J381" t="s">
        <v>6</v>
      </c>
      <c r="L381" t="s">
        <v>76</v>
      </c>
      <c r="M381" t="s">
        <v>18</v>
      </c>
      <c r="N381">
        <v>3.5776091347164744E-2</v>
      </c>
      <c r="O381" t="s">
        <v>6</v>
      </c>
    </row>
    <row r="382" spans="2:15" x14ac:dyDescent="0.45">
      <c r="B382" t="s">
        <v>74</v>
      </c>
      <c r="C382" t="s">
        <v>19</v>
      </c>
      <c r="D382">
        <v>1.2118846965041912E-2</v>
      </c>
      <c r="E382" t="s">
        <v>6</v>
      </c>
      <c r="G382" t="s">
        <v>75</v>
      </c>
      <c r="H382" t="s">
        <v>19</v>
      </c>
      <c r="I382">
        <v>4.3168994223967506E-2</v>
      </c>
      <c r="J382" t="s">
        <v>6</v>
      </c>
      <c r="L382" t="s">
        <v>76</v>
      </c>
      <c r="M382" t="s">
        <v>19</v>
      </c>
      <c r="N382">
        <v>3.578207865271614E-2</v>
      </c>
      <c r="O382" t="s">
        <v>6</v>
      </c>
    </row>
    <row r="383" spans="2:15" x14ac:dyDescent="0.45">
      <c r="B383" t="s">
        <v>74</v>
      </c>
      <c r="C383" t="s">
        <v>20</v>
      </c>
      <c r="D383">
        <v>6.0638347365327016E-6</v>
      </c>
      <c r="E383" t="s">
        <v>6</v>
      </c>
      <c r="G383" t="s">
        <v>75</v>
      </c>
      <c r="H383" t="s">
        <v>20</v>
      </c>
      <c r="I383">
        <v>5.3862127363824501E-2</v>
      </c>
      <c r="J383" t="s">
        <v>6</v>
      </c>
      <c r="L383" t="s">
        <v>76</v>
      </c>
      <c r="M383" t="s">
        <v>20</v>
      </c>
      <c r="N383">
        <v>6.6904924646110475E-2</v>
      </c>
      <c r="O383" t="s">
        <v>6</v>
      </c>
    </row>
    <row r="384" spans="2:15" x14ac:dyDescent="0.45">
      <c r="B384" t="s">
        <v>74</v>
      </c>
      <c r="C384" t="s">
        <v>21</v>
      </c>
      <c r="D384">
        <v>1.5599832086259815E-2</v>
      </c>
      <c r="E384" t="s">
        <v>6</v>
      </c>
      <c r="G384" t="s">
        <v>75</v>
      </c>
      <c r="H384" t="s">
        <v>21</v>
      </c>
      <c r="I384">
        <v>1.8015171430545773E-2</v>
      </c>
      <c r="J384" t="s">
        <v>6</v>
      </c>
      <c r="L384" t="s">
        <v>76</v>
      </c>
      <c r="M384" t="s">
        <v>21</v>
      </c>
      <c r="N384">
        <v>3.0541756188935884E-2</v>
      </c>
      <c r="O384" t="s">
        <v>6</v>
      </c>
    </row>
    <row r="385" spans="2:15" x14ac:dyDescent="0.45">
      <c r="B385" t="s">
        <v>74</v>
      </c>
      <c r="C385" t="s">
        <v>22</v>
      </c>
      <c r="D385">
        <v>9.8200078652930956E-2</v>
      </c>
      <c r="E385" t="s">
        <v>6</v>
      </c>
      <c r="G385" t="s">
        <v>75</v>
      </c>
      <c r="H385" t="s">
        <v>22</v>
      </c>
      <c r="I385">
        <v>1.7035898958830765E-2</v>
      </c>
      <c r="J385" t="s">
        <v>6</v>
      </c>
      <c r="L385" t="s">
        <v>76</v>
      </c>
      <c r="M385" t="s">
        <v>22</v>
      </c>
      <c r="N385">
        <v>1.9801549101638671E-2</v>
      </c>
      <c r="O385" t="s">
        <v>6</v>
      </c>
    </row>
    <row r="386" spans="2:15" x14ac:dyDescent="0.45">
      <c r="B386" t="s">
        <v>74</v>
      </c>
      <c r="C386" t="s">
        <v>23</v>
      </c>
      <c r="D386">
        <v>0.13925024203576555</v>
      </c>
      <c r="E386" t="s">
        <v>6</v>
      </c>
      <c r="G386" t="s">
        <v>75</v>
      </c>
      <c r="H386" t="s">
        <v>23</v>
      </c>
      <c r="I386">
        <v>2.4503309276572079E-2</v>
      </c>
      <c r="J386" t="s">
        <v>6</v>
      </c>
      <c r="L386" t="s">
        <v>76</v>
      </c>
      <c r="M386" t="s">
        <v>23</v>
      </c>
      <c r="N386">
        <v>1.9916426521736676E-2</v>
      </c>
      <c r="O386" t="s">
        <v>6</v>
      </c>
    </row>
    <row r="387" spans="2:15" x14ac:dyDescent="0.45">
      <c r="B387" t="s">
        <v>74</v>
      </c>
      <c r="C387" t="s">
        <v>24</v>
      </c>
      <c r="D387">
        <v>0.1013824259165856</v>
      </c>
      <c r="E387" t="s">
        <v>6</v>
      </c>
      <c r="G387" t="s">
        <v>75</v>
      </c>
      <c r="H387" t="s">
        <v>24</v>
      </c>
      <c r="I387">
        <v>3.1041392253025036E-2</v>
      </c>
      <c r="J387" t="s">
        <v>6</v>
      </c>
      <c r="L387" t="s">
        <v>76</v>
      </c>
      <c r="M387" t="s">
        <v>24</v>
      </c>
      <c r="N387">
        <v>2.2538592890386351E-2</v>
      </c>
      <c r="O387" t="s">
        <v>6</v>
      </c>
    </row>
    <row r="388" spans="2:15" x14ac:dyDescent="0.45">
      <c r="B388" t="s">
        <v>74</v>
      </c>
      <c r="C388" t="s">
        <v>25</v>
      </c>
      <c r="D388">
        <v>2.3622301860283818E-2</v>
      </c>
      <c r="E388" t="s">
        <v>6</v>
      </c>
      <c r="G388" t="s">
        <v>75</v>
      </c>
      <c r="H388" t="s">
        <v>25</v>
      </c>
      <c r="I388">
        <v>2.9983979326053123E-2</v>
      </c>
      <c r="J388" t="s">
        <v>6</v>
      </c>
      <c r="L388" t="s">
        <v>76</v>
      </c>
      <c r="M388" t="s">
        <v>25</v>
      </c>
      <c r="N388">
        <v>2.5605250426328205E-2</v>
      </c>
      <c r="O388" t="s">
        <v>6</v>
      </c>
    </row>
    <row r="389" spans="2:15" x14ac:dyDescent="0.45">
      <c r="B389" t="s">
        <v>74</v>
      </c>
      <c r="C389" t="s">
        <v>26</v>
      </c>
      <c r="D389">
        <v>0</v>
      </c>
      <c r="E389" t="s">
        <v>6</v>
      </c>
      <c r="G389" t="s">
        <v>75</v>
      </c>
      <c r="H389" t="s">
        <v>26</v>
      </c>
      <c r="I389">
        <v>7.8752138491315835E-2</v>
      </c>
      <c r="J389" t="s">
        <v>6</v>
      </c>
      <c r="L389" t="s">
        <v>76</v>
      </c>
      <c r="M389" t="s">
        <v>26</v>
      </c>
      <c r="N389">
        <v>8.1967038168739542E-2</v>
      </c>
      <c r="O389" t="s">
        <v>6</v>
      </c>
    </row>
    <row r="390" spans="2:15" x14ac:dyDescent="0.45">
      <c r="B390" t="s">
        <v>74</v>
      </c>
      <c r="C390" t="s">
        <v>27</v>
      </c>
      <c r="D390">
        <v>2.2431422381710749E-3</v>
      </c>
      <c r="E390" t="s">
        <v>6</v>
      </c>
      <c r="G390" t="s">
        <v>75</v>
      </c>
      <c r="H390" t="s">
        <v>27</v>
      </c>
      <c r="I390">
        <v>3.7835202950589036E-2</v>
      </c>
      <c r="J390" t="s">
        <v>6</v>
      </c>
      <c r="L390" t="s">
        <v>76</v>
      </c>
      <c r="M390" t="s">
        <v>27</v>
      </c>
      <c r="N390">
        <v>4.1446796796320615E-2</v>
      </c>
      <c r="O390" t="s">
        <v>6</v>
      </c>
    </row>
    <row r="391" spans="2:15" x14ac:dyDescent="0.45">
      <c r="B391" t="s">
        <v>74</v>
      </c>
      <c r="C391" t="s">
        <v>28</v>
      </c>
      <c r="D391">
        <v>4.9729250434141413E-2</v>
      </c>
      <c r="E391" t="s">
        <v>6</v>
      </c>
      <c r="G391" t="s">
        <v>75</v>
      </c>
      <c r="H391" t="s">
        <v>28</v>
      </c>
      <c r="I391">
        <v>2.6061195588139501E-2</v>
      </c>
      <c r="J391" t="s">
        <v>6</v>
      </c>
      <c r="L391" t="s">
        <v>76</v>
      </c>
      <c r="M391" t="s">
        <v>28</v>
      </c>
      <c r="N391">
        <v>3.0928835930958066E-2</v>
      </c>
      <c r="O391" t="s">
        <v>6</v>
      </c>
    </row>
    <row r="392" spans="2:15" x14ac:dyDescent="0.45">
      <c r="B392" t="s">
        <v>74</v>
      </c>
      <c r="C392" t="s">
        <v>29</v>
      </c>
      <c r="D392">
        <v>8.8015203351865051E-2</v>
      </c>
      <c r="E392" t="s">
        <v>6</v>
      </c>
      <c r="G392" t="s">
        <v>75</v>
      </c>
      <c r="H392" t="s">
        <v>29</v>
      </c>
      <c r="I392">
        <v>3.1019078951372046E-2</v>
      </c>
      <c r="J392" t="s">
        <v>6</v>
      </c>
      <c r="L392" t="s">
        <v>76</v>
      </c>
      <c r="M392" t="s">
        <v>29</v>
      </c>
      <c r="N392">
        <v>3.0159028114142304E-2</v>
      </c>
      <c r="O392" t="s">
        <v>6</v>
      </c>
    </row>
    <row r="393" spans="2:15" x14ac:dyDescent="0.45">
      <c r="B393" t="s">
        <v>74</v>
      </c>
      <c r="C393" t="s">
        <v>30</v>
      </c>
      <c r="D393">
        <v>5.1655714724120061E-2</v>
      </c>
      <c r="E393" t="s">
        <v>6</v>
      </c>
      <c r="G393" t="s">
        <v>75</v>
      </c>
      <c r="H393" t="s">
        <v>30</v>
      </c>
      <c r="I393">
        <v>3.4772822552752977E-2</v>
      </c>
      <c r="J393" t="s">
        <v>6</v>
      </c>
      <c r="L393" t="s">
        <v>76</v>
      </c>
      <c r="M393" t="s">
        <v>30</v>
      </c>
      <c r="N393">
        <v>3.0679930758314794E-2</v>
      </c>
      <c r="O393" t="s">
        <v>6</v>
      </c>
    </row>
    <row r="394" spans="2:15" x14ac:dyDescent="0.45">
      <c r="B394" t="s">
        <v>74</v>
      </c>
      <c r="C394" t="s">
        <v>31</v>
      </c>
      <c r="D394">
        <v>3.0575489353509271E-3</v>
      </c>
      <c r="E394" t="s">
        <v>6</v>
      </c>
      <c r="G394" t="s">
        <v>75</v>
      </c>
      <c r="H394" t="s">
        <v>31</v>
      </c>
      <c r="I394">
        <v>3.4070888141035392E-2</v>
      </c>
      <c r="J394" t="s">
        <v>6</v>
      </c>
      <c r="L394" t="s">
        <v>76</v>
      </c>
      <c r="M394" t="s">
        <v>31</v>
      </c>
      <c r="N394">
        <v>3.0536881028130219E-2</v>
      </c>
      <c r="O394" t="s">
        <v>6</v>
      </c>
    </row>
    <row r="395" spans="2:15" x14ac:dyDescent="0.45">
      <c r="B395" t="s">
        <v>77</v>
      </c>
      <c r="C395" t="s">
        <v>5</v>
      </c>
      <c r="D395">
        <v>0</v>
      </c>
      <c r="E395" t="s">
        <v>6</v>
      </c>
      <c r="G395" t="s">
        <v>78</v>
      </c>
      <c r="H395" t="s">
        <v>5</v>
      </c>
      <c r="I395">
        <v>9.4239418760924218E-2</v>
      </c>
      <c r="J395" t="s">
        <v>6</v>
      </c>
      <c r="L395" t="s">
        <v>79</v>
      </c>
      <c r="M395" t="s">
        <v>5</v>
      </c>
      <c r="N395">
        <v>9.5772753500964689E-2</v>
      </c>
      <c r="O395" t="s">
        <v>6</v>
      </c>
    </row>
    <row r="396" spans="2:15" x14ac:dyDescent="0.45">
      <c r="B396" t="s">
        <v>77</v>
      </c>
      <c r="C396" t="s">
        <v>9</v>
      </c>
      <c r="D396">
        <v>0</v>
      </c>
      <c r="E396" t="s">
        <v>6</v>
      </c>
      <c r="G396" t="s">
        <v>78</v>
      </c>
      <c r="H396" t="s">
        <v>9</v>
      </c>
      <c r="I396">
        <v>4.4864689350298921E-2</v>
      </c>
      <c r="J396" t="s">
        <v>6</v>
      </c>
      <c r="L396" t="s">
        <v>79</v>
      </c>
      <c r="M396" t="s">
        <v>9</v>
      </c>
      <c r="N396">
        <v>4.8236424126191745E-2</v>
      </c>
      <c r="O396" t="s">
        <v>6</v>
      </c>
    </row>
    <row r="397" spans="2:15" x14ac:dyDescent="0.45">
      <c r="B397" t="s">
        <v>77</v>
      </c>
      <c r="C397" t="s">
        <v>10</v>
      </c>
      <c r="D397">
        <v>2.7502563156757656E-2</v>
      </c>
      <c r="E397" t="s">
        <v>6</v>
      </c>
      <c r="G397" t="s">
        <v>78</v>
      </c>
      <c r="H397" t="s">
        <v>10</v>
      </c>
      <c r="I397">
        <v>3.2894483348271844E-2</v>
      </c>
      <c r="J397" t="s">
        <v>6</v>
      </c>
      <c r="L397" t="s">
        <v>79</v>
      </c>
      <c r="M397" t="s">
        <v>10</v>
      </c>
      <c r="N397">
        <v>3.4684591183616484E-2</v>
      </c>
      <c r="O397" t="s">
        <v>6</v>
      </c>
    </row>
    <row r="398" spans="2:15" x14ac:dyDescent="0.45">
      <c r="B398" t="s">
        <v>77</v>
      </c>
      <c r="C398" t="s">
        <v>11</v>
      </c>
      <c r="D398">
        <v>6.9286597654118459E-2</v>
      </c>
      <c r="E398" t="s">
        <v>6</v>
      </c>
      <c r="G398" t="s">
        <v>78</v>
      </c>
      <c r="H398" t="s">
        <v>11</v>
      </c>
      <c r="I398">
        <v>3.5746502270165993E-2</v>
      </c>
      <c r="J398" t="s">
        <v>6</v>
      </c>
      <c r="L398" t="s">
        <v>79</v>
      </c>
      <c r="M398" t="s">
        <v>11</v>
      </c>
      <c r="N398">
        <v>3.372867063837745E-2</v>
      </c>
      <c r="O398" t="s">
        <v>6</v>
      </c>
    </row>
    <row r="399" spans="2:15" x14ac:dyDescent="0.45">
      <c r="B399" t="s">
        <v>77</v>
      </c>
      <c r="C399" t="s">
        <v>12</v>
      </c>
      <c r="D399">
        <v>4.2253896229392567E-2</v>
      </c>
      <c r="E399" t="s">
        <v>6</v>
      </c>
      <c r="G399" t="s">
        <v>78</v>
      </c>
      <c r="H399" t="s">
        <v>12</v>
      </c>
      <c r="I399">
        <v>3.7595586881677995E-2</v>
      </c>
      <c r="J399" t="s">
        <v>6</v>
      </c>
      <c r="L399" t="s">
        <v>79</v>
      </c>
      <c r="M399" t="s">
        <v>12</v>
      </c>
      <c r="N399">
        <v>3.5228975187472832E-2</v>
      </c>
      <c r="O399" t="s">
        <v>6</v>
      </c>
    </row>
    <row r="400" spans="2:15" x14ac:dyDescent="0.45">
      <c r="B400" t="s">
        <v>77</v>
      </c>
      <c r="C400" t="s">
        <v>13</v>
      </c>
      <c r="D400">
        <v>1.4661867340848554E-3</v>
      </c>
      <c r="E400" t="s">
        <v>6</v>
      </c>
      <c r="G400" t="s">
        <v>78</v>
      </c>
      <c r="H400" t="s">
        <v>13</v>
      </c>
      <c r="I400">
        <v>3.7072770865417576E-2</v>
      </c>
      <c r="J400" t="s">
        <v>6</v>
      </c>
      <c r="L400" t="s">
        <v>79</v>
      </c>
      <c r="M400" t="s">
        <v>13</v>
      </c>
      <c r="N400">
        <v>3.6989545057655213E-2</v>
      </c>
      <c r="O400" t="s">
        <v>6</v>
      </c>
    </row>
    <row r="401" spans="2:15" x14ac:dyDescent="0.45">
      <c r="B401" t="s">
        <v>77</v>
      </c>
      <c r="C401" t="s">
        <v>14</v>
      </c>
      <c r="D401">
        <v>0</v>
      </c>
      <c r="E401" t="s">
        <v>6</v>
      </c>
      <c r="G401" t="s">
        <v>78</v>
      </c>
      <c r="H401" t="s">
        <v>14</v>
      </c>
      <c r="I401">
        <v>7.9943947527295639E-2</v>
      </c>
      <c r="J401" t="s">
        <v>6</v>
      </c>
      <c r="L401" t="s">
        <v>79</v>
      </c>
      <c r="M401" t="s">
        <v>14</v>
      </c>
      <c r="N401">
        <v>9.3463286521678665E-2</v>
      </c>
      <c r="O401" t="s">
        <v>6</v>
      </c>
    </row>
    <row r="402" spans="2:15" x14ac:dyDescent="0.45">
      <c r="B402" t="s">
        <v>77</v>
      </c>
      <c r="C402" t="s">
        <v>15</v>
      </c>
      <c r="D402">
        <v>7.5126706416629449E-3</v>
      </c>
      <c r="E402" t="s">
        <v>6</v>
      </c>
      <c r="G402" t="s">
        <v>78</v>
      </c>
      <c r="H402" t="s">
        <v>15</v>
      </c>
      <c r="I402">
        <v>4.0620249973483923E-2</v>
      </c>
      <c r="J402" t="s">
        <v>6</v>
      </c>
      <c r="L402" t="s">
        <v>79</v>
      </c>
      <c r="M402" t="s">
        <v>15</v>
      </c>
      <c r="N402">
        <v>4.6047539687993397E-2</v>
      </c>
      <c r="O402" t="s">
        <v>6</v>
      </c>
    </row>
    <row r="403" spans="2:15" x14ac:dyDescent="0.45">
      <c r="B403" t="s">
        <v>77</v>
      </c>
      <c r="C403" t="s">
        <v>16</v>
      </c>
      <c r="D403">
        <v>7.3763135192942336E-2</v>
      </c>
      <c r="E403" t="s">
        <v>6</v>
      </c>
      <c r="G403" t="s">
        <v>78</v>
      </c>
      <c r="H403" t="s">
        <v>16</v>
      </c>
      <c r="I403">
        <v>3.2427804384921169E-2</v>
      </c>
      <c r="J403" t="s">
        <v>6</v>
      </c>
      <c r="L403" t="s">
        <v>79</v>
      </c>
      <c r="M403" t="s">
        <v>16</v>
      </c>
      <c r="N403">
        <v>3.2044844757305152E-2</v>
      </c>
      <c r="O403" t="s">
        <v>6</v>
      </c>
    </row>
    <row r="404" spans="2:15" x14ac:dyDescent="0.45">
      <c r="B404" t="s">
        <v>77</v>
      </c>
      <c r="C404" t="s">
        <v>17</v>
      </c>
      <c r="D404">
        <v>0.11203438360093396</v>
      </c>
      <c r="E404" t="s">
        <v>6</v>
      </c>
      <c r="G404" t="s">
        <v>78</v>
      </c>
      <c r="H404" t="s">
        <v>17</v>
      </c>
      <c r="I404">
        <v>3.4841682386508407E-2</v>
      </c>
      <c r="J404" t="s">
        <v>6</v>
      </c>
      <c r="L404" t="s">
        <v>79</v>
      </c>
      <c r="M404" t="s">
        <v>17</v>
      </c>
      <c r="N404">
        <v>3.1587189659878424E-2</v>
      </c>
      <c r="O404" t="s">
        <v>6</v>
      </c>
    </row>
    <row r="405" spans="2:15" x14ac:dyDescent="0.45">
      <c r="B405" t="s">
        <v>77</v>
      </c>
      <c r="C405" t="s">
        <v>18</v>
      </c>
      <c r="D405">
        <v>7.8901093402528558E-2</v>
      </c>
      <c r="E405" t="s">
        <v>6</v>
      </c>
      <c r="G405" t="s">
        <v>78</v>
      </c>
      <c r="H405" t="s">
        <v>18</v>
      </c>
      <c r="I405">
        <v>3.6597728010687905E-2</v>
      </c>
      <c r="J405" t="s">
        <v>6</v>
      </c>
      <c r="L405" t="s">
        <v>79</v>
      </c>
      <c r="M405" t="s">
        <v>18</v>
      </c>
      <c r="N405">
        <v>3.3826482830312539E-2</v>
      </c>
      <c r="O405" t="s">
        <v>6</v>
      </c>
    </row>
    <row r="406" spans="2:15" x14ac:dyDescent="0.45">
      <c r="B406" t="s">
        <v>77</v>
      </c>
      <c r="C406" t="s">
        <v>19</v>
      </c>
      <c r="D406">
        <v>1.424035075229394E-2</v>
      </c>
      <c r="E406" t="s">
        <v>6</v>
      </c>
      <c r="G406" t="s">
        <v>78</v>
      </c>
      <c r="H406" t="s">
        <v>19</v>
      </c>
      <c r="I406">
        <v>3.3708420416938202E-2</v>
      </c>
      <c r="J406" t="s">
        <v>6</v>
      </c>
      <c r="L406" t="s">
        <v>79</v>
      </c>
      <c r="M406" t="s">
        <v>19</v>
      </c>
      <c r="N406">
        <v>3.5292982928755115E-2</v>
      </c>
      <c r="O406" t="s">
        <v>6</v>
      </c>
    </row>
    <row r="407" spans="2:15" x14ac:dyDescent="0.45">
      <c r="B407" t="s">
        <v>77</v>
      </c>
      <c r="C407" t="s">
        <v>20</v>
      </c>
      <c r="D407">
        <v>2.4789030481081573E-5</v>
      </c>
      <c r="E407" t="s">
        <v>6</v>
      </c>
      <c r="G407" t="s">
        <v>78</v>
      </c>
      <c r="H407" t="s">
        <v>20</v>
      </c>
      <c r="I407">
        <v>5.7911133952238354E-2</v>
      </c>
      <c r="J407" t="s">
        <v>6</v>
      </c>
      <c r="L407" t="s">
        <v>79</v>
      </c>
      <c r="M407" t="s">
        <v>20</v>
      </c>
      <c r="N407">
        <v>7.0302846371420494E-2</v>
      </c>
      <c r="O407" t="s">
        <v>6</v>
      </c>
    </row>
    <row r="408" spans="2:15" x14ac:dyDescent="0.45">
      <c r="B408" t="s">
        <v>77</v>
      </c>
      <c r="C408" t="s">
        <v>21</v>
      </c>
      <c r="D408">
        <v>1.3755470283271849E-2</v>
      </c>
      <c r="E408" t="s">
        <v>6</v>
      </c>
      <c r="G408" t="s">
        <v>78</v>
      </c>
      <c r="H408" t="s">
        <v>21</v>
      </c>
      <c r="I408">
        <v>2.7135203499138338E-2</v>
      </c>
      <c r="J408" t="s">
        <v>6</v>
      </c>
      <c r="L408" t="s">
        <v>79</v>
      </c>
      <c r="M408" t="s">
        <v>21</v>
      </c>
      <c r="N408">
        <v>3.1304695790377111E-2</v>
      </c>
      <c r="O408" t="s">
        <v>6</v>
      </c>
    </row>
    <row r="409" spans="2:15" x14ac:dyDescent="0.45">
      <c r="B409" t="s">
        <v>77</v>
      </c>
      <c r="C409" t="s">
        <v>22</v>
      </c>
      <c r="D409">
        <v>9.4900762914842451E-2</v>
      </c>
      <c r="E409" t="s">
        <v>6</v>
      </c>
      <c r="G409" t="s">
        <v>78</v>
      </c>
      <c r="H409" t="s">
        <v>22</v>
      </c>
      <c r="I409">
        <v>2.1576926839480693E-2</v>
      </c>
      <c r="J409" t="s">
        <v>6</v>
      </c>
      <c r="L409" t="s">
        <v>79</v>
      </c>
      <c r="M409" t="s">
        <v>22</v>
      </c>
      <c r="N409">
        <v>1.9086649900783043E-2</v>
      </c>
      <c r="O409" t="s">
        <v>6</v>
      </c>
    </row>
    <row r="410" spans="2:15" x14ac:dyDescent="0.45">
      <c r="B410" t="s">
        <v>77</v>
      </c>
      <c r="C410" t="s">
        <v>23</v>
      </c>
      <c r="D410">
        <v>0.13843927032985728</v>
      </c>
      <c r="E410" t="s">
        <v>6</v>
      </c>
      <c r="G410" t="s">
        <v>78</v>
      </c>
      <c r="H410" t="s">
        <v>23</v>
      </c>
      <c r="I410">
        <v>2.3691630011734875E-2</v>
      </c>
      <c r="J410" t="s">
        <v>6</v>
      </c>
      <c r="L410" t="s">
        <v>79</v>
      </c>
      <c r="M410" t="s">
        <v>23</v>
      </c>
      <c r="N410">
        <v>1.829555149516553E-2</v>
      </c>
      <c r="O410" t="s">
        <v>6</v>
      </c>
    </row>
    <row r="411" spans="2:15" x14ac:dyDescent="0.45">
      <c r="B411" t="s">
        <v>77</v>
      </c>
      <c r="C411" t="s">
        <v>24</v>
      </c>
      <c r="D411">
        <v>0.10350012133542368</v>
      </c>
      <c r="E411" t="s">
        <v>6</v>
      </c>
      <c r="G411" t="s">
        <v>78</v>
      </c>
      <c r="H411" t="s">
        <v>24</v>
      </c>
      <c r="I411">
        <v>2.6399296932369483E-2</v>
      </c>
      <c r="J411" t="s">
        <v>6</v>
      </c>
      <c r="L411" t="s">
        <v>79</v>
      </c>
      <c r="M411" t="s">
        <v>24</v>
      </c>
      <c r="N411">
        <v>2.0632227708781946E-2</v>
      </c>
      <c r="O411" t="s">
        <v>6</v>
      </c>
    </row>
    <row r="412" spans="2:15" x14ac:dyDescent="0.45">
      <c r="B412" t="s">
        <v>77</v>
      </c>
      <c r="C412" t="s">
        <v>25</v>
      </c>
      <c r="D412">
        <v>2.5331211194270453E-2</v>
      </c>
      <c r="E412" t="s">
        <v>6</v>
      </c>
      <c r="G412" t="s">
        <v>78</v>
      </c>
      <c r="H412" t="s">
        <v>25</v>
      </c>
      <c r="I412">
        <v>2.4628140617707569E-2</v>
      </c>
      <c r="J412" t="s">
        <v>6</v>
      </c>
      <c r="L412" t="s">
        <v>79</v>
      </c>
      <c r="M412" t="s">
        <v>25</v>
      </c>
      <c r="N412">
        <v>2.5451446946763358E-2</v>
      </c>
      <c r="O412" t="s">
        <v>6</v>
      </c>
    </row>
    <row r="413" spans="2:15" x14ac:dyDescent="0.45">
      <c r="B413" t="s">
        <v>77</v>
      </c>
      <c r="C413" t="s">
        <v>26</v>
      </c>
      <c r="D413">
        <v>0</v>
      </c>
      <c r="E413" t="s">
        <v>6</v>
      </c>
      <c r="G413" t="s">
        <v>78</v>
      </c>
      <c r="H413" t="s">
        <v>26</v>
      </c>
      <c r="I413">
        <v>9.055583116606547E-2</v>
      </c>
      <c r="J413" t="s">
        <v>6</v>
      </c>
      <c r="L413" t="s">
        <v>79</v>
      </c>
      <c r="M413" t="s">
        <v>26</v>
      </c>
      <c r="N413">
        <v>8.6755062526443133E-2</v>
      </c>
      <c r="O413" t="s">
        <v>6</v>
      </c>
    </row>
    <row r="414" spans="2:15" x14ac:dyDescent="0.45">
      <c r="B414" t="s">
        <v>77</v>
      </c>
      <c r="C414" t="s">
        <v>27</v>
      </c>
      <c r="D414">
        <v>2.0046469555575434E-3</v>
      </c>
      <c r="E414" t="s">
        <v>6</v>
      </c>
      <c r="G414" t="s">
        <v>78</v>
      </c>
      <c r="H414" t="s">
        <v>27</v>
      </c>
      <c r="I414">
        <v>4.5103004389737356E-2</v>
      </c>
      <c r="J414" t="s">
        <v>6</v>
      </c>
      <c r="L414" t="s">
        <v>79</v>
      </c>
      <c r="M414" t="s">
        <v>27</v>
      </c>
      <c r="N414">
        <v>4.3585087818062064E-2</v>
      </c>
      <c r="O414" t="s">
        <v>6</v>
      </c>
    </row>
    <row r="415" spans="2:15" x14ac:dyDescent="0.45">
      <c r="B415" t="s">
        <v>77</v>
      </c>
      <c r="C415" t="s">
        <v>28</v>
      </c>
      <c r="D415">
        <v>5.0214894017296723E-2</v>
      </c>
      <c r="E415" t="s">
        <v>6</v>
      </c>
      <c r="G415" t="s">
        <v>78</v>
      </c>
      <c r="H415" t="s">
        <v>28</v>
      </c>
      <c r="I415">
        <v>3.3764799655417524E-2</v>
      </c>
      <c r="J415" t="s">
        <v>6</v>
      </c>
      <c r="L415" t="s">
        <v>79</v>
      </c>
      <c r="M415" t="s">
        <v>28</v>
      </c>
      <c r="N415">
        <v>3.1870505794771756E-2</v>
      </c>
      <c r="O415" t="s">
        <v>6</v>
      </c>
    </row>
    <row r="416" spans="2:15" x14ac:dyDescent="0.45">
      <c r="B416" t="s">
        <v>77</v>
      </c>
      <c r="C416" t="s">
        <v>29</v>
      </c>
      <c r="D416">
        <v>8.8175493478730368E-2</v>
      </c>
      <c r="E416" t="s">
        <v>6</v>
      </c>
      <c r="G416" t="s">
        <v>78</v>
      </c>
      <c r="H416" t="s">
        <v>29</v>
      </c>
      <c r="I416">
        <v>3.5887207580591385E-2</v>
      </c>
      <c r="J416" t="s">
        <v>6</v>
      </c>
      <c r="L416" t="s">
        <v>79</v>
      </c>
      <c r="M416" t="s">
        <v>29</v>
      </c>
      <c r="N416">
        <v>3.1181079436472178E-2</v>
      </c>
      <c r="O416" t="s">
        <v>6</v>
      </c>
    </row>
    <row r="417" spans="2:15" x14ac:dyDescent="0.45">
      <c r="B417" t="s">
        <v>77</v>
      </c>
      <c r="C417" t="s">
        <v>30</v>
      </c>
      <c r="D417">
        <v>5.3094069655803856E-2</v>
      </c>
      <c r="E417" t="s">
        <v>6</v>
      </c>
      <c r="G417" t="s">
        <v>78</v>
      </c>
      <c r="H417" t="s">
        <v>30</v>
      </c>
      <c r="I417">
        <v>3.7041858461692154E-2</v>
      </c>
      <c r="J417" t="s">
        <v>6</v>
      </c>
      <c r="L417" t="s">
        <v>79</v>
      </c>
      <c r="M417" t="s">
        <v>30</v>
      </c>
      <c r="N417">
        <v>3.2041463932888342E-2</v>
      </c>
      <c r="O417" t="s">
        <v>6</v>
      </c>
    </row>
    <row r="418" spans="2:15" x14ac:dyDescent="0.45">
      <c r="B418" t="s">
        <v>77</v>
      </c>
      <c r="C418" t="s">
        <v>31</v>
      </c>
      <c r="D418">
        <v>3.5983934397470197E-3</v>
      </c>
      <c r="E418" t="s">
        <v>6</v>
      </c>
      <c r="G418" t="s">
        <v>78</v>
      </c>
      <c r="H418" t="s">
        <v>31</v>
      </c>
      <c r="I418">
        <v>3.5751682717238734E-2</v>
      </c>
      <c r="J418" t="s">
        <v>6</v>
      </c>
      <c r="L418" t="s">
        <v>79</v>
      </c>
      <c r="M418" t="s">
        <v>31</v>
      </c>
      <c r="N418">
        <v>3.2590096197866174E-2</v>
      </c>
      <c r="O418" t="s">
        <v>6</v>
      </c>
    </row>
    <row r="419" spans="2:15" x14ac:dyDescent="0.45">
      <c r="B419" t="s">
        <v>80</v>
      </c>
      <c r="C419" t="s">
        <v>5</v>
      </c>
      <c r="D419">
        <v>0</v>
      </c>
      <c r="E419" t="s">
        <v>6</v>
      </c>
      <c r="G419" t="s">
        <v>81</v>
      </c>
      <c r="H419" t="s">
        <v>5</v>
      </c>
      <c r="I419">
        <v>0.11059878633293865</v>
      </c>
      <c r="J419" t="s">
        <v>6</v>
      </c>
    </row>
    <row r="420" spans="2:15" x14ac:dyDescent="0.45">
      <c r="B420" t="s">
        <v>80</v>
      </c>
      <c r="C420" t="s">
        <v>9</v>
      </c>
      <c r="D420">
        <v>3.6658125596373636E-4</v>
      </c>
      <c r="E420" t="s">
        <v>6</v>
      </c>
      <c r="G420" t="s">
        <v>81</v>
      </c>
      <c r="H420" t="s">
        <v>9</v>
      </c>
      <c r="I420">
        <v>5.5297013626101524E-2</v>
      </c>
      <c r="J420" t="s">
        <v>6</v>
      </c>
    </row>
    <row r="421" spans="2:15" x14ac:dyDescent="0.45">
      <c r="B421" t="s">
        <v>80</v>
      </c>
      <c r="C421" t="s">
        <v>10</v>
      </c>
      <c r="D421">
        <v>4.6225758284500276E-2</v>
      </c>
      <c r="E421" t="s">
        <v>6</v>
      </c>
      <c r="G421" t="s">
        <v>81</v>
      </c>
      <c r="H421" t="s">
        <v>10</v>
      </c>
      <c r="I421">
        <v>3.8558912265196643E-2</v>
      </c>
      <c r="J421" t="s">
        <v>6</v>
      </c>
    </row>
    <row r="422" spans="2:15" x14ac:dyDescent="0.45">
      <c r="B422" t="s">
        <v>80</v>
      </c>
      <c r="C422" t="s">
        <v>11</v>
      </c>
      <c r="D422">
        <v>8.4244922976179915E-2</v>
      </c>
      <c r="E422" t="s">
        <v>6</v>
      </c>
      <c r="G422" t="s">
        <v>81</v>
      </c>
      <c r="H422" t="s">
        <v>11</v>
      </c>
      <c r="I422">
        <v>3.5181246987017016E-2</v>
      </c>
      <c r="J422" t="s">
        <v>6</v>
      </c>
    </row>
    <row r="423" spans="2:15" x14ac:dyDescent="0.45">
      <c r="B423" t="s">
        <v>80</v>
      </c>
      <c r="C423" t="s">
        <v>12</v>
      </c>
      <c r="D423">
        <v>4.4917691865602405E-2</v>
      </c>
      <c r="E423" t="s">
        <v>6</v>
      </c>
      <c r="G423" t="s">
        <v>81</v>
      </c>
      <c r="H423" t="s">
        <v>12</v>
      </c>
      <c r="I423">
        <v>3.6409112868003156E-2</v>
      </c>
      <c r="J423" t="s">
        <v>6</v>
      </c>
    </row>
    <row r="424" spans="2:15" x14ac:dyDescent="0.45">
      <c r="B424" t="s">
        <v>80</v>
      </c>
      <c r="C424" t="s">
        <v>13</v>
      </c>
      <c r="D424">
        <v>8.891821333435766E-4</v>
      </c>
      <c r="E424" t="s">
        <v>6</v>
      </c>
      <c r="G424" t="s">
        <v>81</v>
      </c>
      <c r="H424" t="s">
        <v>13</v>
      </c>
      <c r="I424">
        <v>3.8856257093029027E-2</v>
      </c>
      <c r="J424" t="s">
        <v>6</v>
      </c>
    </row>
    <row r="425" spans="2:15" x14ac:dyDescent="0.45">
      <c r="B425" t="s">
        <v>80</v>
      </c>
      <c r="C425" t="s">
        <v>14</v>
      </c>
      <c r="D425">
        <v>0</v>
      </c>
      <c r="E425" t="s">
        <v>6</v>
      </c>
      <c r="G425" t="s">
        <v>81</v>
      </c>
      <c r="H425" t="s">
        <v>14</v>
      </c>
      <c r="I425">
        <v>8.5641107882323819E-2</v>
      </c>
      <c r="J425" t="s">
        <v>6</v>
      </c>
    </row>
    <row r="426" spans="2:15" x14ac:dyDescent="0.45">
      <c r="B426" t="s">
        <v>80</v>
      </c>
      <c r="C426" t="s">
        <v>15</v>
      </c>
      <c r="D426">
        <v>1.1067403653254917E-2</v>
      </c>
      <c r="E426" t="s">
        <v>6</v>
      </c>
      <c r="G426" t="s">
        <v>81</v>
      </c>
      <c r="H426" t="s">
        <v>15</v>
      </c>
      <c r="I426">
        <v>4.4122467350432015E-2</v>
      </c>
      <c r="J426" t="s">
        <v>6</v>
      </c>
    </row>
    <row r="427" spans="2:15" x14ac:dyDescent="0.45">
      <c r="B427" t="s">
        <v>80</v>
      </c>
      <c r="C427" t="s">
        <v>16</v>
      </c>
      <c r="D427">
        <v>7.4098699956230279E-2</v>
      </c>
      <c r="E427" t="s">
        <v>6</v>
      </c>
      <c r="G427" t="s">
        <v>81</v>
      </c>
      <c r="H427" t="s">
        <v>16</v>
      </c>
      <c r="I427">
        <v>2.6644477409296922E-2</v>
      </c>
      <c r="J427" t="s">
        <v>6</v>
      </c>
    </row>
    <row r="428" spans="2:15" x14ac:dyDescent="0.45">
      <c r="B428" t="s">
        <v>80</v>
      </c>
      <c r="C428" t="s">
        <v>17</v>
      </c>
      <c r="D428">
        <v>0.10698589376126162</v>
      </c>
      <c r="E428" t="s">
        <v>6</v>
      </c>
      <c r="G428" t="s">
        <v>81</v>
      </c>
      <c r="H428" t="s">
        <v>17</v>
      </c>
      <c r="I428">
        <v>2.5653429095588761E-2</v>
      </c>
      <c r="J428" t="s">
        <v>6</v>
      </c>
    </row>
    <row r="429" spans="2:15" x14ac:dyDescent="0.45">
      <c r="B429" t="s">
        <v>80</v>
      </c>
      <c r="C429" t="s">
        <v>18</v>
      </c>
      <c r="D429">
        <v>7.3510348854462934E-2</v>
      </c>
      <c r="E429" t="s">
        <v>6</v>
      </c>
      <c r="G429" t="s">
        <v>81</v>
      </c>
      <c r="H429" t="s">
        <v>18</v>
      </c>
      <c r="I429">
        <v>3.081158413421391E-2</v>
      </c>
      <c r="J429" t="s">
        <v>6</v>
      </c>
    </row>
    <row r="430" spans="2:15" x14ac:dyDescent="0.45">
      <c r="B430" t="s">
        <v>80</v>
      </c>
      <c r="C430" t="s">
        <v>19</v>
      </c>
      <c r="D430">
        <v>8.9616068180658256E-3</v>
      </c>
      <c r="E430" t="s">
        <v>6</v>
      </c>
      <c r="G430" t="s">
        <v>81</v>
      </c>
      <c r="H430" t="s">
        <v>19</v>
      </c>
      <c r="I430">
        <v>3.1394852327723557E-2</v>
      </c>
      <c r="J430" t="s">
        <v>6</v>
      </c>
    </row>
    <row r="431" spans="2:15" x14ac:dyDescent="0.45">
      <c r="B431" t="s">
        <v>80</v>
      </c>
      <c r="C431" t="s">
        <v>20</v>
      </c>
      <c r="D431">
        <v>0</v>
      </c>
      <c r="E431" t="s">
        <v>6</v>
      </c>
      <c r="G431" t="s">
        <v>81</v>
      </c>
      <c r="H431" t="s">
        <v>20</v>
      </c>
      <c r="I431">
        <v>6.4610819546538661E-2</v>
      </c>
      <c r="J431" t="s">
        <v>6</v>
      </c>
    </row>
    <row r="432" spans="2:15" x14ac:dyDescent="0.45">
      <c r="B432" t="s">
        <v>80</v>
      </c>
      <c r="C432" t="s">
        <v>21</v>
      </c>
      <c r="D432">
        <v>1.689143546556688E-2</v>
      </c>
      <c r="E432" t="s">
        <v>6</v>
      </c>
      <c r="G432" t="s">
        <v>81</v>
      </c>
      <c r="H432" t="s">
        <v>21</v>
      </c>
      <c r="I432">
        <v>2.721861199663908E-2</v>
      </c>
      <c r="J432" t="s">
        <v>6</v>
      </c>
    </row>
    <row r="433" spans="2:10" x14ac:dyDescent="0.45">
      <c r="B433" t="s">
        <v>80</v>
      </c>
      <c r="C433" t="s">
        <v>22</v>
      </c>
      <c r="D433">
        <v>9.2098943374573597E-2</v>
      </c>
      <c r="E433" t="s">
        <v>6</v>
      </c>
      <c r="G433" t="s">
        <v>81</v>
      </c>
      <c r="H433" t="s">
        <v>22</v>
      </c>
      <c r="I433">
        <v>1.5217341494283046E-2</v>
      </c>
      <c r="J433" t="s">
        <v>6</v>
      </c>
    </row>
    <row r="434" spans="2:10" x14ac:dyDescent="0.45">
      <c r="B434" t="s">
        <v>80</v>
      </c>
      <c r="C434" t="s">
        <v>23</v>
      </c>
      <c r="D434">
        <v>0.12023738950629749</v>
      </c>
      <c r="E434" t="s">
        <v>6</v>
      </c>
      <c r="G434" t="s">
        <v>81</v>
      </c>
      <c r="H434" t="s">
        <v>23</v>
      </c>
      <c r="I434">
        <v>1.8133024789184101E-2</v>
      </c>
      <c r="J434" t="s">
        <v>6</v>
      </c>
    </row>
    <row r="435" spans="2:10" x14ac:dyDescent="0.45">
      <c r="B435" t="s">
        <v>80</v>
      </c>
      <c r="C435" t="s">
        <v>24</v>
      </c>
      <c r="D435">
        <v>8.4680958802019549E-2</v>
      </c>
      <c r="E435" t="s">
        <v>6</v>
      </c>
      <c r="G435" t="s">
        <v>81</v>
      </c>
      <c r="H435" t="s">
        <v>24</v>
      </c>
      <c r="I435">
        <v>2.0973953140304889E-2</v>
      </c>
      <c r="J435" t="s">
        <v>6</v>
      </c>
    </row>
    <row r="436" spans="2:10" x14ac:dyDescent="0.45">
      <c r="B436" t="s">
        <v>80</v>
      </c>
      <c r="C436" t="s">
        <v>25</v>
      </c>
      <c r="D436">
        <v>1.4654977517222124E-2</v>
      </c>
      <c r="E436" t="s">
        <v>6</v>
      </c>
      <c r="G436" t="s">
        <v>81</v>
      </c>
      <c r="H436" t="s">
        <v>25</v>
      </c>
      <c r="I436">
        <v>2.1359265880488084E-2</v>
      </c>
      <c r="J436" t="s">
        <v>6</v>
      </c>
    </row>
    <row r="437" spans="2:10" x14ac:dyDescent="0.45">
      <c r="B437" t="s">
        <v>80</v>
      </c>
      <c r="C437" t="s">
        <v>26</v>
      </c>
      <c r="D437">
        <v>0</v>
      </c>
      <c r="E437" t="s">
        <v>6</v>
      </c>
      <c r="G437" t="s">
        <v>81</v>
      </c>
      <c r="H437" t="s">
        <v>26</v>
      </c>
      <c r="I437">
        <v>9.3438526831294041E-2</v>
      </c>
      <c r="J437" t="s">
        <v>6</v>
      </c>
    </row>
    <row r="438" spans="2:10" x14ac:dyDescent="0.45">
      <c r="B438" t="s">
        <v>80</v>
      </c>
      <c r="C438" t="s">
        <v>27</v>
      </c>
      <c r="D438">
        <v>5.6187247113239878E-3</v>
      </c>
      <c r="E438" t="s">
        <v>6</v>
      </c>
      <c r="G438" t="s">
        <v>81</v>
      </c>
      <c r="H438" t="s">
        <v>27</v>
      </c>
      <c r="I438">
        <v>4.5018810535791265E-2</v>
      </c>
      <c r="J438" t="s">
        <v>6</v>
      </c>
    </row>
    <row r="439" spans="2:10" x14ac:dyDescent="0.45">
      <c r="B439" t="s">
        <v>80</v>
      </c>
      <c r="C439" t="s">
        <v>28</v>
      </c>
      <c r="D439">
        <v>6.6575519563901203E-2</v>
      </c>
      <c r="E439" t="s">
        <v>6</v>
      </c>
      <c r="G439" t="s">
        <v>81</v>
      </c>
      <c r="H439" t="s">
        <v>28</v>
      </c>
      <c r="I439">
        <v>3.1821899429486968E-2</v>
      </c>
      <c r="J439" t="s">
        <v>6</v>
      </c>
    </row>
    <row r="440" spans="2:10" x14ac:dyDescent="0.45">
      <c r="B440" t="s">
        <v>80</v>
      </c>
      <c r="C440" t="s">
        <v>29</v>
      </c>
      <c r="D440">
        <v>9.4195129406450806E-2</v>
      </c>
      <c r="E440" t="s">
        <v>6</v>
      </c>
      <c r="G440" t="s">
        <v>81</v>
      </c>
      <c r="H440" t="s">
        <v>29</v>
      </c>
      <c r="I440">
        <v>3.208339710491169E-2</v>
      </c>
      <c r="J440" t="s">
        <v>6</v>
      </c>
    </row>
    <row r="441" spans="2:10" x14ac:dyDescent="0.45">
      <c r="B441" t="s">
        <v>80</v>
      </c>
      <c r="C441" t="s">
        <v>30</v>
      </c>
      <c r="D441">
        <v>5.1687873818163692E-2</v>
      </c>
      <c r="E441" t="s">
        <v>6</v>
      </c>
      <c r="G441" t="s">
        <v>81</v>
      </c>
      <c r="H441" t="s">
        <v>30</v>
      </c>
      <c r="I441">
        <v>3.4815941591674768E-2</v>
      </c>
      <c r="J441" t="s">
        <v>6</v>
      </c>
    </row>
    <row r="442" spans="2:10" x14ac:dyDescent="0.45">
      <c r="B442" t="s">
        <v>80</v>
      </c>
      <c r="C442" t="s">
        <v>31</v>
      </c>
      <c r="D442">
        <v>2.0909582756160798E-3</v>
      </c>
      <c r="E442" t="s">
        <v>6</v>
      </c>
      <c r="G442" t="s">
        <v>81</v>
      </c>
      <c r="H442" t="s">
        <v>31</v>
      </c>
      <c r="I442">
        <v>3.6139160287537338E-2</v>
      </c>
      <c r="J442" t="s">
        <v>6</v>
      </c>
    </row>
    <row r="443" spans="2:10" x14ac:dyDescent="0.45">
      <c r="B443" t="s">
        <v>82</v>
      </c>
      <c r="C443" t="s">
        <v>5</v>
      </c>
      <c r="D443">
        <v>0</v>
      </c>
      <c r="E443" t="s">
        <v>6</v>
      </c>
      <c r="G443" t="s">
        <v>83</v>
      </c>
      <c r="H443" t="s">
        <v>5</v>
      </c>
      <c r="I443">
        <v>0.11224776377436831</v>
      </c>
      <c r="J443" t="s">
        <v>6</v>
      </c>
    </row>
    <row r="444" spans="2:10" x14ac:dyDescent="0.45">
      <c r="B444" t="s">
        <v>82</v>
      </c>
      <c r="C444" t="s">
        <v>9</v>
      </c>
      <c r="D444">
        <v>9.4382009043282553E-5</v>
      </c>
      <c r="E444" t="s">
        <v>6</v>
      </c>
      <c r="G444" t="s">
        <v>83</v>
      </c>
      <c r="H444" t="s">
        <v>9</v>
      </c>
      <c r="I444">
        <v>5.5323012273432927E-2</v>
      </c>
      <c r="J444" t="s">
        <v>6</v>
      </c>
    </row>
    <row r="445" spans="2:10" x14ac:dyDescent="0.45">
      <c r="B445" t="s">
        <v>82</v>
      </c>
      <c r="C445" t="s">
        <v>10</v>
      </c>
      <c r="D445">
        <v>4.6791113772405038E-2</v>
      </c>
      <c r="E445" t="s">
        <v>6</v>
      </c>
      <c r="G445" t="s">
        <v>83</v>
      </c>
      <c r="H445" t="s">
        <v>10</v>
      </c>
      <c r="I445">
        <v>3.6508842866146377E-2</v>
      </c>
      <c r="J445" t="s">
        <v>6</v>
      </c>
    </row>
    <row r="446" spans="2:10" x14ac:dyDescent="0.45">
      <c r="B446" t="s">
        <v>82</v>
      </c>
      <c r="C446" t="s">
        <v>11</v>
      </c>
      <c r="D446">
        <v>9.3529743314998512E-2</v>
      </c>
      <c r="E446" t="s">
        <v>6</v>
      </c>
      <c r="G446" t="s">
        <v>83</v>
      </c>
      <c r="H446" t="s">
        <v>11</v>
      </c>
      <c r="I446">
        <v>3.2201451054581991E-2</v>
      </c>
      <c r="J446" t="s">
        <v>6</v>
      </c>
    </row>
    <row r="447" spans="2:10" x14ac:dyDescent="0.45">
      <c r="B447" t="s">
        <v>82</v>
      </c>
      <c r="C447" t="s">
        <v>12</v>
      </c>
      <c r="D447">
        <v>5.4679456029464127E-2</v>
      </c>
      <c r="E447" t="s">
        <v>6</v>
      </c>
      <c r="G447" t="s">
        <v>83</v>
      </c>
      <c r="H447" t="s">
        <v>12</v>
      </c>
      <c r="I447">
        <v>3.4977824020885506E-2</v>
      </c>
      <c r="J447" t="s">
        <v>6</v>
      </c>
    </row>
    <row r="448" spans="2:10" x14ac:dyDescent="0.45">
      <c r="B448" t="s">
        <v>82</v>
      </c>
      <c r="C448" t="s">
        <v>13</v>
      </c>
      <c r="D448">
        <v>1.5506502241675565E-3</v>
      </c>
      <c r="E448" t="s">
        <v>6</v>
      </c>
      <c r="G448" t="s">
        <v>83</v>
      </c>
      <c r="H448" t="s">
        <v>13</v>
      </c>
      <c r="I448">
        <v>3.8174515033422063E-2</v>
      </c>
      <c r="J448" t="s">
        <v>6</v>
      </c>
    </row>
    <row r="449" spans="2:10" x14ac:dyDescent="0.45">
      <c r="B449" t="s">
        <v>82</v>
      </c>
      <c r="C449" t="s">
        <v>14</v>
      </c>
      <c r="D449">
        <v>0</v>
      </c>
      <c r="E449" t="s">
        <v>6</v>
      </c>
      <c r="G449" t="s">
        <v>83</v>
      </c>
      <c r="H449" t="s">
        <v>14</v>
      </c>
      <c r="I449">
        <v>8.8660505469912457E-2</v>
      </c>
      <c r="J449" t="s">
        <v>6</v>
      </c>
    </row>
    <row r="450" spans="2:10" x14ac:dyDescent="0.45">
      <c r="B450" t="s">
        <v>82</v>
      </c>
      <c r="C450" t="s">
        <v>15</v>
      </c>
      <c r="D450">
        <v>9.2688288834642581E-3</v>
      </c>
      <c r="E450" t="s">
        <v>6</v>
      </c>
      <c r="G450" t="s">
        <v>83</v>
      </c>
      <c r="H450" t="s">
        <v>15</v>
      </c>
      <c r="I450">
        <v>4.415962713245665E-2</v>
      </c>
      <c r="J450" t="s">
        <v>6</v>
      </c>
    </row>
    <row r="451" spans="2:10" x14ac:dyDescent="0.45">
      <c r="B451" t="s">
        <v>82</v>
      </c>
      <c r="C451" t="s">
        <v>16</v>
      </c>
      <c r="D451">
        <v>7.2782286450704892E-2</v>
      </c>
      <c r="E451" t="s">
        <v>6</v>
      </c>
      <c r="G451" t="s">
        <v>83</v>
      </c>
      <c r="H451" t="s">
        <v>16</v>
      </c>
      <c r="I451">
        <v>2.6357151327333201E-2</v>
      </c>
      <c r="J451" t="s">
        <v>6</v>
      </c>
    </row>
    <row r="452" spans="2:10" x14ac:dyDescent="0.45">
      <c r="B452" t="s">
        <v>82</v>
      </c>
      <c r="C452" t="s">
        <v>17</v>
      </c>
      <c r="D452">
        <v>0.10502518207550829</v>
      </c>
      <c r="E452" t="s">
        <v>6</v>
      </c>
      <c r="G452" t="s">
        <v>83</v>
      </c>
      <c r="H452" t="s">
        <v>17</v>
      </c>
      <c r="I452">
        <v>2.9251715267949292E-2</v>
      </c>
      <c r="J452" t="s">
        <v>6</v>
      </c>
    </row>
    <row r="453" spans="2:10" x14ac:dyDescent="0.45">
      <c r="B453" t="s">
        <v>82</v>
      </c>
      <c r="C453" t="s">
        <v>18</v>
      </c>
      <c r="D453">
        <v>7.4507855404493631E-2</v>
      </c>
      <c r="E453" t="s">
        <v>6</v>
      </c>
      <c r="G453" t="s">
        <v>83</v>
      </c>
      <c r="H453" t="s">
        <v>18</v>
      </c>
      <c r="I453">
        <v>3.6332814306333956E-2</v>
      </c>
      <c r="J453" t="s">
        <v>6</v>
      </c>
    </row>
    <row r="454" spans="2:10" x14ac:dyDescent="0.45">
      <c r="B454" t="s">
        <v>82</v>
      </c>
      <c r="C454" t="s">
        <v>19</v>
      </c>
      <c r="D454">
        <v>1.1156525402627132E-2</v>
      </c>
      <c r="E454" t="s">
        <v>6</v>
      </c>
      <c r="G454" t="s">
        <v>83</v>
      </c>
      <c r="H454" t="s">
        <v>19</v>
      </c>
      <c r="I454">
        <v>3.5221788874057795E-2</v>
      </c>
      <c r="J454" t="s">
        <v>6</v>
      </c>
    </row>
    <row r="455" spans="2:10" x14ac:dyDescent="0.45">
      <c r="B455" t="s">
        <v>82</v>
      </c>
      <c r="C455" t="s">
        <v>20</v>
      </c>
      <c r="D455">
        <v>0</v>
      </c>
      <c r="E455" t="s">
        <v>6</v>
      </c>
      <c r="G455" t="s">
        <v>83</v>
      </c>
      <c r="H455" t="s">
        <v>20</v>
      </c>
      <c r="I455">
        <v>6.6117308418271126E-2</v>
      </c>
      <c r="J455" t="s">
        <v>6</v>
      </c>
    </row>
    <row r="456" spans="2:10" x14ac:dyDescent="0.45">
      <c r="B456" t="s">
        <v>82</v>
      </c>
      <c r="C456" t="s">
        <v>21</v>
      </c>
      <c r="D456">
        <v>1.4356066862112896E-2</v>
      </c>
      <c r="E456" t="s">
        <v>6</v>
      </c>
      <c r="G456" t="s">
        <v>83</v>
      </c>
      <c r="H456" t="s">
        <v>21</v>
      </c>
      <c r="I456">
        <v>2.3915534077228021E-2</v>
      </c>
      <c r="J456" t="s">
        <v>6</v>
      </c>
    </row>
    <row r="457" spans="2:10" x14ac:dyDescent="0.45">
      <c r="B457" t="s">
        <v>82</v>
      </c>
      <c r="C457" t="s">
        <v>22</v>
      </c>
      <c r="D457">
        <v>8.7958684872793971E-2</v>
      </c>
      <c r="E457" t="s">
        <v>6</v>
      </c>
      <c r="G457" t="s">
        <v>83</v>
      </c>
      <c r="H457" t="s">
        <v>22</v>
      </c>
      <c r="I457">
        <v>1.2379844297427984E-2</v>
      </c>
      <c r="J457" t="s">
        <v>6</v>
      </c>
    </row>
    <row r="458" spans="2:10" x14ac:dyDescent="0.45">
      <c r="B458" t="s">
        <v>82</v>
      </c>
      <c r="C458" t="s">
        <v>23</v>
      </c>
      <c r="D458">
        <v>0.11906099341771328</v>
      </c>
      <c r="E458" t="s">
        <v>6</v>
      </c>
      <c r="G458" t="s">
        <v>83</v>
      </c>
      <c r="H458" t="s">
        <v>23</v>
      </c>
      <c r="I458">
        <v>1.4713744631273111E-2</v>
      </c>
      <c r="J458" t="s">
        <v>6</v>
      </c>
    </row>
    <row r="459" spans="2:10" x14ac:dyDescent="0.45">
      <c r="B459" t="s">
        <v>82</v>
      </c>
      <c r="C459" t="s">
        <v>24</v>
      </c>
      <c r="D459">
        <v>8.4818119660164892E-2</v>
      </c>
      <c r="E459" t="s">
        <v>6</v>
      </c>
      <c r="G459" t="s">
        <v>83</v>
      </c>
      <c r="H459" t="s">
        <v>24</v>
      </c>
      <c r="I459">
        <v>1.9205113455752581E-2</v>
      </c>
      <c r="J459" t="s">
        <v>6</v>
      </c>
    </row>
    <row r="460" spans="2:10" x14ac:dyDescent="0.45">
      <c r="B460" t="s">
        <v>82</v>
      </c>
      <c r="C460" t="s">
        <v>25</v>
      </c>
      <c r="D460">
        <v>1.7186245998228749E-2</v>
      </c>
      <c r="E460" t="s">
        <v>6</v>
      </c>
      <c r="G460" t="s">
        <v>83</v>
      </c>
      <c r="H460" t="s">
        <v>25</v>
      </c>
      <c r="I460">
        <v>2.253257532167037E-2</v>
      </c>
      <c r="J460" t="s">
        <v>6</v>
      </c>
    </row>
    <row r="461" spans="2:10" x14ac:dyDescent="0.45">
      <c r="B461" t="s">
        <v>82</v>
      </c>
      <c r="C461" t="s">
        <v>26</v>
      </c>
      <c r="D461">
        <v>0</v>
      </c>
      <c r="E461" t="s">
        <v>6</v>
      </c>
      <c r="G461" t="s">
        <v>83</v>
      </c>
      <c r="H461" t="s">
        <v>26</v>
      </c>
      <c r="I461">
        <v>9.5406193017316815E-2</v>
      </c>
      <c r="J461" t="s">
        <v>6</v>
      </c>
    </row>
    <row r="462" spans="2:10" x14ac:dyDescent="0.45">
      <c r="B462" t="s">
        <v>82</v>
      </c>
      <c r="C462" t="s">
        <v>27</v>
      </c>
      <c r="D462">
        <v>3.7429015297708646E-3</v>
      </c>
      <c r="E462" t="s">
        <v>6</v>
      </c>
      <c r="G462" t="s">
        <v>83</v>
      </c>
      <c r="H462" t="s">
        <v>27</v>
      </c>
      <c r="I462">
        <v>4.6190961625281662E-2</v>
      </c>
      <c r="J462" t="s">
        <v>6</v>
      </c>
    </row>
    <row r="463" spans="2:10" x14ac:dyDescent="0.45">
      <c r="B463" t="s">
        <v>82</v>
      </c>
      <c r="C463" t="s">
        <v>28</v>
      </c>
      <c r="D463">
        <v>5.8234374513426654E-2</v>
      </c>
      <c r="E463" t="s">
        <v>6</v>
      </c>
      <c r="G463" t="s">
        <v>83</v>
      </c>
      <c r="H463" t="s">
        <v>28</v>
      </c>
      <c r="I463">
        <v>3.0003996009080023E-2</v>
      </c>
      <c r="J463" t="s">
        <v>6</v>
      </c>
    </row>
    <row r="464" spans="2:10" x14ac:dyDescent="0.45">
      <c r="B464" t="s">
        <v>82</v>
      </c>
      <c r="C464" t="s">
        <v>29</v>
      </c>
      <c r="D464">
        <v>9.0245990709457408E-2</v>
      </c>
      <c r="E464" t="s">
        <v>6</v>
      </c>
      <c r="G464" t="s">
        <v>83</v>
      </c>
      <c r="H464" t="s">
        <v>29</v>
      </c>
      <c r="I464">
        <v>2.9585752175923002E-2</v>
      </c>
      <c r="J464" t="s">
        <v>6</v>
      </c>
    </row>
    <row r="465" spans="2:10" x14ac:dyDescent="0.45">
      <c r="B465" t="s">
        <v>82</v>
      </c>
      <c r="C465" t="s">
        <v>30</v>
      </c>
      <c r="D465">
        <v>5.2079710120996554E-2</v>
      </c>
      <c r="E465" t="s">
        <v>6</v>
      </c>
      <c r="G465" t="s">
        <v>83</v>
      </c>
      <c r="H465" t="s">
        <v>30</v>
      </c>
      <c r="I465">
        <v>3.4400422565127944E-2</v>
      </c>
      <c r="J465" t="s">
        <v>6</v>
      </c>
    </row>
    <row r="466" spans="2:10" x14ac:dyDescent="0.45">
      <c r="B466" t="s">
        <v>82</v>
      </c>
      <c r="C466" t="s">
        <v>31</v>
      </c>
      <c r="D466">
        <v>2.9308887484562405E-3</v>
      </c>
      <c r="E466" t="s">
        <v>6</v>
      </c>
      <c r="G466" t="s">
        <v>83</v>
      </c>
      <c r="H466" t="s">
        <v>31</v>
      </c>
      <c r="I466">
        <v>3.6131543004764323E-2</v>
      </c>
      <c r="J466" t="s">
        <v>6</v>
      </c>
    </row>
    <row r="467" spans="2:10" x14ac:dyDescent="0.45">
      <c r="B467" t="s">
        <v>84</v>
      </c>
      <c r="C467" t="s">
        <v>5</v>
      </c>
      <c r="D467">
        <v>0</v>
      </c>
      <c r="E467" t="s">
        <v>6</v>
      </c>
      <c r="G467" t="s">
        <v>85</v>
      </c>
      <c r="H467" t="s">
        <v>5</v>
      </c>
      <c r="I467">
        <v>0.10752666008881903</v>
      </c>
      <c r="J467" t="s">
        <v>6</v>
      </c>
    </row>
    <row r="468" spans="2:10" x14ac:dyDescent="0.45">
      <c r="B468" t="s">
        <v>84</v>
      </c>
      <c r="C468" t="s">
        <v>9</v>
      </c>
      <c r="D468">
        <v>0</v>
      </c>
      <c r="E468" t="s">
        <v>6</v>
      </c>
      <c r="G468" t="s">
        <v>85</v>
      </c>
      <c r="H468" t="s">
        <v>9</v>
      </c>
      <c r="I468">
        <v>5.9597602653133804E-2</v>
      </c>
      <c r="J468" t="s">
        <v>6</v>
      </c>
    </row>
    <row r="469" spans="2:10" x14ac:dyDescent="0.45">
      <c r="B469" t="s">
        <v>84</v>
      </c>
      <c r="C469" t="s">
        <v>10</v>
      </c>
      <c r="D469">
        <v>3.9726283218505326E-2</v>
      </c>
      <c r="E469" t="s">
        <v>6</v>
      </c>
      <c r="G469" t="s">
        <v>85</v>
      </c>
      <c r="H469" t="s">
        <v>10</v>
      </c>
      <c r="I469">
        <v>3.9051504858583171E-2</v>
      </c>
      <c r="J469" t="s">
        <v>6</v>
      </c>
    </row>
    <row r="470" spans="2:10" x14ac:dyDescent="0.45">
      <c r="B470" t="s">
        <v>84</v>
      </c>
      <c r="C470" t="s">
        <v>11</v>
      </c>
      <c r="D470">
        <v>9.2093972622321871E-2</v>
      </c>
      <c r="E470" t="s">
        <v>6</v>
      </c>
      <c r="G470" t="s">
        <v>85</v>
      </c>
      <c r="H470" t="s">
        <v>11</v>
      </c>
      <c r="I470">
        <v>3.5874697221893473E-2</v>
      </c>
      <c r="J470" t="s">
        <v>6</v>
      </c>
    </row>
    <row r="471" spans="2:10" x14ac:dyDescent="0.45">
      <c r="B471" t="s">
        <v>84</v>
      </c>
      <c r="C471" t="s">
        <v>12</v>
      </c>
      <c r="D471">
        <v>6.2977456075284918E-2</v>
      </c>
      <c r="E471" t="s">
        <v>6</v>
      </c>
      <c r="G471" t="s">
        <v>85</v>
      </c>
      <c r="H471" t="s">
        <v>12</v>
      </c>
      <c r="I471">
        <v>3.9455646085440152E-2</v>
      </c>
      <c r="J471" t="s">
        <v>6</v>
      </c>
    </row>
    <row r="472" spans="2:10" x14ac:dyDescent="0.45">
      <c r="B472" t="s">
        <v>84</v>
      </c>
      <c r="C472" t="s">
        <v>13</v>
      </c>
      <c r="D472">
        <v>3.1747727161734406E-3</v>
      </c>
      <c r="E472" t="s">
        <v>6</v>
      </c>
      <c r="G472" t="s">
        <v>85</v>
      </c>
      <c r="H472" t="s">
        <v>13</v>
      </c>
      <c r="I472">
        <v>4.0803090798437212E-2</v>
      </c>
      <c r="J472" t="s">
        <v>6</v>
      </c>
    </row>
    <row r="473" spans="2:10" x14ac:dyDescent="0.45">
      <c r="B473" t="s">
        <v>84</v>
      </c>
      <c r="C473" t="s">
        <v>14</v>
      </c>
      <c r="D473">
        <v>0</v>
      </c>
      <c r="E473" t="s">
        <v>6</v>
      </c>
      <c r="G473" t="s">
        <v>85</v>
      </c>
      <c r="H473" t="s">
        <v>14</v>
      </c>
      <c r="I473">
        <v>0.10491595956787705</v>
      </c>
      <c r="J473" t="s">
        <v>6</v>
      </c>
    </row>
    <row r="474" spans="2:10" x14ac:dyDescent="0.45">
      <c r="B474" t="s">
        <v>84</v>
      </c>
      <c r="C474" t="s">
        <v>15</v>
      </c>
      <c r="D474">
        <v>5.7974530619929621E-3</v>
      </c>
      <c r="E474" t="s">
        <v>6</v>
      </c>
      <c r="G474" t="s">
        <v>85</v>
      </c>
      <c r="H474" t="s">
        <v>15</v>
      </c>
      <c r="I474">
        <v>4.8188884904269501E-2</v>
      </c>
      <c r="J474" t="s">
        <v>6</v>
      </c>
    </row>
    <row r="475" spans="2:10" x14ac:dyDescent="0.45">
      <c r="B475" t="s">
        <v>84</v>
      </c>
      <c r="C475" t="s">
        <v>16</v>
      </c>
      <c r="D475">
        <v>6.6822698605094571E-2</v>
      </c>
      <c r="E475" t="s">
        <v>6</v>
      </c>
      <c r="G475" t="s">
        <v>85</v>
      </c>
      <c r="H475" t="s">
        <v>16</v>
      </c>
      <c r="I475">
        <v>3.1096439347417796E-2</v>
      </c>
      <c r="J475" t="s">
        <v>6</v>
      </c>
    </row>
    <row r="476" spans="2:10" x14ac:dyDescent="0.45">
      <c r="B476" t="s">
        <v>84</v>
      </c>
      <c r="C476" t="s">
        <v>17</v>
      </c>
      <c r="D476">
        <v>0.10500425918834456</v>
      </c>
      <c r="E476" t="s">
        <v>6</v>
      </c>
      <c r="G476" t="s">
        <v>85</v>
      </c>
      <c r="H476" t="s">
        <v>17</v>
      </c>
      <c r="I476">
        <v>3.7499747260515873E-2</v>
      </c>
      <c r="J476" t="s">
        <v>6</v>
      </c>
    </row>
    <row r="477" spans="2:10" x14ac:dyDescent="0.45">
      <c r="B477" t="s">
        <v>84</v>
      </c>
      <c r="C477" t="s">
        <v>18</v>
      </c>
      <c r="D477">
        <v>7.6881033799982651E-2</v>
      </c>
      <c r="E477" t="s">
        <v>6</v>
      </c>
      <c r="G477" t="s">
        <v>85</v>
      </c>
      <c r="H477" t="s">
        <v>18</v>
      </c>
      <c r="I477">
        <v>4.4632633556517379E-2</v>
      </c>
      <c r="J477" t="s">
        <v>6</v>
      </c>
    </row>
    <row r="478" spans="2:10" x14ac:dyDescent="0.45">
      <c r="B478" t="s">
        <v>84</v>
      </c>
      <c r="C478" t="s">
        <v>19</v>
      </c>
      <c r="D478">
        <v>1.4587361941898729E-2</v>
      </c>
      <c r="E478" t="s">
        <v>6</v>
      </c>
      <c r="G478" t="s">
        <v>85</v>
      </c>
      <c r="H478" t="s">
        <v>19</v>
      </c>
      <c r="I478">
        <v>4.2664237695781655E-2</v>
      </c>
      <c r="J478" t="s">
        <v>6</v>
      </c>
    </row>
    <row r="479" spans="2:10" x14ac:dyDescent="0.45">
      <c r="B479" t="s">
        <v>84</v>
      </c>
      <c r="C479" t="s">
        <v>20</v>
      </c>
      <c r="D479">
        <v>2.1791139716559889E-6</v>
      </c>
      <c r="E479" t="s">
        <v>6</v>
      </c>
      <c r="G479" t="s">
        <v>85</v>
      </c>
      <c r="H479" t="s">
        <v>20</v>
      </c>
      <c r="I479">
        <v>5.2938196976302983E-2</v>
      </c>
      <c r="J479" t="s">
        <v>6</v>
      </c>
    </row>
    <row r="480" spans="2:10" x14ac:dyDescent="0.45">
      <c r="B480" t="s">
        <v>84</v>
      </c>
      <c r="C480" t="s">
        <v>21</v>
      </c>
      <c r="D480">
        <v>9.3931038186686813E-3</v>
      </c>
      <c r="E480" t="s">
        <v>6</v>
      </c>
      <c r="G480" t="s">
        <v>85</v>
      </c>
      <c r="H480" t="s">
        <v>21</v>
      </c>
      <c r="I480">
        <v>1.9490090184890899E-2</v>
      </c>
      <c r="J480" t="s">
        <v>6</v>
      </c>
    </row>
    <row r="481" spans="2:10" x14ac:dyDescent="0.45">
      <c r="B481" t="s">
        <v>84</v>
      </c>
      <c r="C481" t="s">
        <v>22</v>
      </c>
      <c r="D481">
        <v>7.8429293218329602E-2</v>
      </c>
      <c r="E481" t="s">
        <v>6</v>
      </c>
      <c r="G481" t="s">
        <v>85</v>
      </c>
      <c r="H481" t="s">
        <v>22</v>
      </c>
      <c r="I481">
        <v>1.206720062926489E-2</v>
      </c>
      <c r="J481" t="s">
        <v>6</v>
      </c>
    </row>
    <row r="482" spans="2:10" x14ac:dyDescent="0.45">
      <c r="B482" t="s">
        <v>84</v>
      </c>
      <c r="C482" t="s">
        <v>23</v>
      </c>
      <c r="D482">
        <v>0.11595804516213068</v>
      </c>
      <c r="E482" t="s">
        <v>6</v>
      </c>
      <c r="G482" t="s">
        <v>85</v>
      </c>
      <c r="H482" t="s">
        <v>23</v>
      </c>
      <c r="I482">
        <v>1.5423456901353539E-2</v>
      </c>
      <c r="J482" t="s">
        <v>6</v>
      </c>
    </row>
    <row r="483" spans="2:10" x14ac:dyDescent="0.45">
      <c r="B483" t="s">
        <v>84</v>
      </c>
      <c r="C483" t="s">
        <v>24</v>
      </c>
      <c r="D483">
        <v>8.6108469238907595E-2</v>
      </c>
      <c r="E483" t="s">
        <v>6</v>
      </c>
      <c r="G483" t="s">
        <v>85</v>
      </c>
      <c r="H483" t="s">
        <v>24</v>
      </c>
      <c r="I483">
        <v>1.8314629173646752E-2</v>
      </c>
      <c r="J483" t="s">
        <v>6</v>
      </c>
    </row>
    <row r="484" spans="2:10" x14ac:dyDescent="0.45">
      <c r="B484" t="s">
        <v>84</v>
      </c>
      <c r="C484" t="s">
        <v>25</v>
      </c>
      <c r="D484">
        <v>2.0996477989660232E-2</v>
      </c>
      <c r="E484" t="s">
        <v>6</v>
      </c>
      <c r="G484" t="s">
        <v>85</v>
      </c>
      <c r="H484" t="s">
        <v>25</v>
      </c>
      <c r="I484">
        <v>1.8300984311035766E-2</v>
      </c>
      <c r="J484" t="s">
        <v>6</v>
      </c>
    </row>
    <row r="485" spans="2:10" x14ac:dyDescent="0.45">
      <c r="B485" t="s">
        <v>84</v>
      </c>
      <c r="C485" t="s">
        <v>26</v>
      </c>
      <c r="D485">
        <v>0</v>
      </c>
      <c r="E485" t="s">
        <v>6</v>
      </c>
      <c r="G485" t="s">
        <v>85</v>
      </c>
      <c r="H485" t="s">
        <v>26</v>
      </c>
      <c r="I485">
        <v>8.2874140834254234E-2</v>
      </c>
      <c r="J485" t="s">
        <v>6</v>
      </c>
    </row>
    <row r="486" spans="2:10" x14ac:dyDescent="0.45">
      <c r="B486" t="s">
        <v>84</v>
      </c>
      <c r="C486" t="s">
        <v>27</v>
      </c>
      <c r="D486">
        <v>2.1848008918117748E-3</v>
      </c>
      <c r="E486" t="s">
        <v>6</v>
      </c>
      <c r="G486" t="s">
        <v>85</v>
      </c>
      <c r="H486" t="s">
        <v>27</v>
      </c>
      <c r="I486">
        <v>3.7661912530104216E-2</v>
      </c>
      <c r="J486" t="s">
        <v>6</v>
      </c>
    </row>
    <row r="487" spans="2:10" x14ac:dyDescent="0.45">
      <c r="B487" t="s">
        <v>84</v>
      </c>
      <c r="C487" t="s">
        <v>28</v>
      </c>
      <c r="D487">
        <v>5.5475746048307753E-2</v>
      </c>
      <c r="E487" t="s">
        <v>6</v>
      </c>
      <c r="G487" t="s">
        <v>85</v>
      </c>
      <c r="H487" t="s">
        <v>28</v>
      </c>
      <c r="I487">
        <v>2.3247636136875353E-2</v>
      </c>
      <c r="J487" t="s">
        <v>6</v>
      </c>
    </row>
    <row r="488" spans="2:10" x14ac:dyDescent="0.45">
      <c r="B488" t="s">
        <v>84</v>
      </c>
      <c r="C488" t="s">
        <v>29</v>
      </c>
      <c r="D488">
        <v>9.6991071380654062E-2</v>
      </c>
      <c r="E488" t="s">
        <v>6</v>
      </c>
      <c r="G488" t="s">
        <v>85</v>
      </c>
      <c r="H488" t="s">
        <v>29</v>
      </c>
      <c r="I488">
        <v>2.6169998163108645E-2</v>
      </c>
      <c r="J488" t="s">
        <v>6</v>
      </c>
    </row>
    <row r="489" spans="2:10" x14ac:dyDescent="0.45">
      <c r="B489" t="s">
        <v>84</v>
      </c>
      <c r="C489" t="s">
        <v>30</v>
      </c>
      <c r="D489">
        <v>6.2336456001141995E-2</v>
      </c>
      <c r="E489" t="s">
        <v>6</v>
      </c>
      <c r="G489" t="s">
        <v>85</v>
      </c>
      <c r="H489" t="s">
        <v>30</v>
      </c>
      <c r="I489">
        <v>2.9931185342314929E-2</v>
      </c>
      <c r="J489" t="s">
        <v>6</v>
      </c>
    </row>
    <row r="490" spans="2:10" x14ac:dyDescent="0.45">
      <c r="B490" t="s">
        <v>84</v>
      </c>
      <c r="C490" t="s">
        <v>31</v>
      </c>
      <c r="D490">
        <v>5.0590659068182999E-3</v>
      </c>
      <c r="E490" t="s">
        <v>6</v>
      </c>
      <c r="G490" t="s">
        <v>85</v>
      </c>
      <c r="H490" t="s">
        <v>31</v>
      </c>
      <c r="I490">
        <v>3.2273464778164597E-2</v>
      </c>
      <c r="J490" t="s">
        <v>6</v>
      </c>
    </row>
    <row r="491" spans="2:10" x14ac:dyDescent="0.45">
      <c r="B491" t="s">
        <v>86</v>
      </c>
      <c r="C491" t="s">
        <v>5</v>
      </c>
      <c r="D491">
        <v>0</v>
      </c>
      <c r="E491" t="s">
        <v>6</v>
      </c>
      <c r="G491" t="s">
        <v>87</v>
      </c>
      <c r="H491" t="s">
        <v>5</v>
      </c>
      <c r="I491">
        <v>0.10938925553666448</v>
      </c>
      <c r="J491" t="s">
        <v>6</v>
      </c>
    </row>
    <row r="492" spans="2:10" x14ac:dyDescent="0.45">
      <c r="B492" t="s">
        <v>86</v>
      </c>
      <c r="C492" t="s">
        <v>9</v>
      </c>
      <c r="D492">
        <v>6.4706848287051043E-6</v>
      </c>
      <c r="E492" t="s">
        <v>6</v>
      </c>
      <c r="G492" t="s">
        <v>87</v>
      </c>
      <c r="H492" t="s">
        <v>9</v>
      </c>
      <c r="I492">
        <v>5.4606763122212625E-2</v>
      </c>
      <c r="J492" t="s">
        <v>6</v>
      </c>
    </row>
    <row r="493" spans="2:10" x14ac:dyDescent="0.45">
      <c r="B493" t="s">
        <v>86</v>
      </c>
      <c r="C493" t="s">
        <v>10</v>
      </c>
      <c r="D493">
        <v>3.9907902414736435E-2</v>
      </c>
      <c r="E493" t="s">
        <v>6</v>
      </c>
      <c r="G493" t="s">
        <v>87</v>
      </c>
      <c r="H493" t="s">
        <v>10</v>
      </c>
      <c r="I493">
        <v>3.4867352457333467E-2</v>
      </c>
      <c r="J493" t="s">
        <v>6</v>
      </c>
    </row>
    <row r="494" spans="2:10" x14ac:dyDescent="0.45">
      <c r="B494" t="s">
        <v>86</v>
      </c>
      <c r="C494" t="s">
        <v>11</v>
      </c>
      <c r="D494">
        <v>8.896336658640229E-2</v>
      </c>
      <c r="E494" t="s">
        <v>6</v>
      </c>
      <c r="G494" t="s">
        <v>87</v>
      </c>
      <c r="H494" t="s">
        <v>11</v>
      </c>
      <c r="I494">
        <v>3.1424593614836051E-2</v>
      </c>
      <c r="J494" t="s">
        <v>6</v>
      </c>
    </row>
    <row r="495" spans="2:10" x14ac:dyDescent="0.45">
      <c r="B495" t="s">
        <v>86</v>
      </c>
      <c r="C495" t="s">
        <v>12</v>
      </c>
      <c r="D495">
        <v>5.7419510412438514E-2</v>
      </c>
      <c r="E495" t="s">
        <v>6</v>
      </c>
      <c r="G495" t="s">
        <v>87</v>
      </c>
      <c r="H495" t="s">
        <v>12</v>
      </c>
      <c r="I495">
        <v>3.4905190975938714E-2</v>
      </c>
      <c r="J495" t="s">
        <v>6</v>
      </c>
    </row>
    <row r="496" spans="2:10" x14ac:dyDescent="0.45">
      <c r="B496" t="s">
        <v>86</v>
      </c>
      <c r="C496" t="s">
        <v>13</v>
      </c>
      <c r="D496">
        <v>2.4094940198470314E-3</v>
      </c>
      <c r="E496" t="s">
        <v>6</v>
      </c>
      <c r="G496" t="s">
        <v>87</v>
      </c>
      <c r="H496" t="s">
        <v>13</v>
      </c>
      <c r="I496">
        <v>3.8054273471224337E-2</v>
      </c>
      <c r="J496" t="s">
        <v>6</v>
      </c>
    </row>
    <row r="497" spans="2:10" x14ac:dyDescent="0.45">
      <c r="B497" t="s">
        <v>86</v>
      </c>
      <c r="C497" t="s">
        <v>14</v>
      </c>
      <c r="D497">
        <v>0</v>
      </c>
      <c r="E497" t="s">
        <v>6</v>
      </c>
      <c r="G497" t="s">
        <v>87</v>
      </c>
      <c r="H497" t="s">
        <v>14</v>
      </c>
      <c r="I497">
        <v>0.1018114331904544</v>
      </c>
      <c r="J497" t="s">
        <v>6</v>
      </c>
    </row>
    <row r="498" spans="2:10" x14ac:dyDescent="0.45">
      <c r="B498" t="s">
        <v>86</v>
      </c>
      <c r="C498" t="s">
        <v>15</v>
      </c>
      <c r="D498">
        <v>7.3126931125073753E-3</v>
      </c>
      <c r="E498" t="s">
        <v>6</v>
      </c>
      <c r="G498" t="s">
        <v>87</v>
      </c>
      <c r="H498" t="s">
        <v>15</v>
      </c>
      <c r="I498">
        <v>4.6849085581383447E-2</v>
      </c>
      <c r="J498" t="s">
        <v>6</v>
      </c>
    </row>
    <row r="499" spans="2:10" x14ac:dyDescent="0.45">
      <c r="B499" t="s">
        <v>86</v>
      </c>
      <c r="C499" t="s">
        <v>16</v>
      </c>
      <c r="D499">
        <v>6.7819636660721327E-2</v>
      </c>
      <c r="E499" t="s">
        <v>6</v>
      </c>
      <c r="G499" t="s">
        <v>87</v>
      </c>
      <c r="H499" t="s">
        <v>16</v>
      </c>
      <c r="I499">
        <v>2.7979419278419487E-2</v>
      </c>
      <c r="J499" t="s">
        <v>6</v>
      </c>
    </row>
    <row r="500" spans="2:10" x14ac:dyDescent="0.45">
      <c r="B500" t="s">
        <v>86</v>
      </c>
      <c r="C500" t="s">
        <v>17</v>
      </c>
      <c r="D500">
        <v>0.10271335503165636</v>
      </c>
      <c r="E500" t="s">
        <v>6</v>
      </c>
      <c r="G500" t="s">
        <v>87</v>
      </c>
      <c r="H500" t="s">
        <v>17</v>
      </c>
      <c r="I500">
        <v>3.3915248385852484E-2</v>
      </c>
      <c r="J500" t="s">
        <v>6</v>
      </c>
    </row>
    <row r="501" spans="2:10" x14ac:dyDescent="0.45">
      <c r="B501" t="s">
        <v>86</v>
      </c>
      <c r="C501" t="s">
        <v>18</v>
      </c>
      <c r="D501">
        <v>7.5708565925845836E-2</v>
      </c>
      <c r="E501" t="s">
        <v>6</v>
      </c>
      <c r="G501" t="s">
        <v>87</v>
      </c>
      <c r="H501" t="s">
        <v>18</v>
      </c>
      <c r="I501">
        <v>4.1071133067578057E-2</v>
      </c>
      <c r="J501" t="s">
        <v>6</v>
      </c>
    </row>
    <row r="502" spans="2:10" x14ac:dyDescent="0.45">
      <c r="B502" t="s">
        <v>86</v>
      </c>
      <c r="C502" t="s">
        <v>19</v>
      </c>
      <c r="D502">
        <v>1.3418813423042974E-2</v>
      </c>
      <c r="E502" t="s">
        <v>6</v>
      </c>
      <c r="G502" t="s">
        <v>87</v>
      </c>
      <c r="H502" t="s">
        <v>19</v>
      </c>
      <c r="I502">
        <v>3.9349409586449134E-2</v>
      </c>
      <c r="J502" t="s">
        <v>6</v>
      </c>
    </row>
    <row r="503" spans="2:10" x14ac:dyDescent="0.45">
      <c r="B503" t="s">
        <v>86</v>
      </c>
      <c r="C503" t="s">
        <v>20</v>
      </c>
      <c r="D503">
        <v>0</v>
      </c>
      <c r="E503" t="s">
        <v>6</v>
      </c>
      <c r="G503" t="s">
        <v>87</v>
      </c>
      <c r="H503" t="s">
        <v>20</v>
      </c>
      <c r="I503">
        <v>6.1652627809138737E-2</v>
      </c>
      <c r="J503" t="s">
        <v>6</v>
      </c>
    </row>
    <row r="504" spans="2:10" x14ac:dyDescent="0.45">
      <c r="B504" t="s">
        <v>86</v>
      </c>
      <c r="C504" t="s">
        <v>21</v>
      </c>
      <c r="D504">
        <v>1.1793597154876823E-2</v>
      </c>
      <c r="E504" t="s">
        <v>6</v>
      </c>
      <c r="G504" t="s">
        <v>87</v>
      </c>
      <c r="H504" t="s">
        <v>21</v>
      </c>
      <c r="I504">
        <v>1.9213332194868829E-2</v>
      </c>
      <c r="J504" t="s">
        <v>6</v>
      </c>
    </row>
    <row r="505" spans="2:10" x14ac:dyDescent="0.45">
      <c r="B505" t="s">
        <v>86</v>
      </c>
      <c r="C505" t="s">
        <v>22</v>
      </c>
      <c r="D505">
        <v>8.5616048207918946E-2</v>
      </c>
      <c r="E505" t="s">
        <v>6</v>
      </c>
      <c r="G505" t="s">
        <v>87</v>
      </c>
      <c r="H505" t="s">
        <v>22</v>
      </c>
      <c r="I505">
        <v>1.0737916344624239E-2</v>
      </c>
      <c r="J505" t="s">
        <v>6</v>
      </c>
    </row>
    <row r="506" spans="2:10" x14ac:dyDescent="0.45">
      <c r="B506" t="s">
        <v>86</v>
      </c>
      <c r="C506" t="s">
        <v>23</v>
      </c>
      <c r="D506">
        <v>0.12479327647104599</v>
      </c>
      <c r="E506" t="s">
        <v>6</v>
      </c>
      <c r="G506" t="s">
        <v>87</v>
      </c>
      <c r="H506" t="s">
        <v>23</v>
      </c>
      <c r="I506">
        <v>1.3682990778345418E-2</v>
      </c>
      <c r="J506" t="s">
        <v>6</v>
      </c>
    </row>
    <row r="507" spans="2:10" x14ac:dyDescent="0.45">
      <c r="B507" t="s">
        <v>86</v>
      </c>
      <c r="C507" t="s">
        <v>24</v>
      </c>
      <c r="D507">
        <v>9.3821887280016572E-2</v>
      </c>
      <c r="E507" t="s">
        <v>6</v>
      </c>
      <c r="G507" t="s">
        <v>87</v>
      </c>
      <c r="H507" t="s">
        <v>24</v>
      </c>
      <c r="I507">
        <v>1.8492707148104061E-2</v>
      </c>
      <c r="J507" t="s">
        <v>6</v>
      </c>
    </row>
    <row r="508" spans="2:10" x14ac:dyDescent="0.45">
      <c r="B508" t="s">
        <v>86</v>
      </c>
      <c r="C508" t="s">
        <v>25</v>
      </c>
      <c r="D508">
        <v>2.0997757112174744E-2</v>
      </c>
      <c r="E508" t="s">
        <v>6</v>
      </c>
      <c r="G508" t="s">
        <v>87</v>
      </c>
      <c r="H508" t="s">
        <v>25</v>
      </c>
      <c r="I508">
        <v>2.1316307049277561E-2</v>
      </c>
      <c r="J508" t="s">
        <v>6</v>
      </c>
    </row>
    <row r="509" spans="2:10" x14ac:dyDescent="0.45">
      <c r="B509" t="s">
        <v>86</v>
      </c>
      <c r="C509" t="s">
        <v>26</v>
      </c>
      <c r="D509">
        <v>0</v>
      </c>
      <c r="E509" t="s">
        <v>6</v>
      </c>
      <c r="G509" t="s">
        <v>87</v>
      </c>
      <c r="H509" t="s">
        <v>26</v>
      </c>
      <c r="I509">
        <v>9.4250192967905308E-2</v>
      </c>
      <c r="J509" t="s">
        <v>6</v>
      </c>
    </row>
    <row r="510" spans="2:10" x14ac:dyDescent="0.45">
      <c r="B510" t="s">
        <v>86</v>
      </c>
      <c r="C510" t="s">
        <v>27</v>
      </c>
      <c r="D510">
        <v>2.6894599852571935E-3</v>
      </c>
      <c r="E510" t="s">
        <v>6</v>
      </c>
      <c r="G510" t="s">
        <v>87</v>
      </c>
      <c r="H510" t="s">
        <v>27</v>
      </c>
      <c r="I510">
        <v>4.4203181192383978E-2</v>
      </c>
      <c r="J510" t="s">
        <v>6</v>
      </c>
    </row>
    <row r="511" spans="2:10" x14ac:dyDescent="0.45">
      <c r="B511" t="s">
        <v>86</v>
      </c>
      <c r="C511" t="s">
        <v>28</v>
      </c>
      <c r="D511">
        <v>5.4070334151417911E-2</v>
      </c>
      <c r="E511" t="s">
        <v>6</v>
      </c>
      <c r="G511" t="s">
        <v>87</v>
      </c>
      <c r="H511" t="s">
        <v>28</v>
      </c>
      <c r="I511">
        <v>2.7755718803064062E-2</v>
      </c>
      <c r="J511" t="s">
        <v>6</v>
      </c>
    </row>
    <row r="512" spans="2:10" x14ac:dyDescent="0.45">
      <c r="B512" t="s">
        <v>86</v>
      </c>
      <c r="C512" t="s">
        <v>29</v>
      </c>
      <c r="D512">
        <v>9.0663346050439242E-2</v>
      </c>
      <c r="E512" t="s">
        <v>6</v>
      </c>
      <c r="G512" t="s">
        <v>87</v>
      </c>
      <c r="H512" t="s">
        <v>29</v>
      </c>
      <c r="I512">
        <v>2.847858508342449E-2</v>
      </c>
      <c r="J512" t="s">
        <v>6</v>
      </c>
    </row>
    <row r="513" spans="2:10" x14ac:dyDescent="0.45">
      <c r="B513" t="s">
        <v>86</v>
      </c>
      <c r="C513" t="s">
        <v>30</v>
      </c>
      <c r="D513">
        <v>5.6019960452378836E-2</v>
      </c>
      <c r="E513" t="s">
        <v>6</v>
      </c>
      <c r="G513" t="s">
        <v>87</v>
      </c>
      <c r="H513" t="s">
        <v>30</v>
      </c>
      <c r="I513">
        <v>3.168927541716042E-2</v>
      </c>
      <c r="J513" t="s">
        <v>6</v>
      </c>
    </row>
    <row r="514" spans="2:10" x14ac:dyDescent="0.45">
      <c r="B514" t="s">
        <v>86</v>
      </c>
      <c r="C514" t="s">
        <v>31</v>
      </c>
      <c r="D514">
        <v>3.8545248624450679E-3</v>
      </c>
      <c r="E514" t="s">
        <v>6</v>
      </c>
      <c r="G514" t="s">
        <v>87</v>
      </c>
      <c r="H514" t="s">
        <v>31</v>
      </c>
      <c r="I514">
        <v>3.4304006943357099E-2</v>
      </c>
      <c r="J514" t="s">
        <v>6</v>
      </c>
    </row>
    <row r="515" spans="2:10" x14ac:dyDescent="0.45">
      <c r="B515" t="s">
        <v>88</v>
      </c>
      <c r="C515" t="s">
        <v>5</v>
      </c>
      <c r="D515">
        <v>0</v>
      </c>
      <c r="E515" t="s">
        <v>6</v>
      </c>
      <c r="G515" t="s">
        <v>89</v>
      </c>
      <c r="H515" t="s">
        <v>5</v>
      </c>
      <c r="I515">
        <v>9.5065257747370485E-2</v>
      </c>
      <c r="J515" t="s">
        <v>6</v>
      </c>
    </row>
    <row r="516" spans="2:10" x14ac:dyDescent="0.45">
      <c r="B516" t="s">
        <v>88</v>
      </c>
      <c r="C516" t="s">
        <v>9</v>
      </c>
      <c r="D516">
        <v>0</v>
      </c>
      <c r="E516" t="s">
        <v>6</v>
      </c>
      <c r="G516" t="s">
        <v>89</v>
      </c>
      <c r="H516" t="s">
        <v>9</v>
      </c>
      <c r="I516">
        <v>4.7158740475993464E-2</v>
      </c>
      <c r="J516" t="s">
        <v>6</v>
      </c>
    </row>
    <row r="517" spans="2:10" x14ac:dyDescent="0.45">
      <c r="B517" t="s">
        <v>88</v>
      </c>
      <c r="C517" t="s">
        <v>10</v>
      </c>
      <c r="D517">
        <v>3.1732359789562868E-2</v>
      </c>
      <c r="E517" t="s">
        <v>6</v>
      </c>
      <c r="G517" t="s">
        <v>89</v>
      </c>
      <c r="H517" t="s">
        <v>10</v>
      </c>
      <c r="I517">
        <v>3.3151224595025681E-2</v>
      </c>
      <c r="J517" t="s">
        <v>6</v>
      </c>
    </row>
    <row r="518" spans="2:10" x14ac:dyDescent="0.45">
      <c r="B518" t="s">
        <v>88</v>
      </c>
      <c r="C518" t="s">
        <v>11</v>
      </c>
      <c r="D518">
        <v>8.490725439374322E-2</v>
      </c>
      <c r="E518" t="s">
        <v>6</v>
      </c>
      <c r="G518" t="s">
        <v>89</v>
      </c>
      <c r="H518" t="s">
        <v>11</v>
      </c>
      <c r="I518">
        <v>3.3097056955783764E-2</v>
      </c>
      <c r="J518" t="s">
        <v>6</v>
      </c>
    </row>
    <row r="519" spans="2:10" x14ac:dyDescent="0.45">
      <c r="B519" t="s">
        <v>88</v>
      </c>
      <c r="C519" t="s">
        <v>12</v>
      </c>
      <c r="D519">
        <v>5.9705004049379243E-2</v>
      </c>
      <c r="E519" t="s">
        <v>6</v>
      </c>
      <c r="G519" t="s">
        <v>89</v>
      </c>
      <c r="H519" t="s">
        <v>12</v>
      </c>
      <c r="I519">
        <v>3.638677311317625E-2</v>
      </c>
      <c r="J519" t="s">
        <v>6</v>
      </c>
    </row>
    <row r="520" spans="2:10" x14ac:dyDescent="0.45">
      <c r="B520" t="s">
        <v>88</v>
      </c>
      <c r="C520" t="s">
        <v>13</v>
      </c>
      <c r="D520">
        <v>3.058118561756959E-3</v>
      </c>
      <c r="E520" t="s">
        <v>6</v>
      </c>
      <c r="G520" t="s">
        <v>89</v>
      </c>
      <c r="H520" t="s">
        <v>13</v>
      </c>
      <c r="I520">
        <v>3.7373137950389164E-2</v>
      </c>
      <c r="J520" t="s">
        <v>6</v>
      </c>
    </row>
    <row r="521" spans="2:10" x14ac:dyDescent="0.45">
      <c r="B521" t="s">
        <v>88</v>
      </c>
      <c r="C521" t="s">
        <v>14</v>
      </c>
      <c r="D521">
        <v>0</v>
      </c>
      <c r="E521" t="s">
        <v>6</v>
      </c>
      <c r="G521" t="s">
        <v>89</v>
      </c>
      <c r="H521" t="s">
        <v>14</v>
      </c>
      <c r="I521">
        <v>9.1517357983314646E-2</v>
      </c>
      <c r="J521" t="s">
        <v>6</v>
      </c>
    </row>
    <row r="522" spans="2:10" x14ac:dyDescent="0.45">
      <c r="B522" t="s">
        <v>88</v>
      </c>
      <c r="C522" t="s">
        <v>15</v>
      </c>
      <c r="D522">
        <v>5.3467425406132901E-3</v>
      </c>
      <c r="E522" t="s">
        <v>6</v>
      </c>
      <c r="G522" t="s">
        <v>89</v>
      </c>
      <c r="H522" t="s">
        <v>15</v>
      </c>
      <c r="I522">
        <v>4.2363819082527537E-2</v>
      </c>
      <c r="J522" t="s">
        <v>6</v>
      </c>
    </row>
    <row r="523" spans="2:10" x14ac:dyDescent="0.45">
      <c r="B523" t="s">
        <v>88</v>
      </c>
      <c r="C523" t="s">
        <v>16</v>
      </c>
      <c r="D523">
        <v>6.6150956371234512E-2</v>
      </c>
      <c r="E523" t="s">
        <v>6</v>
      </c>
      <c r="G523" t="s">
        <v>89</v>
      </c>
      <c r="H523" t="s">
        <v>16</v>
      </c>
      <c r="I523">
        <v>2.9707927462863343E-2</v>
      </c>
      <c r="J523" t="s">
        <v>6</v>
      </c>
    </row>
    <row r="524" spans="2:10" x14ac:dyDescent="0.45">
      <c r="B524" t="s">
        <v>88</v>
      </c>
      <c r="C524" t="s">
        <v>17</v>
      </c>
      <c r="D524">
        <v>0.11244084677917514</v>
      </c>
      <c r="E524" t="s">
        <v>6</v>
      </c>
      <c r="G524" t="s">
        <v>89</v>
      </c>
      <c r="H524" t="s">
        <v>17</v>
      </c>
      <c r="I524">
        <v>3.2977821947995083E-2</v>
      </c>
      <c r="J524" t="s">
        <v>6</v>
      </c>
    </row>
    <row r="525" spans="2:10" x14ac:dyDescent="0.45">
      <c r="B525" t="s">
        <v>88</v>
      </c>
      <c r="C525" t="s">
        <v>18</v>
      </c>
      <c r="D525">
        <v>8.3326917763470343E-2</v>
      </c>
      <c r="E525" t="s">
        <v>6</v>
      </c>
      <c r="G525" t="s">
        <v>89</v>
      </c>
      <c r="H525" t="s">
        <v>18</v>
      </c>
      <c r="I525">
        <v>3.8645746929033387E-2</v>
      </c>
      <c r="J525" t="s">
        <v>6</v>
      </c>
    </row>
    <row r="526" spans="2:10" x14ac:dyDescent="0.45">
      <c r="B526" t="s">
        <v>88</v>
      </c>
      <c r="C526" t="s">
        <v>19</v>
      </c>
      <c r="D526">
        <v>1.6069552354624619E-2</v>
      </c>
      <c r="E526" t="s">
        <v>6</v>
      </c>
      <c r="G526" t="s">
        <v>89</v>
      </c>
      <c r="H526" t="s">
        <v>19</v>
      </c>
      <c r="I526">
        <v>3.7020947137584796E-2</v>
      </c>
      <c r="J526" t="s">
        <v>6</v>
      </c>
    </row>
    <row r="527" spans="2:10" x14ac:dyDescent="0.45">
      <c r="B527" t="s">
        <v>88</v>
      </c>
      <c r="C527" t="s">
        <v>20</v>
      </c>
      <c r="D527">
        <v>1.1906270744176949E-6</v>
      </c>
      <c r="E527" t="s">
        <v>6</v>
      </c>
      <c r="G527" t="s">
        <v>89</v>
      </c>
      <c r="H527" t="s">
        <v>20</v>
      </c>
      <c r="I527">
        <v>6.1896896596357089E-2</v>
      </c>
      <c r="J527" t="s">
        <v>6</v>
      </c>
    </row>
    <row r="528" spans="2:10" x14ac:dyDescent="0.45">
      <c r="B528" t="s">
        <v>88</v>
      </c>
      <c r="C528" t="s">
        <v>21</v>
      </c>
      <c r="D528">
        <v>8.8619874748240707E-3</v>
      </c>
      <c r="E528" t="s">
        <v>6</v>
      </c>
      <c r="G528" t="s">
        <v>89</v>
      </c>
      <c r="H528" t="s">
        <v>21</v>
      </c>
      <c r="I528">
        <v>2.3894291381259841E-2</v>
      </c>
      <c r="J528" t="s">
        <v>6</v>
      </c>
    </row>
    <row r="529" spans="2:10" x14ac:dyDescent="0.45">
      <c r="B529" t="s">
        <v>88</v>
      </c>
      <c r="C529" t="s">
        <v>22</v>
      </c>
      <c r="D529">
        <v>7.9117771661562294E-2</v>
      </c>
      <c r="E529" t="s">
        <v>6</v>
      </c>
      <c r="G529" t="s">
        <v>89</v>
      </c>
      <c r="H529" t="s">
        <v>22</v>
      </c>
      <c r="I529">
        <v>1.5495568753872349E-2</v>
      </c>
      <c r="J529" t="s">
        <v>6</v>
      </c>
    </row>
    <row r="530" spans="2:10" x14ac:dyDescent="0.45">
      <c r="B530" t="s">
        <v>88</v>
      </c>
      <c r="C530" t="s">
        <v>23</v>
      </c>
      <c r="D530">
        <v>0.12773782860853111</v>
      </c>
      <c r="E530" t="s">
        <v>6</v>
      </c>
      <c r="G530" t="s">
        <v>89</v>
      </c>
      <c r="H530" t="s">
        <v>23</v>
      </c>
      <c r="I530">
        <v>1.8274610591561581E-2</v>
      </c>
      <c r="J530" t="s">
        <v>6</v>
      </c>
    </row>
    <row r="531" spans="2:10" x14ac:dyDescent="0.45">
      <c r="B531" t="s">
        <v>88</v>
      </c>
      <c r="C531" t="s">
        <v>24</v>
      </c>
      <c r="D531">
        <v>9.8972185876191915E-2</v>
      </c>
      <c r="E531" t="s">
        <v>6</v>
      </c>
      <c r="G531" t="s">
        <v>89</v>
      </c>
      <c r="H531" t="s">
        <v>24</v>
      </c>
      <c r="I531">
        <v>2.0436865529023261E-2</v>
      </c>
      <c r="J531" t="s">
        <v>6</v>
      </c>
    </row>
    <row r="532" spans="2:10" x14ac:dyDescent="0.45">
      <c r="B532" t="s">
        <v>88</v>
      </c>
      <c r="C532" t="s">
        <v>25</v>
      </c>
      <c r="D532">
        <v>2.4312304265084017E-2</v>
      </c>
      <c r="E532" t="s">
        <v>6</v>
      </c>
      <c r="G532" t="s">
        <v>89</v>
      </c>
      <c r="H532" t="s">
        <v>25</v>
      </c>
      <c r="I532">
        <v>2.0521556433598567E-2</v>
      </c>
      <c r="J532" t="s">
        <v>6</v>
      </c>
    </row>
    <row r="533" spans="2:10" x14ac:dyDescent="0.45">
      <c r="B533" t="s">
        <v>88</v>
      </c>
      <c r="C533" t="s">
        <v>26</v>
      </c>
      <c r="D533">
        <v>0</v>
      </c>
      <c r="E533" t="s">
        <v>6</v>
      </c>
      <c r="G533" t="s">
        <v>89</v>
      </c>
      <c r="H533" t="s">
        <v>26</v>
      </c>
      <c r="I533">
        <v>9.7875563539316784E-2</v>
      </c>
      <c r="J533" t="s">
        <v>6</v>
      </c>
    </row>
    <row r="534" spans="2:10" x14ac:dyDescent="0.45">
      <c r="B534" t="s">
        <v>88</v>
      </c>
      <c r="C534" t="s">
        <v>27</v>
      </c>
      <c r="D534">
        <v>1.6414475710787311E-3</v>
      </c>
      <c r="E534" t="s">
        <v>6</v>
      </c>
      <c r="G534" t="s">
        <v>89</v>
      </c>
      <c r="H534" t="s">
        <v>27</v>
      </c>
      <c r="I534">
        <v>4.6748505132872112E-2</v>
      </c>
      <c r="J534" t="s">
        <v>6</v>
      </c>
    </row>
    <row r="535" spans="2:10" x14ac:dyDescent="0.45">
      <c r="B535" t="s">
        <v>88</v>
      </c>
      <c r="C535" t="s">
        <v>28</v>
      </c>
      <c r="D535">
        <v>4.8063056721891331E-2</v>
      </c>
      <c r="E535" t="s">
        <v>6</v>
      </c>
      <c r="G535" t="s">
        <v>89</v>
      </c>
      <c r="H535" t="s">
        <v>28</v>
      </c>
      <c r="I535">
        <v>3.2796033228394791E-2</v>
      </c>
      <c r="J535" t="s">
        <v>6</v>
      </c>
    </row>
    <row r="536" spans="2:10" x14ac:dyDescent="0.45">
      <c r="B536" t="s">
        <v>88</v>
      </c>
      <c r="C536" t="s">
        <v>29</v>
      </c>
      <c r="D536">
        <v>8.6639746558540828E-2</v>
      </c>
      <c r="E536" t="s">
        <v>6</v>
      </c>
      <c r="G536" t="s">
        <v>89</v>
      </c>
      <c r="H536" t="s">
        <v>29</v>
      </c>
      <c r="I536">
        <v>3.4668616476011799E-2</v>
      </c>
      <c r="J536" t="s">
        <v>6</v>
      </c>
    </row>
    <row r="537" spans="2:10" x14ac:dyDescent="0.45">
      <c r="B537" t="s">
        <v>88</v>
      </c>
      <c r="C537" t="s">
        <v>30</v>
      </c>
      <c r="D537">
        <v>5.67992336669155E-2</v>
      </c>
      <c r="E537" t="s">
        <v>6</v>
      </c>
      <c r="G537" t="s">
        <v>89</v>
      </c>
      <c r="H537" t="s">
        <v>30</v>
      </c>
      <c r="I537">
        <v>3.6084124126930912E-2</v>
      </c>
      <c r="J537" t="s">
        <v>6</v>
      </c>
    </row>
    <row r="538" spans="2:10" x14ac:dyDescent="0.45">
      <c r="B538" t="s">
        <v>88</v>
      </c>
      <c r="C538" t="s">
        <v>31</v>
      </c>
      <c r="D538">
        <v>5.1154943647461447E-3</v>
      </c>
      <c r="E538" t="s">
        <v>6</v>
      </c>
      <c r="G538" t="s">
        <v>89</v>
      </c>
      <c r="H538" t="s">
        <v>31</v>
      </c>
      <c r="I538">
        <v>3.6841556829744021E-2</v>
      </c>
      <c r="J538" t="s">
        <v>6</v>
      </c>
    </row>
    <row r="539" spans="2:10" x14ac:dyDescent="0.45">
      <c r="B539" t="s">
        <v>90</v>
      </c>
      <c r="C539" t="s">
        <v>5</v>
      </c>
      <c r="D539">
        <v>0</v>
      </c>
      <c r="E539" t="s">
        <v>6</v>
      </c>
      <c r="G539" t="s">
        <v>91</v>
      </c>
      <c r="H539" t="s">
        <v>5</v>
      </c>
      <c r="I539">
        <v>0.10145211877646548</v>
      </c>
      <c r="J539" t="s">
        <v>6</v>
      </c>
    </row>
    <row r="540" spans="2:10" x14ac:dyDescent="0.45">
      <c r="B540" t="s">
        <v>90</v>
      </c>
      <c r="C540" t="s">
        <v>9</v>
      </c>
      <c r="D540">
        <v>0</v>
      </c>
      <c r="E540" t="s">
        <v>6</v>
      </c>
      <c r="G540" t="s">
        <v>91</v>
      </c>
      <c r="H540" t="s">
        <v>9</v>
      </c>
      <c r="I540">
        <v>5.5564543992678503E-2</v>
      </c>
      <c r="J540" t="s">
        <v>6</v>
      </c>
    </row>
    <row r="541" spans="2:10" x14ac:dyDescent="0.45">
      <c r="B541" t="s">
        <v>90</v>
      </c>
      <c r="C541" t="s">
        <v>10</v>
      </c>
      <c r="D541">
        <v>3.111764861671296E-2</v>
      </c>
      <c r="E541" t="s">
        <v>6</v>
      </c>
      <c r="G541" t="s">
        <v>91</v>
      </c>
      <c r="H541" t="s">
        <v>10</v>
      </c>
      <c r="I541">
        <v>3.9269526494500127E-2</v>
      </c>
      <c r="J541" t="s">
        <v>6</v>
      </c>
    </row>
    <row r="542" spans="2:10" x14ac:dyDescent="0.45">
      <c r="B542" t="s">
        <v>90</v>
      </c>
      <c r="C542" t="s">
        <v>11</v>
      </c>
      <c r="D542">
        <v>8.7508211658854432E-2</v>
      </c>
      <c r="E542" t="s">
        <v>6</v>
      </c>
      <c r="G542" t="s">
        <v>91</v>
      </c>
      <c r="H542" t="s">
        <v>11</v>
      </c>
      <c r="I542">
        <v>4.0252322916215791E-2</v>
      </c>
      <c r="J542" t="s">
        <v>6</v>
      </c>
    </row>
    <row r="543" spans="2:10" x14ac:dyDescent="0.45">
      <c r="B543" t="s">
        <v>90</v>
      </c>
      <c r="C543" t="s">
        <v>12</v>
      </c>
      <c r="D543">
        <v>6.171169048071902E-2</v>
      </c>
      <c r="E543" t="s">
        <v>6</v>
      </c>
      <c r="G543" t="s">
        <v>91</v>
      </c>
      <c r="H543" t="s">
        <v>12</v>
      </c>
      <c r="I543">
        <v>4.3162283123658503E-2</v>
      </c>
      <c r="J543" t="s">
        <v>6</v>
      </c>
    </row>
    <row r="544" spans="2:10" x14ac:dyDescent="0.45">
      <c r="B544" t="s">
        <v>90</v>
      </c>
      <c r="C544" t="s">
        <v>13</v>
      </c>
      <c r="D544">
        <v>3.5461787696992103E-3</v>
      </c>
      <c r="E544" t="s">
        <v>6</v>
      </c>
      <c r="G544" t="s">
        <v>91</v>
      </c>
      <c r="H544" t="s">
        <v>13</v>
      </c>
      <c r="I544">
        <v>3.8354119640789136E-2</v>
      </c>
      <c r="J544" t="s">
        <v>6</v>
      </c>
    </row>
    <row r="545" spans="2:10" x14ac:dyDescent="0.45">
      <c r="B545" t="s">
        <v>90</v>
      </c>
      <c r="C545" t="s">
        <v>14</v>
      </c>
      <c r="D545">
        <v>0</v>
      </c>
      <c r="E545" t="s">
        <v>6</v>
      </c>
      <c r="G545" t="s">
        <v>91</v>
      </c>
      <c r="H545" t="s">
        <v>14</v>
      </c>
      <c r="I545">
        <v>7.2660979829674927E-2</v>
      </c>
      <c r="J545" t="s">
        <v>6</v>
      </c>
    </row>
    <row r="546" spans="2:10" x14ac:dyDescent="0.45">
      <c r="B546" t="s">
        <v>90</v>
      </c>
      <c r="C546" t="s">
        <v>15</v>
      </c>
      <c r="D546">
        <v>4.3224992001180745E-3</v>
      </c>
      <c r="E546" t="s">
        <v>6</v>
      </c>
      <c r="G546" t="s">
        <v>91</v>
      </c>
      <c r="H546" t="s">
        <v>15</v>
      </c>
      <c r="I546">
        <v>4.1569395696457193E-2</v>
      </c>
      <c r="J546" t="s">
        <v>6</v>
      </c>
    </row>
    <row r="547" spans="2:10" x14ac:dyDescent="0.45">
      <c r="B547" t="s">
        <v>90</v>
      </c>
      <c r="C547" t="s">
        <v>16</v>
      </c>
      <c r="D547">
        <v>6.3043065799835055E-2</v>
      </c>
      <c r="E547" t="s">
        <v>6</v>
      </c>
      <c r="G547" t="s">
        <v>91</v>
      </c>
      <c r="H547" t="s">
        <v>16</v>
      </c>
      <c r="I547">
        <v>3.5789998098105312E-2</v>
      </c>
      <c r="J547" t="s">
        <v>6</v>
      </c>
    </row>
    <row r="548" spans="2:10" x14ac:dyDescent="0.45">
      <c r="B548" t="s">
        <v>90</v>
      </c>
      <c r="C548" t="s">
        <v>17</v>
      </c>
      <c r="D548">
        <v>0.10828164689718608</v>
      </c>
      <c r="E548" t="s">
        <v>6</v>
      </c>
      <c r="G548" t="s">
        <v>91</v>
      </c>
      <c r="H548" t="s">
        <v>17</v>
      </c>
      <c r="I548">
        <v>4.5898371081230682E-2</v>
      </c>
      <c r="J548" t="s">
        <v>6</v>
      </c>
    </row>
    <row r="549" spans="2:10" x14ac:dyDescent="0.45">
      <c r="B549" t="s">
        <v>90</v>
      </c>
      <c r="C549" t="s">
        <v>18</v>
      </c>
      <c r="D549">
        <v>8.2841111386296074E-2</v>
      </c>
      <c r="E549" t="s">
        <v>6</v>
      </c>
      <c r="G549" t="s">
        <v>91</v>
      </c>
      <c r="H549" t="s">
        <v>18</v>
      </c>
      <c r="I549">
        <v>4.5779333364676385E-2</v>
      </c>
      <c r="J549" t="s">
        <v>6</v>
      </c>
    </row>
    <row r="550" spans="2:10" x14ac:dyDescent="0.45">
      <c r="B550" t="s">
        <v>90</v>
      </c>
      <c r="C550" t="s">
        <v>19</v>
      </c>
      <c r="D550">
        <v>1.8369169030234115E-2</v>
      </c>
      <c r="E550" t="s">
        <v>6</v>
      </c>
      <c r="G550" t="s">
        <v>91</v>
      </c>
      <c r="H550" t="s">
        <v>19</v>
      </c>
      <c r="I550">
        <v>3.6818720300313516E-2</v>
      </c>
      <c r="J550" t="s">
        <v>6</v>
      </c>
    </row>
    <row r="551" spans="2:10" x14ac:dyDescent="0.45">
      <c r="B551" t="s">
        <v>90</v>
      </c>
      <c r="C551" t="s">
        <v>20</v>
      </c>
      <c r="D551">
        <v>3.7829776799411978E-5</v>
      </c>
      <c r="E551" t="s">
        <v>6</v>
      </c>
      <c r="G551" t="s">
        <v>91</v>
      </c>
      <c r="H551" t="s">
        <v>20</v>
      </c>
      <c r="I551">
        <v>2.7853370926586584E-2</v>
      </c>
      <c r="J551" t="s">
        <v>6</v>
      </c>
    </row>
    <row r="552" spans="2:10" x14ac:dyDescent="0.45">
      <c r="B552" t="s">
        <v>90</v>
      </c>
      <c r="C552" t="s">
        <v>21</v>
      </c>
      <c r="D552">
        <v>7.515020695630442E-3</v>
      </c>
      <c r="E552" t="s">
        <v>6</v>
      </c>
      <c r="G552" t="s">
        <v>91</v>
      </c>
      <c r="H552" t="s">
        <v>21</v>
      </c>
      <c r="I552">
        <v>1.3272956632581157E-2</v>
      </c>
      <c r="J552" t="s">
        <v>6</v>
      </c>
    </row>
    <row r="553" spans="2:10" x14ac:dyDescent="0.45">
      <c r="B553" t="s">
        <v>90</v>
      </c>
      <c r="C553" t="s">
        <v>22</v>
      </c>
      <c r="D553">
        <v>7.547194873961216E-2</v>
      </c>
      <c r="E553" t="s">
        <v>6</v>
      </c>
      <c r="G553" t="s">
        <v>91</v>
      </c>
      <c r="H553" t="s">
        <v>22</v>
      </c>
      <c r="I553">
        <v>1.3220967226286127E-2</v>
      </c>
      <c r="J553" t="s">
        <v>6</v>
      </c>
    </row>
    <row r="554" spans="2:10" x14ac:dyDescent="0.45">
      <c r="B554" t="s">
        <v>90</v>
      </c>
      <c r="C554" t="s">
        <v>23</v>
      </c>
      <c r="D554">
        <v>0.12331104079050735</v>
      </c>
      <c r="E554" t="s">
        <v>6</v>
      </c>
      <c r="G554" t="s">
        <v>91</v>
      </c>
      <c r="H554" t="s">
        <v>23</v>
      </c>
      <c r="I554">
        <v>1.7926573476901009E-2</v>
      </c>
      <c r="J554" t="s">
        <v>6</v>
      </c>
    </row>
    <row r="555" spans="2:10" x14ac:dyDescent="0.45">
      <c r="B555" t="s">
        <v>90</v>
      </c>
      <c r="C555" t="s">
        <v>24</v>
      </c>
      <c r="D555">
        <v>9.9492049254606488E-2</v>
      </c>
      <c r="E555" t="s">
        <v>6</v>
      </c>
      <c r="G555" t="s">
        <v>91</v>
      </c>
      <c r="H555" t="s">
        <v>24</v>
      </c>
      <c r="I555">
        <v>2.2574370974503245E-2</v>
      </c>
      <c r="J555" t="s">
        <v>6</v>
      </c>
    </row>
    <row r="556" spans="2:10" x14ac:dyDescent="0.45">
      <c r="B556" t="s">
        <v>90</v>
      </c>
      <c r="C556" t="s">
        <v>25</v>
      </c>
      <c r="D556">
        <v>2.7119841921723439E-2</v>
      </c>
      <c r="E556" t="s">
        <v>6</v>
      </c>
      <c r="G556" t="s">
        <v>91</v>
      </c>
      <c r="H556" t="s">
        <v>25</v>
      </c>
      <c r="I556">
        <v>1.9163183530773099E-2</v>
      </c>
      <c r="J556" t="s">
        <v>6</v>
      </c>
    </row>
    <row r="557" spans="2:10" x14ac:dyDescent="0.45">
      <c r="B557" t="s">
        <v>90</v>
      </c>
      <c r="C557" t="s">
        <v>26</v>
      </c>
      <c r="D557">
        <v>0</v>
      </c>
      <c r="E557" t="s">
        <v>6</v>
      </c>
      <c r="G557" t="s">
        <v>91</v>
      </c>
      <c r="H557" t="s">
        <v>26</v>
      </c>
      <c r="I557">
        <v>9.4361452100802434E-2</v>
      </c>
      <c r="J557" t="s">
        <v>6</v>
      </c>
    </row>
    <row r="558" spans="2:10" x14ac:dyDescent="0.45">
      <c r="B558" t="s">
        <v>90</v>
      </c>
      <c r="C558" t="s">
        <v>27</v>
      </c>
      <c r="D558">
        <v>1.2561996408254254E-3</v>
      </c>
      <c r="E558" t="s">
        <v>6</v>
      </c>
      <c r="G558" t="s">
        <v>91</v>
      </c>
      <c r="H558" t="s">
        <v>27</v>
      </c>
      <c r="I558">
        <v>4.5911816865774627E-2</v>
      </c>
      <c r="J558" t="s">
        <v>6</v>
      </c>
    </row>
    <row r="559" spans="2:10" x14ac:dyDescent="0.45">
      <c r="B559" t="s">
        <v>90</v>
      </c>
      <c r="C559" t="s">
        <v>28</v>
      </c>
      <c r="D559">
        <v>4.8222695502211387E-2</v>
      </c>
      <c r="E559" t="s">
        <v>6</v>
      </c>
      <c r="G559" t="s">
        <v>91</v>
      </c>
      <c r="H559" t="s">
        <v>28</v>
      </c>
      <c r="I559">
        <v>3.474122332444609E-2</v>
      </c>
      <c r="J559" t="s">
        <v>6</v>
      </c>
    </row>
    <row r="560" spans="2:10" x14ac:dyDescent="0.45">
      <c r="B560" t="s">
        <v>90</v>
      </c>
      <c r="C560" t="s">
        <v>29</v>
      </c>
      <c r="D560">
        <v>9.0325825556053244E-2</v>
      </c>
      <c r="E560" t="s">
        <v>6</v>
      </c>
      <c r="G560" t="s">
        <v>91</v>
      </c>
      <c r="H560" t="s">
        <v>29</v>
      </c>
      <c r="I560">
        <v>3.9150506794127932E-2</v>
      </c>
      <c r="J560" t="s">
        <v>6</v>
      </c>
    </row>
    <row r="561" spans="2:10" x14ac:dyDescent="0.45">
      <c r="B561" t="s">
        <v>90</v>
      </c>
      <c r="C561" t="s">
        <v>30</v>
      </c>
      <c r="D561">
        <v>6.0251826589850677E-2</v>
      </c>
      <c r="E561" t="s">
        <v>6</v>
      </c>
      <c r="G561" t="s">
        <v>91</v>
      </c>
      <c r="H561" t="s">
        <v>30</v>
      </c>
      <c r="I561">
        <v>4.0211747396661918E-2</v>
      </c>
      <c r="J561" t="s">
        <v>6</v>
      </c>
    </row>
    <row r="562" spans="2:10" x14ac:dyDescent="0.45">
      <c r="B562" t="s">
        <v>90</v>
      </c>
      <c r="C562" t="s">
        <v>31</v>
      </c>
      <c r="D562">
        <v>6.2544996925261893E-3</v>
      </c>
      <c r="E562" t="s">
        <v>6</v>
      </c>
      <c r="G562" t="s">
        <v>91</v>
      </c>
      <c r="H562" t="s">
        <v>31</v>
      </c>
      <c r="I562">
        <v>3.5040117435787499E-2</v>
      </c>
      <c r="J562" t="s">
        <v>6</v>
      </c>
    </row>
    <row r="563" spans="2:10" x14ac:dyDescent="0.45">
      <c r="B563" t="s">
        <v>92</v>
      </c>
      <c r="C563" t="s">
        <v>5</v>
      </c>
      <c r="D563">
        <v>0</v>
      </c>
      <c r="E563" t="s">
        <v>6</v>
      </c>
      <c r="G563" t="s">
        <v>93</v>
      </c>
      <c r="H563" t="s">
        <v>5</v>
      </c>
      <c r="I563">
        <v>9.430990986753951E-2</v>
      </c>
      <c r="J563" t="s">
        <v>6</v>
      </c>
    </row>
    <row r="564" spans="2:10" x14ac:dyDescent="0.45">
      <c r="B564" t="s">
        <v>92</v>
      </c>
      <c r="C564" t="s">
        <v>9</v>
      </c>
      <c r="D564">
        <v>0</v>
      </c>
      <c r="E564" t="s">
        <v>6</v>
      </c>
      <c r="G564" t="s">
        <v>93</v>
      </c>
      <c r="H564" t="s">
        <v>9</v>
      </c>
      <c r="I564">
        <v>5.3800872799811848E-2</v>
      </c>
      <c r="J564" t="s">
        <v>6</v>
      </c>
    </row>
    <row r="565" spans="2:10" x14ac:dyDescent="0.45">
      <c r="B565" t="s">
        <v>92</v>
      </c>
      <c r="C565" t="s">
        <v>10</v>
      </c>
      <c r="D565">
        <v>3.0784005624886954E-2</v>
      </c>
      <c r="E565" t="s">
        <v>6</v>
      </c>
      <c r="G565" t="s">
        <v>93</v>
      </c>
      <c r="H565" t="s">
        <v>10</v>
      </c>
      <c r="I565">
        <v>4.08253566329266E-2</v>
      </c>
      <c r="J565" t="s">
        <v>6</v>
      </c>
    </row>
    <row r="566" spans="2:10" x14ac:dyDescent="0.45">
      <c r="B566" t="s">
        <v>92</v>
      </c>
      <c r="C566" t="s">
        <v>11</v>
      </c>
      <c r="D566">
        <v>8.3180131404354152E-2</v>
      </c>
      <c r="E566" t="s">
        <v>6</v>
      </c>
      <c r="G566" t="s">
        <v>93</v>
      </c>
      <c r="H566" t="s">
        <v>11</v>
      </c>
      <c r="I566">
        <v>4.4829794010782756E-2</v>
      </c>
      <c r="J566" t="s">
        <v>6</v>
      </c>
    </row>
    <row r="567" spans="2:10" x14ac:dyDescent="0.45">
      <c r="B567" t="s">
        <v>92</v>
      </c>
      <c r="C567" t="s">
        <v>12</v>
      </c>
      <c r="D567">
        <v>5.7829728401335233E-2</v>
      </c>
      <c r="E567" t="s">
        <v>6</v>
      </c>
      <c r="G567" t="s">
        <v>93</v>
      </c>
      <c r="H567" t="s">
        <v>12</v>
      </c>
      <c r="I567">
        <v>4.3965881894707293E-2</v>
      </c>
      <c r="J567" t="s">
        <v>6</v>
      </c>
    </row>
    <row r="568" spans="2:10" x14ac:dyDescent="0.45">
      <c r="B568" t="s">
        <v>92</v>
      </c>
      <c r="C568" t="s">
        <v>13</v>
      </c>
      <c r="D568">
        <v>3.3510912933466435E-3</v>
      </c>
      <c r="E568" t="s">
        <v>6</v>
      </c>
      <c r="G568" t="s">
        <v>93</v>
      </c>
      <c r="H568" t="s">
        <v>13</v>
      </c>
      <c r="I568">
        <v>3.7992880951547035E-2</v>
      </c>
      <c r="J568" t="s">
        <v>6</v>
      </c>
    </row>
    <row r="569" spans="2:10" x14ac:dyDescent="0.45">
      <c r="B569" t="s">
        <v>92</v>
      </c>
      <c r="C569" t="s">
        <v>14</v>
      </c>
      <c r="D569">
        <v>2.6118640362634083E-8</v>
      </c>
      <c r="E569" t="s">
        <v>6</v>
      </c>
      <c r="G569" t="s">
        <v>93</v>
      </c>
      <c r="H569" t="s">
        <v>14</v>
      </c>
      <c r="I569">
        <v>8.1498737827264828E-2</v>
      </c>
      <c r="J569" t="s">
        <v>6</v>
      </c>
    </row>
    <row r="570" spans="2:10" x14ac:dyDescent="0.45">
      <c r="B570" t="s">
        <v>92</v>
      </c>
      <c r="C570" t="s">
        <v>15</v>
      </c>
      <c r="D570">
        <v>4.9953528308168786E-3</v>
      </c>
      <c r="E570" t="s">
        <v>6</v>
      </c>
      <c r="G570" t="s">
        <v>93</v>
      </c>
      <c r="H570" t="s">
        <v>15</v>
      </c>
      <c r="I570">
        <v>3.812055528559543E-2</v>
      </c>
      <c r="J570" t="s">
        <v>6</v>
      </c>
    </row>
    <row r="571" spans="2:10" x14ac:dyDescent="0.45">
      <c r="B571" t="s">
        <v>92</v>
      </c>
      <c r="C571" t="s">
        <v>16</v>
      </c>
      <c r="D571">
        <v>6.7881649121440804E-2</v>
      </c>
      <c r="E571" t="s">
        <v>6</v>
      </c>
      <c r="G571" t="s">
        <v>93</v>
      </c>
      <c r="H571" t="s">
        <v>16</v>
      </c>
      <c r="I571">
        <v>3.1948001604004912E-2</v>
      </c>
      <c r="J571" t="s">
        <v>6</v>
      </c>
    </row>
    <row r="572" spans="2:10" x14ac:dyDescent="0.45">
      <c r="B572" t="s">
        <v>92</v>
      </c>
      <c r="C572" t="s">
        <v>17</v>
      </c>
      <c r="D572">
        <v>0.11049530351631132</v>
      </c>
      <c r="E572" t="s">
        <v>6</v>
      </c>
      <c r="G572" t="s">
        <v>93</v>
      </c>
      <c r="H572" t="s">
        <v>17</v>
      </c>
      <c r="I572">
        <v>3.9099152297569703E-2</v>
      </c>
      <c r="J572" t="s">
        <v>6</v>
      </c>
    </row>
    <row r="573" spans="2:10" x14ac:dyDescent="0.45">
      <c r="B573" t="s">
        <v>92</v>
      </c>
      <c r="C573" t="s">
        <v>18</v>
      </c>
      <c r="D573">
        <v>8.3969181714669966E-2</v>
      </c>
      <c r="E573" t="s">
        <v>6</v>
      </c>
      <c r="G573" t="s">
        <v>93</v>
      </c>
      <c r="H573" t="s">
        <v>18</v>
      </c>
      <c r="I573">
        <v>4.2970954651951589E-2</v>
      </c>
      <c r="J573" t="s">
        <v>6</v>
      </c>
    </row>
    <row r="574" spans="2:10" x14ac:dyDescent="0.45">
      <c r="B574" t="s">
        <v>92</v>
      </c>
      <c r="C574" t="s">
        <v>19</v>
      </c>
      <c r="D574">
        <v>1.8512125732318592E-2</v>
      </c>
      <c r="E574" t="s">
        <v>6</v>
      </c>
      <c r="G574" t="s">
        <v>93</v>
      </c>
      <c r="H574" t="s">
        <v>19</v>
      </c>
      <c r="I574">
        <v>3.6135615557271503E-2</v>
      </c>
      <c r="J574" t="s">
        <v>6</v>
      </c>
    </row>
    <row r="575" spans="2:10" x14ac:dyDescent="0.45">
      <c r="B575" t="s">
        <v>92</v>
      </c>
      <c r="C575" t="s">
        <v>20</v>
      </c>
      <c r="D575">
        <v>4.6829661969786165E-5</v>
      </c>
      <c r="E575" t="s">
        <v>6</v>
      </c>
      <c r="G575" t="s">
        <v>93</v>
      </c>
      <c r="H575" t="s">
        <v>20</v>
      </c>
      <c r="I575">
        <v>4.8457138212458138E-2</v>
      </c>
      <c r="J575" t="s">
        <v>6</v>
      </c>
    </row>
    <row r="576" spans="2:10" x14ac:dyDescent="0.45">
      <c r="B576" t="s">
        <v>92</v>
      </c>
      <c r="C576" t="s">
        <v>21</v>
      </c>
      <c r="D576">
        <v>8.191216778914677E-3</v>
      </c>
      <c r="E576" t="s">
        <v>6</v>
      </c>
      <c r="G576" t="s">
        <v>93</v>
      </c>
      <c r="H576" t="s">
        <v>21</v>
      </c>
      <c r="I576">
        <v>1.9342749687618028E-2</v>
      </c>
      <c r="J576" t="s">
        <v>6</v>
      </c>
    </row>
    <row r="577" spans="2:10" x14ac:dyDescent="0.45">
      <c r="B577" t="s">
        <v>92</v>
      </c>
      <c r="C577" t="s">
        <v>22</v>
      </c>
      <c r="D577">
        <v>7.7885136318142478E-2</v>
      </c>
      <c r="E577" t="s">
        <v>6</v>
      </c>
      <c r="G577" t="s">
        <v>93</v>
      </c>
      <c r="H577" t="s">
        <v>22</v>
      </c>
      <c r="I577">
        <v>1.5001780707428681E-2</v>
      </c>
      <c r="J577" t="s">
        <v>6</v>
      </c>
    </row>
    <row r="578" spans="2:10" x14ac:dyDescent="0.45">
      <c r="B578" t="s">
        <v>92</v>
      </c>
      <c r="C578" t="s">
        <v>23</v>
      </c>
      <c r="D578">
        <v>0.12509887067209102</v>
      </c>
      <c r="E578" t="s">
        <v>6</v>
      </c>
      <c r="G578" t="s">
        <v>93</v>
      </c>
      <c r="H578" t="s">
        <v>23</v>
      </c>
      <c r="I578">
        <v>1.9431565322535951E-2</v>
      </c>
      <c r="J578" t="s">
        <v>6</v>
      </c>
    </row>
    <row r="579" spans="2:10" x14ac:dyDescent="0.45">
      <c r="B579" t="s">
        <v>92</v>
      </c>
      <c r="C579" t="s">
        <v>24</v>
      </c>
      <c r="D579">
        <v>0.10046570814468303</v>
      </c>
      <c r="E579" t="s">
        <v>6</v>
      </c>
      <c r="G579" t="s">
        <v>93</v>
      </c>
      <c r="H579" t="s">
        <v>24</v>
      </c>
      <c r="I579">
        <v>2.1139864246650517E-2</v>
      </c>
      <c r="J579" t="s">
        <v>6</v>
      </c>
    </row>
    <row r="580" spans="2:10" x14ac:dyDescent="0.45">
      <c r="B580" t="s">
        <v>92</v>
      </c>
      <c r="C580" t="s">
        <v>25</v>
      </c>
      <c r="D580">
        <v>2.7447913374240126E-2</v>
      </c>
      <c r="E580" t="s">
        <v>6</v>
      </c>
      <c r="G580" t="s">
        <v>93</v>
      </c>
      <c r="H580" t="s">
        <v>25</v>
      </c>
      <c r="I580">
        <v>1.8446462288103593E-2</v>
      </c>
      <c r="J580" t="s">
        <v>6</v>
      </c>
    </row>
    <row r="581" spans="2:10" x14ac:dyDescent="0.45">
      <c r="B581" t="s">
        <v>92</v>
      </c>
      <c r="C581" t="s">
        <v>26</v>
      </c>
      <c r="D581">
        <v>0</v>
      </c>
      <c r="E581" t="s">
        <v>6</v>
      </c>
      <c r="G581" t="s">
        <v>93</v>
      </c>
      <c r="H581" t="s">
        <v>26</v>
      </c>
      <c r="I581">
        <v>8.9874410461575724E-2</v>
      </c>
      <c r="J581" t="s">
        <v>6</v>
      </c>
    </row>
    <row r="582" spans="2:10" x14ac:dyDescent="0.45">
      <c r="B582" t="s">
        <v>92</v>
      </c>
      <c r="C582" t="s">
        <v>27</v>
      </c>
      <c r="D582">
        <v>1.2840447428697725E-3</v>
      </c>
      <c r="E582" t="s">
        <v>6</v>
      </c>
      <c r="G582" t="s">
        <v>93</v>
      </c>
      <c r="H582" t="s">
        <v>27</v>
      </c>
      <c r="I582">
        <v>4.3596039334050006E-2</v>
      </c>
      <c r="J582" t="s">
        <v>6</v>
      </c>
    </row>
    <row r="583" spans="2:10" x14ac:dyDescent="0.45">
      <c r="B583" t="s">
        <v>92</v>
      </c>
      <c r="C583" t="s">
        <v>28</v>
      </c>
      <c r="D583">
        <v>4.7692254198401333E-2</v>
      </c>
      <c r="E583" t="s">
        <v>6</v>
      </c>
      <c r="G583" t="s">
        <v>93</v>
      </c>
      <c r="H583" t="s">
        <v>28</v>
      </c>
      <c r="I583">
        <v>3.0714577256541895E-2</v>
      </c>
      <c r="J583" t="s">
        <v>6</v>
      </c>
    </row>
    <row r="584" spans="2:10" x14ac:dyDescent="0.45">
      <c r="B584" t="s">
        <v>92</v>
      </c>
      <c r="C584" t="s">
        <v>29</v>
      </c>
      <c r="D584">
        <v>8.7530307969128252E-2</v>
      </c>
      <c r="E584" t="s">
        <v>6</v>
      </c>
      <c r="G584" t="s">
        <v>93</v>
      </c>
      <c r="H584" t="s">
        <v>29</v>
      </c>
      <c r="I584">
        <v>3.5173443607905329E-2</v>
      </c>
      <c r="J584" t="s">
        <v>6</v>
      </c>
    </row>
    <row r="585" spans="2:10" x14ac:dyDescent="0.45">
      <c r="B585" t="s">
        <v>92</v>
      </c>
      <c r="C585" t="s">
        <v>30</v>
      </c>
      <c r="D585">
        <v>5.7503441342755007E-2</v>
      </c>
      <c r="E585" t="s">
        <v>6</v>
      </c>
      <c r="G585" t="s">
        <v>93</v>
      </c>
      <c r="H585" t="s">
        <v>30</v>
      </c>
      <c r="I585">
        <v>3.7665601237378783E-2</v>
      </c>
      <c r="J585" t="s">
        <v>6</v>
      </c>
    </row>
    <row r="586" spans="2:10" x14ac:dyDescent="0.45">
      <c r="B586" t="s">
        <v>92</v>
      </c>
      <c r="C586" t="s">
        <v>31</v>
      </c>
      <c r="D586">
        <v>5.8556810386841103E-3</v>
      </c>
      <c r="E586" t="s">
        <v>6</v>
      </c>
      <c r="G586" t="s">
        <v>93</v>
      </c>
      <c r="H586" t="s">
        <v>31</v>
      </c>
      <c r="I586">
        <v>3.5658654256783343E-2</v>
      </c>
      <c r="J586" t="s">
        <v>6</v>
      </c>
    </row>
    <row r="587" spans="2:10" x14ac:dyDescent="0.45">
      <c r="B587" t="s">
        <v>94</v>
      </c>
      <c r="C587" t="s">
        <v>5</v>
      </c>
      <c r="D587">
        <v>0</v>
      </c>
      <c r="E587" t="s">
        <v>6</v>
      </c>
      <c r="G587" t="s">
        <v>95</v>
      </c>
      <c r="H587" t="s">
        <v>5</v>
      </c>
      <c r="I587">
        <v>0.10241064778640294</v>
      </c>
      <c r="J587" t="s">
        <v>6</v>
      </c>
    </row>
    <row r="588" spans="2:10" x14ac:dyDescent="0.45">
      <c r="B588" t="s">
        <v>94</v>
      </c>
      <c r="C588" t="s">
        <v>9</v>
      </c>
      <c r="D588">
        <v>0</v>
      </c>
      <c r="E588" t="s">
        <v>6</v>
      </c>
      <c r="G588" t="s">
        <v>95</v>
      </c>
      <c r="H588" t="s">
        <v>9</v>
      </c>
      <c r="I588">
        <v>5.178242956870948E-2</v>
      </c>
      <c r="J588" t="s">
        <v>6</v>
      </c>
    </row>
    <row r="589" spans="2:10" x14ac:dyDescent="0.45">
      <c r="B589" t="s">
        <v>94</v>
      </c>
      <c r="C589" t="s">
        <v>10</v>
      </c>
      <c r="D589">
        <v>3.0495461547490197E-2</v>
      </c>
      <c r="E589" t="s">
        <v>6</v>
      </c>
      <c r="G589" t="s">
        <v>95</v>
      </c>
      <c r="H589" t="s">
        <v>10</v>
      </c>
      <c r="I589">
        <v>3.6106838584572247E-2</v>
      </c>
      <c r="J589" t="s">
        <v>6</v>
      </c>
    </row>
    <row r="590" spans="2:10" x14ac:dyDescent="0.45">
      <c r="B590" t="s">
        <v>94</v>
      </c>
      <c r="C590" t="s">
        <v>11</v>
      </c>
      <c r="D590">
        <v>7.8387293367826613E-2</v>
      </c>
      <c r="E590" t="s">
        <v>6</v>
      </c>
      <c r="G590" t="s">
        <v>95</v>
      </c>
      <c r="H590" t="s">
        <v>11</v>
      </c>
      <c r="I590">
        <v>3.3929846019785985E-2</v>
      </c>
      <c r="J590" t="s">
        <v>6</v>
      </c>
    </row>
    <row r="591" spans="2:10" x14ac:dyDescent="0.45">
      <c r="B591" t="s">
        <v>94</v>
      </c>
      <c r="C591" t="s">
        <v>12</v>
      </c>
      <c r="D591">
        <v>5.4595893153949429E-2</v>
      </c>
      <c r="E591" t="s">
        <v>6</v>
      </c>
      <c r="G591" t="s">
        <v>95</v>
      </c>
      <c r="H591" t="s">
        <v>12</v>
      </c>
      <c r="I591">
        <v>3.7333001257544005E-2</v>
      </c>
      <c r="J591" t="s">
        <v>6</v>
      </c>
    </row>
    <row r="592" spans="2:10" x14ac:dyDescent="0.45">
      <c r="B592" t="s">
        <v>94</v>
      </c>
      <c r="C592" t="s">
        <v>13</v>
      </c>
      <c r="D592">
        <v>2.8175698453602907E-3</v>
      </c>
      <c r="E592" t="s">
        <v>6</v>
      </c>
      <c r="G592" t="s">
        <v>95</v>
      </c>
      <c r="H592" t="s">
        <v>13</v>
      </c>
      <c r="I592">
        <v>3.9029795036622413E-2</v>
      </c>
      <c r="J592" t="s">
        <v>6</v>
      </c>
    </row>
    <row r="593" spans="2:10" x14ac:dyDescent="0.45">
      <c r="B593" t="s">
        <v>94</v>
      </c>
      <c r="C593" t="s">
        <v>14</v>
      </c>
      <c r="D593">
        <v>0</v>
      </c>
      <c r="E593" t="s">
        <v>6</v>
      </c>
      <c r="G593" t="s">
        <v>95</v>
      </c>
      <c r="H593" t="s">
        <v>14</v>
      </c>
      <c r="I593">
        <v>7.8979320718778792E-2</v>
      </c>
      <c r="J593" t="s">
        <v>6</v>
      </c>
    </row>
    <row r="594" spans="2:10" x14ac:dyDescent="0.45">
      <c r="B594" t="s">
        <v>94</v>
      </c>
      <c r="C594" t="s">
        <v>15</v>
      </c>
      <c r="D594">
        <v>5.9468762823371001E-3</v>
      </c>
      <c r="E594" t="s">
        <v>6</v>
      </c>
      <c r="G594" t="s">
        <v>95</v>
      </c>
      <c r="H594" t="s">
        <v>15</v>
      </c>
      <c r="I594">
        <v>4.0820381331629373E-2</v>
      </c>
      <c r="J594" t="s">
        <v>6</v>
      </c>
    </row>
    <row r="595" spans="2:10" x14ac:dyDescent="0.45">
      <c r="B595" t="s">
        <v>94</v>
      </c>
      <c r="C595" t="s">
        <v>16</v>
      </c>
      <c r="D595">
        <v>6.7114133727563099E-2</v>
      </c>
      <c r="E595" t="s">
        <v>6</v>
      </c>
      <c r="G595" t="s">
        <v>95</v>
      </c>
      <c r="H595" t="s">
        <v>16</v>
      </c>
      <c r="I595">
        <v>2.852296851049025E-2</v>
      </c>
      <c r="J595" t="s">
        <v>6</v>
      </c>
    </row>
    <row r="596" spans="2:10" x14ac:dyDescent="0.45">
      <c r="B596" t="s">
        <v>94</v>
      </c>
      <c r="C596" t="s">
        <v>17</v>
      </c>
      <c r="D596">
        <v>0.11048399929378573</v>
      </c>
      <c r="E596" t="s">
        <v>6</v>
      </c>
      <c r="G596" t="s">
        <v>95</v>
      </c>
      <c r="H596" t="s">
        <v>17</v>
      </c>
      <c r="I596">
        <v>2.9398714954283506E-2</v>
      </c>
      <c r="J596" t="s">
        <v>6</v>
      </c>
    </row>
    <row r="597" spans="2:10" x14ac:dyDescent="0.45">
      <c r="B597" t="s">
        <v>94</v>
      </c>
      <c r="C597" t="s">
        <v>18</v>
      </c>
      <c r="D597">
        <v>8.2458362377641467E-2</v>
      </c>
      <c r="E597" t="s">
        <v>6</v>
      </c>
      <c r="G597" t="s">
        <v>95</v>
      </c>
      <c r="H597" t="s">
        <v>18</v>
      </c>
      <c r="I597">
        <v>3.2654198392489793E-2</v>
      </c>
      <c r="J597" t="s">
        <v>6</v>
      </c>
    </row>
    <row r="598" spans="2:10" x14ac:dyDescent="0.45">
      <c r="B598" t="s">
        <v>94</v>
      </c>
      <c r="C598" t="s">
        <v>19</v>
      </c>
      <c r="D598">
        <v>1.6189225991651617E-2</v>
      </c>
      <c r="E598" t="s">
        <v>6</v>
      </c>
      <c r="G598" t="s">
        <v>95</v>
      </c>
      <c r="H598" t="s">
        <v>19</v>
      </c>
      <c r="I598">
        <v>3.1995620561200665E-2</v>
      </c>
      <c r="J598" t="s">
        <v>6</v>
      </c>
    </row>
    <row r="599" spans="2:10" x14ac:dyDescent="0.45">
      <c r="B599" t="s">
        <v>94</v>
      </c>
      <c r="C599" t="s">
        <v>20</v>
      </c>
      <c r="D599">
        <v>2.644351539397937E-6</v>
      </c>
      <c r="E599" t="s">
        <v>6</v>
      </c>
      <c r="G599" t="s">
        <v>95</v>
      </c>
      <c r="H599" t="s">
        <v>20</v>
      </c>
      <c r="I599">
        <v>5.8288343268523793E-2</v>
      </c>
      <c r="J599" t="s">
        <v>6</v>
      </c>
    </row>
    <row r="600" spans="2:10" x14ac:dyDescent="0.45">
      <c r="B600" t="s">
        <v>94</v>
      </c>
      <c r="C600" t="s">
        <v>21</v>
      </c>
      <c r="D600">
        <v>1.0328011668845765E-2</v>
      </c>
      <c r="E600" t="s">
        <v>6</v>
      </c>
      <c r="G600" t="s">
        <v>95</v>
      </c>
      <c r="H600" t="s">
        <v>21</v>
      </c>
      <c r="I600">
        <v>2.4338375659430568E-2</v>
      </c>
      <c r="J600" t="s">
        <v>6</v>
      </c>
    </row>
    <row r="601" spans="2:10" x14ac:dyDescent="0.45">
      <c r="B601" t="s">
        <v>94</v>
      </c>
      <c r="C601" t="s">
        <v>22</v>
      </c>
      <c r="D601">
        <v>8.4489946849380104E-2</v>
      </c>
      <c r="E601" t="s">
        <v>6</v>
      </c>
      <c r="G601" t="s">
        <v>95</v>
      </c>
      <c r="H601" t="s">
        <v>22</v>
      </c>
      <c r="I601">
        <v>1.4290638817734805E-2</v>
      </c>
      <c r="J601" t="s">
        <v>6</v>
      </c>
    </row>
    <row r="602" spans="2:10" x14ac:dyDescent="0.45">
      <c r="B602" t="s">
        <v>94</v>
      </c>
      <c r="C602" t="s">
        <v>23</v>
      </c>
      <c r="D602">
        <v>0.12995049988184457</v>
      </c>
      <c r="E602" t="s">
        <v>6</v>
      </c>
      <c r="G602" t="s">
        <v>95</v>
      </c>
      <c r="H602" t="s">
        <v>23</v>
      </c>
      <c r="I602">
        <v>1.6555677916845021E-2</v>
      </c>
      <c r="J602" t="s">
        <v>6</v>
      </c>
    </row>
    <row r="603" spans="2:10" x14ac:dyDescent="0.45">
      <c r="B603" t="s">
        <v>94</v>
      </c>
      <c r="C603" t="s">
        <v>24</v>
      </c>
      <c r="D603">
        <v>0.10156389392265905</v>
      </c>
      <c r="E603" t="s">
        <v>6</v>
      </c>
      <c r="G603" t="s">
        <v>95</v>
      </c>
      <c r="H603" t="s">
        <v>24</v>
      </c>
      <c r="I603">
        <v>1.8337156275353466E-2</v>
      </c>
      <c r="J603" t="s">
        <v>6</v>
      </c>
    </row>
    <row r="604" spans="2:10" x14ac:dyDescent="0.45">
      <c r="B604" t="s">
        <v>94</v>
      </c>
      <c r="C604" t="s">
        <v>25</v>
      </c>
      <c r="D604">
        <v>2.5329208766318573E-2</v>
      </c>
      <c r="E604" t="s">
        <v>6</v>
      </c>
      <c r="G604" t="s">
        <v>95</v>
      </c>
      <c r="H604" t="s">
        <v>25</v>
      </c>
      <c r="I604">
        <v>1.8831896455023742E-2</v>
      </c>
      <c r="J604" t="s">
        <v>6</v>
      </c>
    </row>
    <row r="605" spans="2:10" x14ac:dyDescent="0.45">
      <c r="B605" t="s">
        <v>94</v>
      </c>
      <c r="C605" t="s">
        <v>26</v>
      </c>
      <c r="D605">
        <v>0</v>
      </c>
      <c r="E605" t="s">
        <v>6</v>
      </c>
      <c r="G605" t="s">
        <v>95</v>
      </c>
      <c r="H605" t="s">
        <v>26</v>
      </c>
      <c r="I605">
        <v>0.10673050903767149</v>
      </c>
      <c r="J605" t="s">
        <v>6</v>
      </c>
    </row>
    <row r="606" spans="2:10" x14ac:dyDescent="0.45">
      <c r="B606" t="s">
        <v>94</v>
      </c>
      <c r="C606" t="s">
        <v>27</v>
      </c>
      <c r="D606">
        <v>1.7494221554315251E-3</v>
      </c>
      <c r="E606" t="s">
        <v>6</v>
      </c>
      <c r="G606" t="s">
        <v>95</v>
      </c>
      <c r="H606" t="s">
        <v>27</v>
      </c>
      <c r="I606">
        <v>5.2333417218175964E-2</v>
      </c>
      <c r="J606" t="s">
        <v>6</v>
      </c>
    </row>
    <row r="607" spans="2:10" x14ac:dyDescent="0.45">
      <c r="B607" t="s">
        <v>94</v>
      </c>
      <c r="C607" t="s">
        <v>28</v>
      </c>
      <c r="D607">
        <v>4.9750232835640992E-2</v>
      </c>
      <c r="E607" t="s">
        <v>6</v>
      </c>
      <c r="G607" t="s">
        <v>95</v>
      </c>
      <c r="H607" t="s">
        <v>28</v>
      </c>
      <c r="I607">
        <v>3.7288247677202596E-2</v>
      </c>
      <c r="J607" t="s">
        <v>6</v>
      </c>
    </row>
    <row r="608" spans="2:10" x14ac:dyDescent="0.45">
      <c r="B608" t="s">
        <v>94</v>
      </c>
      <c r="C608" t="s">
        <v>29</v>
      </c>
      <c r="D608">
        <v>8.8374060574872834E-2</v>
      </c>
      <c r="E608" t="s">
        <v>6</v>
      </c>
      <c r="G608" t="s">
        <v>95</v>
      </c>
      <c r="H608" t="s">
        <v>29</v>
      </c>
      <c r="I608">
        <v>3.5865662582920184E-2</v>
      </c>
      <c r="J608" t="s">
        <v>6</v>
      </c>
    </row>
    <row r="609" spans="2:10" x14ac:dyDescent="0.45">
      <c r="B609" t="s">
        <v>94</v>
      </c>
      <c r="C609" t="s">
        <v>30</v>
      </c>
      <c r="D609">
        <v>5.5534081129830354E-2</v>
      </c>
      <c r="E609" t="s">
        <v>6</v>
      </c>
      <c r="G609" t="s">
        <v>95</v>
      </c>
      <c r="H609" t="s">
        <v>30</v>
      </c>
      <c r="I609">
        <v>3.5666858496487389E-2</v>
      </c>
      <c r="J609" t="s">
        <v>6</v>
      </c>
    </row>
    <row r="610" spans="2:10" x14ac:dyDescent="0.45">
      <c r="B610" t="s">
        <v>94</v>
      </c>
      <c r="C610" t="s">
        <v>31</v>
      </c>
      <c r="D610">
        <v>4.4391822760318908E-3</v>
      </c>
      <c r="E610" t="s">
        <v>6</v>
      </c>
      <c r="G610" t="s">
        <v>95</v>
      </c>
      <c r="H610" t="s">
        <v>31</v>
      </c>
      <c r="I610">
        <v>3.8509453872124448E-2</v>
      </c>
      <c r="J610" t="s">
        <v>6</v>
      </c>
    </row>
    <row r="611" spans="2:10" x14ac:dyDescent="0.45">
      <c r="B611" t="s">
        <v>96</v>
      </c>
      <c r="C611" t="s">
        <v>5</v>
      </c>
      <c r="D611">
        <v>0</v>
      </c>
      <c r="E611" t="s">
        <v>6</v>
      </c>
      <c r="G611" t="s">
        <v>97</v>
      </c>
      <c r="H611" t="s">
        <v>5</v>
      </c>
      <c r="I611">
        <v>0.1025400926695621</v>
      </c>
      <c r="J611" t="s">
        <v>6</v>
      </c>
    </row>
    <row r="612" spans="2:10" x14ac:dyDescent="0.45">
      <c r="B612" t="s">
        <v>96</v>
      </c>
      <c r="C612" t="s">
        <v>9</v>
      </c>
      <c r="D612">
        <v>0</v>
      </c>
      <c r="E612" t="s">
        <v>6</v>
      </c>
      <c r="G612" t="s">
        <v>97</v>
      </c>
      <c r="H612" t="s">
        <v>9</v>
      </c>
      <c r="I612">
        <v>5.0289738457202651E-2</v>
      </c>
      <c r="J612" t="s">
        <v>6</v>
      </c>
    </row>
    <row r="613" spans="2:10" x14ac:dyDescent="0.45">
      <c r="B613" t="s">
        <v>96</v>
      </c>
      <c r="C613" t="s">
        <v>10</v>
      </c>
      <c r="D613">
        <v>3.1364020941428823E-2</v>
      </c>
      <c r="E613" t="s">
        <v>6</v>
      </c>
      <c r="G613" t="s">
        <v>97</v>
      </c>
      <c r="H613" t="s">
        <v>10</v>
      </c>
      <c r="I613">
        <v>3.6829755911284352E-2</v>
      </c>
      <c r="J613" t="s">
        <v>6</v>
      </c>
    </row>
    <row r="614" spans="2:10" x14ac:dyDescent="0.45">
      <c r="B614" t="s">
        <v>96</v>
      </c>
      <c r="C614" t="s">
        <v>11</v>
      </c>
      <c r="D614">
        <v>8.0917895790002914E-2</v>
      </c>
      <c r="E614" t="s">
        <v>6</v>
      </c>
      <c r="G614" t="s">
        <v>97</v>
      </c>
      <c r="H614" t="s">
        <v>11</v>
      </c>
      <c r="I614">
        <v>3.560139169179339E-2</v>
      </c>
      <c r="J614" t="s">
        <v>6</v>
      </c>
    </row>
    <row r="615" spans="2:10" x14ac:dyDescent="0.45">
      <c r="B615" t="s">
        <v>96</v>
      </c>
      <c r="C615" t="s">
        <v>12</v>
      </c>
      <c r="D615">
        <v>5.5154147867972951E-2</v>
      </c>
      <c r="E615" t="s">
        <v>6</v>
      </c>
      <c r="G615" t="s">
        <v>97</v>
      </c>
      <c r="H615" t="s">
        <v>12</v>
      </c>
      <c r="I615">
        <v>3.9158834500574446E-2</v>
      </c>
      <c r="J615" t="s">
        <v>6</v>
      </c>
    </row>
    <row r="616" spans="2:10" x14ac:dyDescent="0.45">
      <c r="B616" t="s">
        <v>96</v>
      </c>
      <c r="C616" t="s">
        <v>13</v>
      </c>
      <c r="D616">
        <v>3.0446384815695305E-3</v>
      </c>
      <c r="E616" t="s">
        <v>6</v>
      </c>
      <c r="G616" t="s">
        <v>97</v>
      </c>
      <c r="H616" t="s">
        <v>13</v>
      </c>
      <c r="I616">
        <v>4.0015164006388791E-2</v>
      </c>
      <c r="J616" t="s">
        <v>6</v>
      </c>
    </row>
    <row r="617" spans="2:10" x14ac:dyDescent="0.45">
      <c r="B617" t="s">
        <v>96</v>
      </c>
      <c r="C617" t="s">
        <v>14</v>
      </c>
      <c r="D617">
        <v>0</v>
      </c>
      <c r="E617" t="s">
        <v>6</v>
      </c>
      <c r="G617" t="s">
        <v>97</v>
      </c>
      <c r="H617" t="s">
        <v>14</v>
      </c>
      <c r="I617">
        <v>8.4066777943068452E-2</v>
      </c>
      <c r="J617" t="s">
        <v>6</v>
      </c>
    </row>
    <row r="618" spans="2:10" x14ac:dyDescent="0.45">
      <c r="B618" t="s">
        <v>96</v>
      </c>
      <c r="C618" t="s">
        <v>15</v>
      </c>
      <c r="D618">
        <v>5.649405404276356E-3</v>
      </c>
      <c r="E618" t="s">
        <v>6</v>
      </c>
      <c r="G618" t="s">
        <v>97</v>
      </c>
      <c r="H618" t="s">
        <v>15</v>
      </c>
      <c r="I618">
        <v>3.8483453566230647E-2</v>
      </c>
      <c r="J618" t="s">
        <v>6</v>
      </c>
    </row>
    <row r="619" spans="2:10" x14ac:dyDescent="0.45">
      <c r="B619" t="s">
        <v>96</v>
      </c>
      <c r="C619" t="s">
        <v>16</v>
      </c>
      <c r="D619">
        <v>6.7919247266171309E-2</v>
      </c>
      <c r="E619" t="s">
        <v>6</v>
      </c>
      <c r="G619" t="s">
        <v>97</v>
      </c>
      <c r="H619" t="s">
        <v>16</v>
      </c>
      <c r="I619">
        <v>2.5572725602772437E-2</v>
      </c>
      <c r="J619" t="s">
        <v>6</v>
      </c>
    </row>
    <row r="620" spans="2:10" x14ac:dyDescent="0.45">
      <c r="B620" t="s">
        <v>96</v>
      </c>
      <c r="C620" t="s">
        <v>17</v>
      </c>
      <c r="D620">
        <v>0.11070241685828151</v>
      </c>
      <c r="E620" t="s">
        <v>6</v>
      </c>
      <c r="G620" t="s">
        <v>97</v>
      </c>
      <c r="H620" t="s">
        <v>17</v>
      </c>
      <c r="I620">
        <v>2.6962468704374194E-2</v>
      </c>
      <c r="J620" t="s">
        <v>6</v>
      </c>
    </row>
    <row r="621" spans="2:10" x14ac:dyDescent="0.45">
      <c r="B621" t="s">
        <v>96</v>
      </c>
      <c r="C621" t="s">
        <v>18</v>
      </c>
      <c r="D621">
        <v>8.3573423863930976E-2</v>
      </c>
      <c r="E621" t="s">
        <v>6</v>
      </c>
      <c r="G621" t="s">
        <v>97</v>
      </c>
      <c r="H621" t="s">
        <v>18</v>
      </c>
      <c r="I621">
        <v>2.9916488458082688E-2</v>
      </c>
      <c r="J621" t="s">
        <v>6</v>
      </c>
    </row>
    <row r="622" spans="2:10" x14ac:dyDescent="0.45">
      <c r="B622" t="s">
        <v>96</v>
      </c>
      <c r="C622" t="s">
        <v>19</v>
      </c>
      <c r="D622">
        <v>1.7258794232123405E-2</v>
      </c>
      <c r="E622" t="s">
        <v>6</v>
      </c>
      <c r="G622" t="s">
        <v>97</v>
      </c>
      <c r="H622" t="s">
        <v>19</v>
      </c>
      <c r="I622">
        <v>3.1778605193178822E-2</v>
      </c>
      <c r="J622" t="s">
        <v>6</v>
      </c>
    </row>
    <row r="623" spans="2:10" x14ac:dyDescent="0.45">
      <c r="B623" t="s">
        <v>96</v>
      </c>
      <c r="C623" t="s">
        <v>20</v>
      </c>
      <c r="D623">
        <v>3.3609319728682125E-5</v>
      </c>
      <c r="E623" t="s">
        <v>6</v>
      </c>
      <c r="G623" t="s">
        <v>97</v>
      </c>
      <c r="H623" t="s">
        <v>20</v>
      </c>
      <c r="I623">
        <v>5.681380783845414E-2</v>
      </c>
      <c r="J623" t="s">
        <v>6</v>
      </c>
    </row>
    <row r="624" spans="2:10" x14ac:dyDescent="0.45">
      <c r="B624" t="s">
        <v>96</v>
      </c>
      <c r="C624" t="s">
        <v>21</v>
      </c>
      <c r="D624">
        <v>9.9331756399395395E-3</v>
      </c>
      <c r="E624" t="s">
        <v>6</v>
      </c>
      <c r="G624" t="s">
        <v>97</v>
      </c>
      <c r="H624" t="s">
        <v>21</v>
      </c>
      <c r="I624">
        <v>2.3046076551200934E-2</v>
      </c>
      <c r="J624" t="s">
        <v>6</v>
      </c>
    </row>
    <row r="625" spans="2:10" x14ac:dyDescent="0.45">
      <c r="B625" t="s">
        <v>96</v>
      </c>
      <c r="C625" t="s">
        <v>22</v>
      </c>
      <c r="D625">
        <v>8.4957161007638601E-2</v>
      </c>
      <c r="E625" t="s">
        <v>6</v>
      </c>
      <c r="G625" t="s">
        <v>97</v>
      </c>
      <c r="H625" t="s">
        <v>22</v>
      </c>
      <c r="I625">
        <v>1.3938792027779055E-2</v>
      </c>
      <c r="J625" t="s">
        <v>6</v>
      </c>
    </row>
    <row r="626" spans="2:10" x14ac:dyDescent="0.45">
      <c r="B626" t="s">
        <v>96</v>
      </c>
      <c r="C626" t="s">
        <v>23</v>
      </c>
      <c r="D626">
        <v>0.12861560348896228</v>
      </c>
      <c r="E626" t="s">
        <v>6</v>
      </c>
      <c r="G626" t="s">
        <v>97</v>
      </c>
      <c r="H626" t="s">
        <v>23</v>
      </c>
      <c r="I626">
        <v>1.7231546805092045E-2</v>
      </c>
      <c r="J626" t="s">
        <v>6</v>
      </c>
    </row>
    <row r="627" spans="2:10" x14ac:dyDescent="0.45">
      <c r="B627" t="s">
        <v>96</v>
      </c>
      <c r="C627" t="s">
        <v>24</v>
      </c>
      <c r="D627">
        <v>0.10016743850171481</v>
      </c>
      <c r="E627" t="s">
        <v>6</v>
      </c>
      <c r="G627" t="s">
        <v>97</v>
      </c>
      <c r="H627" t="s">
        <v>24</v>
      </c>
      <c r="I627">
        <v>2.1224022556923954E-2</v>
      </c>
      <c r="J627" t="s">
        <v>6</v>
      </c>
    </row>
    <row r="628" spans="2:10" x14ac:dyDescent="0.45">
      <c r="B628" t="s">
        <v>96</v>
      </c>
      <c r="C628" t="s">
        <v>25</v>
      </c>
      <c r="D628">
        <v>2.6495824555646332E-2</v>
      </c>
      <c r="E628" t="s">
        <v>6</v>
      </c>
      <c r="G628" t="s">
        <v>97</v>
      </c>
      <c r="H628" t="s">
        <v>25</v>
      </c>
      <c r="I628">
        <v>2.0400270834125014E-2</v>
      </c>
      <c r="J628" t="s">
        <v>6</v>
      </c>
    </row>
    <row r="629" spans="2:10" x14ac:dyDescent="0.45">
      <c r="B629" t="s">
        <v>96</v>
      </c>
      <c r="C629" t="s">
        <v>26</v>
      </c>
      <c r="D629">
        <v>0</v>
      </c>
      <c r="E629" t="s">
        <v>6</v>
      </c>
      <c r="G629" t="s">
        <v>97</v>
      </c>
      <c r="H629" t="s">
        <v>26</v>
      </c>
      <c r="I629">
        <v>0.10757572355970686</v>
      </c>
      <c r="J629" t="s">
        <v>6</v>
      </c>
    </row>
    <row r="630" spans="2:10" x14ac:dyDescent="0.45">
      <c r="B630" t="s">
        <v>96</v>
      </c>
      <c r="C630" t="s">
        <v>27</v>
      </c>
      <c r="D630">
        <v>1.4663628264616323E-3</v>
      </c>
      <c r="E630" t="s">
        <v>6</v>
      </c>
      <c r="G630" t="s">
        <v>97</v>
      </c>
      <c r="H630" t="s">
        <v>27</v>
      </c>
      <c r="I630">
        <v>5.3938007480895812E-2</v>
      </c>
      <c r="J630" t="s">
        <v>6</v>
      </c>
    </row>
    <row r="631" spans="2:10" x14ac:dyDescent="0.45">
      <c r="B631" t="s">
        <v>96</v>
      </c>
      <c r="C631" t="s">
        <v>28</v>
      </c>
      <c r="D631">
        <v>4.7350939559350283E-2</v>
      </c>
      <c r="E631" t="s">
        <v>6</v>
      </c>
      <c r="G631" t="s">
        <v>97</v>
      </c>
      <c r="H631" t="s">
        <v>28</v>
      </c>
      <c r="I631">
        <v>3.6347316763332943E-2</v>
      </c>
      <c r="J631" t="s">
        <v>6</v>
      </c>
    </row>
    <row r="632" spans="2:10" x14ac:dyDescent="0.45">
      <c r="B632" t="s">
        <v>96</v>
      </c>
      <c r="C632" t="s">
        <v>29</v>
      </c>
      <c r="D632">
        <v>8.5291469467451239E-2</v>
      </c>
      <c r="E632" t="s">
        <v>6</v>
      </c>
      <c r="G632" t="s">
        <v>97</v>
      </c>
      <c r="H632" t="s">
        <v>29</v>
      </c>
      <c r="I632">
        <v>3.509435686218193E-2</v>
      </c>
      <c r="J632" t="s">
        <v>6</v>
      </c>
    </row>
    <row r="633" spans="2:10" x14ac:dyDescent="0.45">
      <c r="B633" t="s">
        <v>96</v>
      </c>
      <c r="C633" t="s">
        <v>30</v>
      </c>
      <c r="D633">
        <v>5.5164992904968742E-2</v>
      </c>
      <c r="E633" t="s">
        <v>6</v>
      </c>
      <c r="G633" t="s">
        <v>97</v>
      </c>
      <c r="H633" t="s">
        <v>30</v>
      </c>
      <c r="I633">
        <v>3.486567586014732E-2</v>
      </c>
      <c r="J633" t="s">
        <v>6</v>
      </c>
    </row>
    <row r="634" spans="2:10" x14ac:dyDescent="0.45">
      <c r="B634" t="s">
        <v>96</v>
      </c>
      <c r="C634" t="s">
        <v>31</v>
      </c>
      <c r="D634">
        <v>4.9394320223791963E-3</v>
      </c>
      <c r="E634" t="s">
        <v>6</v>
      </c>
      <c r="G634" t="s">
        <v>97</v>
      </c>
      <c r="H634" t="s">
        <v>31</v>
      </c>
      <c r="I634">
        <v>3.8308906155650253E-2</v>
      </c>
      <c r="J634" t="s">
        <v>6</v>
      </c>
    </row>
    <row r="635" spans="2:10" x14ac:dyDescent="0.45">
      <c r="B635" t="s">
        <v>98</v>
      </c>
      <c r="C635" t="s">
        <v>5</v>
      </c>
      <c r="D635">
        <v>0</v>
      </c>
      <c r="E635" t="s">
        <v>6</v>
      </c>
      <c r="G635" t="s">
        <v>99</v>
      </c>
      <c r="H635" t="s">
        <v>5</v>
      </c>
      <c r="I635">
        <v>9.6657302371508644E-2</v>
      </c>
      <c r="J635" t="s">
        <v>6</v>
      </c>
    </row>
    <row r="636" spans="2:10" x14ac:dyDescent="0.45">
      <c r="B636" t="s">
        <v>98</v>
      </c>
      <c r="C636" t="s">
        <v>9</v>
      </c>
      <c r="D636">
        <v>6.8808767740971961E-5</v>
      </c>
      <c r="E636" t="s">
        <v>6</v>
      </c>
      <c r="G636" t="s">
        <v>99</v>
      </c>
      <c r="H636" t="s">
        <v>9</v>
      </c>
      <c r="I636">
        <v>4.6219668998260563E-2</v>
      </c>
      <c r="J636" t="s">
        <v>6</v>
      </c>
    </row>
    <row r="637" spans="2:10" x14ac:dyDescent="0.45">
      <c r="B637" t="s">
        <v>98</v>
      </c>
      <c r="C637" t="s">
        <v>10</v>
      </c>
      <c r="D637">
        <v>4.0980647454953827E-2</v>
      </c>
      <c r="E637" t="s">
        <v>6</v>
      </c>
      <c r="G637" t="s">
        <v>99</v>
      </c>
      <c r="H637" t="s">
        <v>10</v>
      </c>
      <c r="I637">
        <v>3.1217414428442392E-2</v>
      </c>
      <c r="J637" t="s">
        <v>6</v>
      </c>
    </row>
    <row r="638" spans="2:10" x14ac:dyDescent="0.45">
      <c r="B638" t="s">
        <v>98</v>
      </c>
      <c r="C638" t="s">
        <v>11</v>
      </c>
      <c r="D638">
        <v>9.3330218116218402E-2</v>
      </c>
      <c r="E638" t="s">
        <v>6</v>
      </c>
      <c r="G638" t="s">
        <v>99</v>
      </c>
      <c r="H638" t="s">
        <v>11</v>
      </c>
      <c r="I638">
        <v>3.0231330543767393E-2</v>
      </c>
      <c r="J638" t="s">
        <v>6</v>
      </c>
    </row>
    <row r="639" spans="2:10" x14ac:dyDescent="0.45">
      <c r="B639" t="s">
        <v>98</v>
      </c>
      <c r="C639" t="s">
        <v>12</v>
      </c>
      <c r="D639">
        <v>5.2639133008760206E-2</v>
      </c>
      <c r="E639" t="s">
        <v>6</v>
      </c>
      <c r="G639" t="s">
        <v>99</v>
      </c>
      <c r="H639" t="s">
        <v>12</v>
      </c>
      <c r="I639">
        <v>3.8138537693003759E-2</v>
      </c>
      <c r="J639" t="s">
        <v>6</v>
      </c>
    </row>
    <row r="640" spans="2:10" x14ac:dyDescent="0.45">
      <c r="B640" t="s">
        <v>98</v>
      </c>
      <c r="C640" t="s">
        <v>13</v>
      </c>
      <c r="D640">
        <v>1.4831019950723825E-3</v>
      </c>
      <c r="E640" t="s">
        <v>6</v>
      </c>
      <c r="G640" t="s">
        <v>99</v>
      </c>
      <c r="H640" t="s">
        <v>13</v>
      </c>
      <c r="I640">
        <v>4.124174222725311E-2</v>
      </c>
      <c r="J640" t="s">
        <v>6</v>
      </c>
    </row>
    <row r="641" spans="2:10" x14ac:dyDescent="0.45">
      <c r="B641" t="s">
        <v>98</v>
      </c>
      <c r="C641" t="s">
        <v>14</v>
      </c>
      <c r="D641">
        <v>0</v>
      </c>
      <c r="E641" t="s">
        <v>6</v>
      </c>
      <c r="G641" t="s">
        <v>99</v>
      </c>
      <c r="H641" t="s">
        <v>14</v>
      </c>
      <c r="I641">
        <v>7.9507569111907109E-2</v>
      </c>
      <c r="J641" t="s">
        <v>6</v>
      </c>
    </row>
    <row r="642" spans="2:10" x14ac:dyDescent="0.45">
      <c r="B642" t="s">
        <v>98</v>
      </c>
      <c r="C642" t="s">
        <v>15</v>
      </c>
      <c r="D642">
        <v>8.3224713904402094E-3</v>
      </c>
      <c r="E642" t="s">
        <v>6</v>
      </c>
      <c r="G642" t="s">
        <v>99</v>
      </c>
      <c r="H642" t="s">
        <v>15</v>
      </c>
      <c r="I642">
        <v>3.2332899887110488E-2</v>
      </c>
      <c r="J642" t="s">
        <v>6</v>
      </c>
    </row>
    <row r="643" spans="2:10" x14ac:dyDescent="0.45">
      <c r="B643" t="s">
        <v>98</v>
      </c>
      <c r="C643" t="s">
        <v>16</v>
      </c>
      <c r="D643">
        <v>7.1984367145872502E-2</v>
      </c>
      <c r="E643" t="s">
        <v>6</v>
      </c>
      <c r="G643" t="s">
        <v>99</v>
      </c>
      <c r="H643" t="s">
        <v>16</v>
      </c>
      <c r="I643">
        <v>2.1533955751250767E-2</v>
      </c>
      <c r="J643" t="s">
        <v>6</v>
      </c>
    </row>
    <row r="644" spans="2:10" x14ac:dyDescent="0.45">
      <c r="B644" t="s">
        <v>98</v>
      </c>
      <c r="C644" t="s">
        <v>17</v>
      </c>
      <c r="D644">
        <v>0.10880198742086059</v>
      </c>
      <c r="E644" t="s">
        <v>6</v>
      </c>
      <c r="G644" t="s">
        <v>99</v>
      </c>
      <c r="H644" t="s">
        <v>17</v>
      </c>
      <c r="I644">
        <v>2.6203343477602385E-2</v>
      </c>
      <c r="J644" t="s">
        <v>6</v>
      </c>
    </row>
    <row r="645" spans="2:10" x14ac:dyDescent="0.45">
      <c r="B645" t="s">
        <v>98</v>
      </c>
      <c r="C645" t="s">
        <v>18</v>
      </c>
      <c r="D645">
        <v>7.4935436621612797E-2</v>
      </c>
      <c r="E645" t="s">
        <v>6</v>
      </c>
      <c r="G645" t="s">
        <v>99</v>
      </c>
      <c r="H645" t="s">
        <v>18</v>
      </c>
      <c r="I645">
        <v>3.0377464390127777E-2</v>
      </c>
      <c r="J645" t="s">
        <v>6</v>
      </c>
    </row>
    <row r="646" spans="2:10" x14ac:dyDescent="0.45">
      <c r="B646" t="s">
        <v>98</v>
      </c>
      <c r="C646" t="s">
        <v>19</v>
      </c>
      <c r="D646">
        <v>1.133308965360012E-2</v>
      </c>
      <c r="E646" t="s">
        <v>6</v>
      </c>
      <c r="G646" t="s">
        <v>99</v>
      </c>
      <c r="H646" t="s">
        <v>19</v>
      </c>
      <c r="I646">
        <v>3.2658861351684075E-2</v>
      </c>
      <c r="J646" t="s">
        <v>6</v>
      </c>
    </row>
    <row r="647" spans="2:10" x14ac:dyDescent="0.45">
      <c r="B647" t="s">
        <v>98</v>
      </c>
      <c r="C647" t="s">
        <v>20</v>
      </c>
      <c r="D647">
        <v>0</v>
      </c>
      <c r="E647" t="s">
        <v>6</v>
      </c>
      <c r="G647" t="s">
        <v>99</v>
      </c>
      <c r="H647" t="s">
        <v>20</v>
      </c>
      <c r="I647">
        <v>6.4406790928882532E-2</v>
      </c>
      <c r="J647" t="s">
        <v>6</v>
      </c>
    </row>
    <row r="648" spans="2:10" x14ac:dyDescent="0.45">
      <c r="B648" t="s">
        <v>98</v>
      </c>
      <c r="C648" t="s">
        <v>21</v>
      </c>
      <c r="D648">
        <v>1.443886758387947E-2</v>
      </c>
      <c r="E648" t="s">
        <v>6</v>
      </c>
      <c r="G648" t="s">
        <v>99</v>
      </c>
      <c r="H648" t="s">
        <v>21</v>
      </c>
      <c r="I648">
        <v>2.2364716414624827E-2</v>
      </c>
      <c r="J648" t="s">
        <v>6</v>
      </c>
    </row>
    <row r="649" spans="2:10" x14ac:dyDescent="0.45">
      <c r="B649" t="s">
        <v>98</v>
      </c>
      <c r="C649" t="s">
        <v>22</v>
      </c>
      <c r="D649">
        <v>8.9348921566166958E-2</v>
      </c>
      <c r="E649" t="s">
        <v>6</v>
      </c>
      <c r="G649" t="s">
        <v>99</v>
      </c>
      <c r="H649" t="s">
        <v>22</v>
      </c>
      <c r="I649">
        <v>1.4943209763497629E-2</v>
      </c>
      <c r="J649" t="s">
        <v>6</v>
      </c>
    </row>
    <row r="650" spans="2:10" x14ac:dyDescent="0.45">
      <c r="B650" t="s">
        <v>98</v>
      </c>
      <c r="C650" t="s">
        <v>23</v>
      </c>
      <c r="D650">
        <v>0.12161600661957775</v>
      </c>
      <c r="E650" t="s">
        <v>6</v>
      </c>
      <c r="G650" t="s">
        <v>99</v>
      </c>
      <c r="H650" t="s">
        <v>23</v>
      </c>
      <c r="I650">
        <v>1.9981441720940518E-2</v>
      </c>
      <c r="J650" t="s">
        <v>6</v>
      </c>
    </row>
    <row r="651" spans="2:10" x14ac:dyDescent="0.45">
      <c r="B651" t="s">
        <v>98</v>
      </c>
      <c r="C651" t="s">
        <v>24</v>
      </c>
      <c r="D651">
        <v>8.7732527978270372E-2</v>
      </c>
      <c r="E651" t="s">
        <v>6</v>
      </c>
      <c r="G651" t="s">
        <v>99</v>
      </c>
      <c r="H651" t="s">
        <v>24</v>
      </c>
      <c r="I651">
        <v>2.6666269524113564E-2</v>
      </c>
      <c r="J651" t="s">
        <v>6</v>
      </c>
    </row>
    <row r="652" spans="2:10" x14ac:dyDescent="0.45">
      <c r="B652" t="s">
        <v>98</v>
      </c>
      <c r="C652" t="s">
        <v>25</v>
      </c>
      <c r="D652">
        <v>1.8662355073663192E-2</v>
      </c>
      <c r="E652" t="s">
        <v>6</v>
      </c>
      <c r="G652" t="s">
        <v>99</v>
      </c>
      <c r="H652" t="s">
        <v>25</v>
      </c>
      <c r="I652">
        <v>2.7318527577478258E-2</v>
      </c>
      <c r="J652" t="s">
        <v>6</v>
      </c>
    </row>
    <row r="653" spans="2:10" x14ac:dyDescent="0.45">
      <c r="B653" t="s">
        <v>98</v>
      </c>
      <c r="C653" t="s">
        <v>26</v>
      </c>
      <c r="D653">
        <v>0</v>
      </c>
      <c r="E653" t="s">
        <v>6</v>
      </c>
      <c r="G653" t="s">
        <v>99</v>
      </c>
      <c r="H653" t="s">
        <v>26</v>
      </c>
      <c r="I653">
        <v>0.10972983653661868</v>
      </c>
      <c r="J653" t="s">
        <v>6</v>
      </c>
    </row>
    <row r="654" spans="2:10" x14ac:dyDescent="0.45">
      <c r="B654" t="s">
        <v>98</v>
      </c>
      <c r="C654" t="s">
        <v>27</v>
      </c>
      <c r="D654">
        <v>2.8336513406642004E-3</v>
      </c>
      <c r="E654" t="s">
        <v>6</v>
      </c>
      <c r="G654" t="s">
        <v>99</v>
      </c>
      <c r="H654" t="s">
        <v>27</v>
      </c>
      <c r="I654">
        <v>5.4278031188817959E-2</v>
      </c>
      <c r="J654" t="s">
        <v>6</v>
      </c>
    </row>
    <row r="655" spans="2:10" x14ac:dyDescent="0.45">
      <c r="B655" t="s">
        <v>98</v>
      </c>
      <c r="C655" t="s">
        <v>28</v>
      </c>
      <c r="D655">
        <v>5.3928279054500594E-2</v>
      </c>
      <c r="E655" t="s">
        <v>6</v>
      </c>
      <c r="G655" t="s">
        <v>99</v>
      </c>
      <c r="H655" t="s">
        <v>28</v>
      </c>
      <c r="I655">
        <v>3.6118690893070043E-2</v>
      </c>
      <c r="J655" t="s">
        <v>6</v>
      </c>
    </row>
    <row r="656" spans="2:10" x14ac:dyDescent="0.45">
      <c r="B656" t="s">
        <v>98</v>
      </c>
      <c r="C656" t="s">
        <v>29</v>
      </c>
      <c r="D656">
        <v>9.1404453516674145E-2</v>
      </c>
      <c r="E656" t="s">
        <v>6</v>
      </c>
      <c r="G656" t="s">
        <v>99</v>
      </c>
      <c r="H656" t="s">
        <v>29</v>
      </c>
      <c r="I656">
        <v>3.8692381778074145E-2</v>
      </c>
      <c r="J656" t="s">
        <v>6</v>
      </c>
    </row>
    <row r="657" spans="2:10" x14ac:dyDescent="0.45">
      <c r="B657" t="s">
        <v>98</v>
      </c>
      <c r="C657" t="s">
        <v>30</v>
      </c>
      <c r="D657">
        <v>5.3381935120168443E-2</v>
      </c>
      <c r="E657" t="s">
        <v>6</v>
      </c>
      <c r="G657" t="s">
        <v>99</v>
      </c>
      <c r="H657" t="s">
        <v>30</v>
      </c>
      <c r="I657">
        <v>3.8695468543376764E-2</v>
      </c>
      <c r="J657" t="s">
        <v>6</v>
      </c>
    </row>
    <row r="658" spans="2:10" x14ac:dyDescent="0.45">
      <c r="B658" t="s">
        <v>98</v>
      </c>
      <c r="C658" t="s">
        <v>31</v>
      </c>
      <c r="D658">
        <v>2.7737405713022722E-3</v>
      </c>
      <c r="E658" t="s">
        <v>6</v>
      </c>
      <c r="G658" t="s">
        <v>99</v>
      </c>
      <c r="H658" t="s">
        <v>31</v>
      </c>
      <c r="I658">
        <v>4.0484544898585204E-2</v>
      </c>
      <c r="J658" t="s">
        <v>6</v>
      </c>
    </row>
    <row r="659" spans="2:10" x14ac:dyDescent="0.45">
      <c r="B659" t="s">
        <v>100</v>
      </c>
      <c r="C659" t="s">
        <v>5</v>
      </c>
      <c r="D659">
        <v>0</v>
      </c>
      <c r="E659" t="s">
        <v>6</v>
      </c>
      <c r="G659" t="s">
        <v>101</v>
      </c>
      <c r="H659" t="s">
        <v>5</v>
      </c>
      <c r="I659">
        <v>9.1564568070932828E-2</v>
      </c>
      <c r="J659" t="s">
        <v>6</v>
      </c>
    </row>
    <row r="660" spans="2:10" x14ac:dyDescent="0.45">
      <c r="B660" t="s">
        <v>100</v>
      </c>
      <c r="C660" t="s">
        <v>9</v>
      </c>
      <c r="D660">
        <v>4.5624920583315371E-5</v>
      </c>
      <c r="E660" t="s">
        <v>6</v>
      </c>
      <c r="G660" t="s">
        <v>101</v>
      </c>
      <c r="H660" t="s">
        <v>9</v>
      </c>
      <c r="I660">
        <v>4.4819351807558729E-2</v>
      </c>
      <c r="J660" t="s">
        <v>6</v>
      </c>
    </row>
    <row r="661" spans="2:10" x14ac:dyDescent="0.45">
      <c r="B661" t="s">
        <v>100</v>
      </c>
      <c r="C661" t="s">
        <v>10</v>
      </c>
      <c r="D661">
        <v>3.7329891071097632E-2</v>
      </c>
      <c r="E661" t="s">
        <v>6</v>
      </c>
      <c r="G661" t="s">
        <v>101</v>
      </c>
      <c r="H661" t="s">
        <v>10</v>
      </c>
      <c r="I661">
        <v>3.2888738198672121E-2</v>
      </c>
      <c r="J661" t="s">
        <v>6</v>
      </c>
    </row>
    <row r="662" spans="2:10" x14ac:dyDescent="0.45">
      <c r="B662" t="s">
        <v>100</v>
      </c>
      <c r="C662" t="s">
        <v>11</v>
      </c>
      <c r="D662">
        <v>8.6848021117476359E-2</v>
      </c>
      <c r="E662" t="s">
        <v>6</v>
      </c>
      <c r="G662" t="s">
        <v>101</v>
      </c>
      <c r="H662" t="s">
        <v>11</v>
      </c>
      <c r="I662">
        <v>3.4083941773462891E-2</v>
      </c>
      <c r="J662" t="s">
        <v>6</v>
      </c>
    </row>
    <row r="663" spans="2:10" x14ac:dyDescent="0.45">
      <c r="B663" t="s">
        <v>100</v>
      </c>
      <c r="C663" t="s">
        <v>12</v>
      </c>
      <c r="D663">
        <v>4.6728109107333049E-2</v>
      </c>
      <c r="E663" t="s">
        <v>6</v>
      </c>
      <c r="G663" t="s">
        <v>101</v>
      </c>
      <c r="H663" t="s">
        <v>12</v>
      </c>
      <c r="I663">
        <v>3.8921274327503336E-2</v>
      </c>
      <c r="J663" t="s">
        <v>6</v>
      </c>
    </row>
    <row r="664" spans="2:10" x14ac:dyDescent="0.45">
      <c r="B664" t="s">
        <v>100</v>
      </c>
      <c r="C664" t="s">
        <v>13</v>
      </c>
      <c r="D664">
        <v>1.3505299497668928E-3</v>
      </c>
      <c r="E664" t="s">
        <v>6</v>
      </c>
      <c r="G664" t="s">
        <v>101</v>
      </c>
      <c r="H664" t="s">
        <v>13</v>
      </c>
      <c r="I664">
        <v>3.7980272615743126E-2</v>
      </c>
      <c r="J664" t="s">
        <v>6</v>
      </c>
    </row>
    <row r="665" spans="2:10" x14ac:dyDescent="0.45">
      <c r="B665" t="s">
        <v>100</v>
      </c>
      <c r="C665" t="s">
        <v>14</v>
      </c>
      <c r="D665">
        <v>0</v>
      </c>
      <c r="E665" t="s">
        <v>6</v>
      </c>
      <c r="G665" t="s">
        <v>101</v>
      </c>
      <c r="H665" t="s">
        <v>14</v>
      </c>
      <c r="I665">
        <v>7.5915926994972016E-2</v>
      </c>
      <c r="J665" t="s">
        <v>6</v>
      </c>
    </row>
    <row r="666" spans="2:10" x14ac:dyDescent="0.45">
      <c r="B666" t="s">
        <v>100</v>
      </c>
      <c r="C666" t="s">
        <v>15</v>
      </c>
      <c r="D666">
        <v>8.5232225847570679E-3</v>
      </c>
      <c r="E666" t="s">
        <v>6</v>
      </c>
      <c r="G666" t="s">
        <v>101</v>
      </c>
      <c r="H666" t="s">
        <v>15</v>
      </c>
      <c r="I666">
        <v>3.4867672624846704E-2</v>
      </c>
      <c r="J666" t="s">
        <v>6</v>
      </c>
    </row>
    <row r="667" spans="2:10" x14ac:dyDescent="0.45">
      <c r="B667" t="s">
        <v>100</v>
      </c>
      <c r="C667" t="s">
        <v>16</v>
      </c>
      <c r="D667">
        <v>7.2931015440642538E-2</v>
      </c>
      <c r="E667" t="s">
        <v>6</v>
      </c>
      <c r="G667" t="s">
        <v>101</v>
      </c>
      <c r="H667" t="s">
        <v>16</v>
      </c>
      <c r="I667">
        <v>2.8145550631517333E-2</v>
      </c>
      <c r="J667" t="s">
        <v>6</v>
      </c>
    </row>
    <row r="668" spans="2:10" x14ac:dyDescent="0.45">
      <c r="B668" t="s">
        <v>100</v>
      </c>
      <c r="C668" t="s">
        <v>17</v>
      </c>
      <c r="D668">
        <v>0.10712868466362575</v>
      </c>
      <c r="E668" t="s">
        <v>6</v>
      </c>
      <c r="G668" t="s">
        <v>101</v>
      </c>
      <c r="H668" t="s">
        <v>17</v>
      </c>
      <c r="I668">
        <v>3.4275801894475981E-2</v>
      </c>
      <c r="J668" t="s">
        <v>6</v>
      </c>
    </row>
    <row r="669" spans="2:10" x14ac:dyDescent="0.45">
      <c r="B669" t="s">
        <v>100</v>
      </c>
      <c r="C669" t="s">
        <v>18</v>
      </c>
      <c r="D669">
        <v>7.2231852964702095E-2</v>
      </c>
      <c r="E669" t="s">
        <v>6</v>
      </c>
      <c r="G669" t="s">
        <v>101</v>
      </c>
      <c r="H669" t="s">
        <v>18</v>
      </c>
      <c r="I669">
        <v>3.795133054914418E-2</v>
      </c>
      <c r="J669" t="s">
        <v>6</v>
      </c>
    </row>
    <row r="670" spans="2:10" x14ac:dyDescent="0.45">
      <c r="B670" t="s">
        <v>100</v>
      </c>
      <c r="C670" t="s">
        <v>19</v>
      </c>
      <c r="D670">
        <v>1.1035487940880589E-2</v>
      </c>
      <c r="E670" t="s">
        <v>6</v>
      </c>
      <c r="G670" t="s">
        <v>101</v>
      </c>
      <c r="H670" t="s">
        <v>19</v>
      </c>
      <c r="I670">
        <v>3.4890808256171676E-2</v>
      </c>
      <c r="J670" t="s">
        <v>6</v>
      </c>
    </row>
    <row r="671" spans="2:10" x14ac:dyDescent="0.45">
      <c r="B671" t="s">
        <v>100</v>
      </c>
      <c r="C671" t="s">
        <v>20</v>
      </c>
      <c r="D671">
        <v>0</v>
      </c>
      <c r="E671" t="s">
        <v>6</v>
      </c>
      <c r="G671" t="s">
        <v>101</v>
      </c>
      <c r="H671" t="s">
        <v>20</v>
      </c>
      <c r="I671">
        <v>5.2930421339700537E-2</v>
      </c>
      <c r="J671" t="s">
        <v>6</v>
      </c>
    </row>
    <row r="672" spans="2:10" x14ac:dyDescent="0.45">
      <c r="B672" t="s">
        <v>100</v>
      </c>
      <c r="C672" t="s">
        <v>21</v>
      </c>
      <c r="D672">
        <v>1.5674947379676236E-2</v>
      </c>
      <c r="E672" t="s">
        <v>6</v>
      </c>
      <c r="G672" t="s">
        <v>101</v>
      </c>
      <c r="H672" t="s">
        <v>21</v>
      </c>
      <c r="I672">
        <v>2.2016231731112886E-2</v>
      </c>
      <c r="J672" t="s">
        <v>6</v>
      </c>
    </row>
    <row r="673" spans="2:10" x14ac:dyDescent="0.45">
      <c r="B673" t="s">
        <v>100</v>
      </c>
      <c r="C673" t="s">
        <v>22</v>
      </c>
      <c r="D673">
        <v>9.4601493208917142E-2</v>
      </c>
      <c r="E673" t="s">
        <v>6</v>
      </c>
      <c r="G673" t="s">
        <v>101</v>
      </c>
      <c r="H673" t="s">
        <v>22</v>
      </c>
      <c r="I673">
        <v>1.8514221524096198E-2</v>
      </c>
      <c r="J673" t="s">
        <v>6</v>
      </c>
    </row>
    <row r="674" spans="2:10" x14ac:dyDescent="0.45">
      <c r="B674" t="s">
        <v>100</v>
      </c>
      <c r="C674" t="s">
        <v>23</v>
      </c>
      <c r="D674">
        <v>0.13132055168674062</v>
      </c>
      <c r="E674" t="s">
        <v>6</v>
      </c>
      <c r="G674" t="s">
        <v>101</v>
      </c>
      <c r="H674" t="s">
        <v>23</v>
      </c>
      <c r="I674">
        <v>2.3294900355432135E-2</v>
      </c>
      <c r="J674" t="s">
        <v>6</v>
      </c>
    </row>
    <row r="675" spans="2:10" x14ac:dyDescent="0.45">
      <c r="B675" t="s">
        <v>100</v>
      </c>
      <c r="C675" t="s">
        <v>24</v>
      </c>
      <c r="D675">
        <v>9.4556982135823198E-2</v>
      </c>
      <c r="E675" t="s">
        <v>6</v>
      </c>
      <c r="G675" t="s">
        <v>101</v>
      </c>
      <c r="H675" t="s">
        <v>24</v>
      </c>
      <c r="I675">
        <v>2.6057726402886307E-2</v>
      </c>
      <c r="J675" t="s">
        <v>6</v>
      </c>
    </row>
    <row r="676" spans="2:10" x14ac:dyDescent="0.45">
      <c r="B676" t="s">
        <v>100</v>
      </c>
      <c r="C676" t="s">
        <v>25</v>
      </c>
      <c r="D676">
        <v>2.0175876594287764E-2</v>
      </c>
      <c r="E676" t="s">
        <v>6</v>
      </c>
      <c r="G676" t="s">
        <v>101</v>
      </c>
      <c r="H676" t="s">
        <v>25</v>
      </c>
      <c r="I676">
        <v>2.3928645402871356E-2</v>
      </c>
      <c r="J676" t="s">
        <v>6</v>
      </c>
    </row>
    <row r="677" spans="2:10" x14ac:dyDescent="0.45">
      <c r="B677" t="s">
        <v>100</v>
      </c>
      <c r="C677" t="s">
        <v>26</v>
      </c>
      <c r="D677">
        <v>0</v>
      </c>
      <c r="E677" t="s">
        <v>6</v>
      </c>
      <c r="G677" t="s">
        <v>101</v>
      </c>
      <c r="H677" t="s">
        <v>26</v>
      </c>
      <c r="I677">
        <v>0.10177319346545992</v>
      </c>
      <c r="J677" t="s">
        <v>6</v>
      </c>
    </row>
    <row r="678" spans="2:10" x14ac:dyDescent="0.45">
      <c r="B678" t="s">
        <v>100</v>
      </c>
      <c r="C678" t="s">
        <v>27</v>
      </c>
      <c r="D678">
        <v>2.5589230453427871E-3</v>
      </c>
      <c r="E678" t="s">
        <v>6</v>
      </c>
      <c r="G678" t="s">
        <v>101</v>
      </c>
      <c r="H678" t="s">
        <v>27</v>
      </c>
      <c r="I678">
        <v>4.9955398756114634E-2</v>
      </c>
      <c r="J678" t="s">
        <v>6</v>
      </c>
    </row>
    <row r="679" spans="2:10" x14ac:dyDescent="0.45">
      <c r="B679" t="s">
        <v>100</v>
      </c>
      <c r="C679" t="s">
        <v>28</v>
      </c>
      <c r="D679">
        <v>5.160897472703483E-2</v>
      </c>
      <c r="E679" t="s">
        <v>6</v>
      </c>
      <c r="G679" t="s">
        <v>101</v>
      </c>
      <c r="H679" t="s">
        <v>28</v>
      </c>
      <c r="I679">
        <v>3.7427231381191112E-2</v>
      </c>
      <c r="J679" t="s">
        <v>6</v>
      </c>
    </row>
    <row r="680" spans="2:10" x14ac:dyDescent="0.45">
      <c r="B680" t="s">
        <v>100</v>
      </c>
      <c r="C680" t="s">
        <v>29</v>
      </c>
      <c r="D680">
        <v>9.0816146477054494E-2</v>
      </c>
      <c r="E680" t="s">
        <v>6</v>
      </c>
      <c r="G680" t="s">
        <v>101</v>
      </c>
      <c r="H680" t="s">
        <v>29</v>
      </c>
      <c r="I680">
        <v>3.9530287371859422E-2</v>
      </c>
      <c r="J680" t="s">
        <v>6</v>
      </c>
    </row>
    <row r="681" spans="2:10" x14ac:dyDescent="0.45">
      <c r="B681" t="s">
        <v>100</v>
      </c>
      <c r="C681" t="s">
        <v>30</v>
      </c>
      <c r="D681">
        <v>5.1837445605164192E-2</v>
      </c>
      <c r="E681" t="s">
        <v>6</v>
      </c>
      <c r="G681" t="s">
        <v>101</v>
      </c>
      <c r="H681" t="s">
        <v>30</v>
      </c>
      <c r="I681">
        <v>3.9489275472562847E-2</v>
      </c>
      <c r="J681" t="s">
        <v>6</v>
      </c>
    </row>
    <row r="682" spans="2:10" x14ac:dyDescent="0.45">
      <c r="B682" t="s">
        <v>100</v>
      </c>
      <c r="C682" t="s">
        <v>31</v>
      </c>
      <c r="D682">
        <v>2.696219379093757E-3</v>
      </c>
      <c r="E682" t="s">
        <v>6</v>
      </c>
      <c r="G682" t="s">
        <v>101</v>
      </c>
      <c r="H682" t="s">
        <v>31</v>
      </c>
      <c r="I682">
        <v>3.8777229051713928E-2</v>
      </c>
      <c r="J682" t="s">
        <v>6</v>
      </c>
    </row>
    <row r="683" spans="2:10" x14ac:dyDescent="0.45">
      <c r="B683" t="s">
        <v>102</v>
      </c>
      <c r="C683" t="s">
        <v>5</v>
      </c>
      <c r="D683">
        <v>0</v>
      </c>
      <c r="E683" t="s">
        <v>6</v>
      </c>
    </row>
    <row r="684" spans="2:10" x14ac:dyDescent="0.45">
      <c r="B684" t="s">
        <v>102</v>
      </c>
      <c r="C684" t="s">
        <v>9</v>
      </c>
      <c r="D684">
        <v>3.2649737383290991E-7</v>
      </c>
      <c r="E684" t="s">
        <v>6</v>
      </c>
    </row>
    <row r="685" spans="2:10" x14ac:dyDescent="0.45">
      <c r="B685" t="s">
        <v>102</v>
      </c>
      <c r="C685" t="s">
        <v>10</v>
      </c>
      <c r="D685">
        <v>3.465961191410024E-2</v>
      </c>
      <c r="E685" t="s">
        <v>6</v>
      </c>
    </row>
    <row r="686" spans="2:10" x14ac:dyDescent="0.45">
      <c r="B686" t="s">
        <v>102</v>
      </c>
      <c r="C686" t="s">
        <v>11</v>
      </c>
      <c r="D686">
        <v>8.5469590800846929E-2</v>
      </c>
      <c r="E686" t="s">
        <v>6</v>
      </c>
    </row>
    <row r="687" spans="2:10" x14ac:dyDescent="0.45">
      <c r="B687" t="s">
        <v>102</v>
      </c>
      <c r="C687" t="s">
        <v>12</v>
      </c>
      <c r="D687">
        <v>5.494299817908864E-2</v>
      </c>
      <c r="E687" t="s">
        <v>6</v>
      </c>
    </row>
    <row r="688" spans="2:10" x14ac:dyDescent="0.45">
      <c r="B688" t="s">
        <v>102</v>
      </c>
      <c r="C688" t="s">
        <v>13</v>
      </c>
      <c r="D688">
        <v>2.2120862021273238E-3</v>
      </c>
      <c r="E688" t="s">
        <v>6</v>
      </c>
    </row>
    <row r="689" spans="2:5" x14ac:dyDescent="0.45">
      <c r="B689" t="s">
        <v>102</v>
      </c>
      <c r="C689" t="s">
        <v>14</v>
      </c>
      <c r="D689">
        <v>0</v>
      </c>
      <c r="E689" t="s">
        <v>6</v>
      </c>
    </row>
    <row r="690" spans="2:5" x14ac:dyDescent="0.45">
      <c r="B690" t="s">
        <v>102</v>
      </c>
      <c r="C690" t="s">
        <v>15</v>
      </c>
      <c r="D690">
        <v>6.8677068391988193E-3</v>
      </c>
      <c r="E690" t="s">
        <v>6</v>
      </c>
    </row>
    <row r="691" spans="2:5" x14ac:dyDescent="0.45">
      <c r="B691" t="s">
        <v>102</v>
      </c>
      <c r="C691" t="s">
        <v>16</v>
      </c>
      <c r="D691">
        <v>6.7467678419885116E-2</v>
      </c>
      <c r="E691" t="s">
        <v>6</v>
      </c>
    </row>
    <row r="692" spans="2:5" x14ac:dyDescent="0.45">
      <c r="B692" t="s">
        <v>102</v>
      </c>
      <c r="C692" t="s">
        <v>17</v>
      </c>
      <c r="D692">
        <v>0.10678247644264019</v>
      </c>
      <c r="E692" t="s">
        <v>6</v>
      </c>
    </row>
    <row r="693" spans="2:5" x14ac:dyDescent="0.45">
      <c r="B693" t="s">
        <v>102</v>
      </c>
      <c r="C693" t="s">
        <v>18</v>
      </c>
      <c r="D693">
        <v>7.6983103897994856E-2</v>
      </c>
      <c r="E693" t="s">
        <v>6</v>
      </c>
    </row>
    <row r="694" spans="2:5" x14ac:dyDescent="0.45">
      <c r="B694" t="s">
        <v>102</v>
      </c>
      <c r="C694" t="s">
        <v>19</v>
      </c>
      <c r="D694">
        <v>1.3522091470773823E-2</v>
      </c>
      <c r="E694" t="s">
        <v>6</v>
      </c>
    </row>
    <row r="695" spans="2:5" x14ac:dyDescent="0.45">
      <c r="B695" t="s">
        <v>102</v>
      </c>
      <c r="C695" t="s">
        <v>20</v>
      </c>
      <c r="D695">
        <v>3.4866605707195656E-7</v>
      </c>
      <c r="E695" t="s">
        <v>6</v>
      </c>
    </row>
    <row r="696" spans="2:5" x14ac:dyDescent="0.45">
      <c r="B696" t="s">
        <v>102</v>
      </c>
      <c r="C696" t="s">
        <v>21</v>
      </c>
      <c r="D696">
        <v>1.2647198499873358E-2</v>
      </c>
      <c r="E696" t="s">
        <v>6</v>
      </c>
    </row>
    <row r="697" spans="2:5" x14ac:dyDescent="0.45">
      <c r="B697" t="s">
        <v>102</v>
      </c>
      <c r="C697" t="s">
        <v>22</v>
      </c>
      <c r="D697">
        <v>9.0556519423828349E-2</v>
      </c>
      <c r="E697" t="s">
        <v>6</v>
      </c>
    </row>
    <row r="698" spans="2:5" x14ac:dyDescent="0.45">
      <c r="B698" t="s">
        <v>102</v>
      </c>
      <c r="C698" t="s">
        <v>23</v>
      </c>
      <c r="D698">
        <v>0.13014996848799923</v>
      </c>
      <c r="E698" t="s">
        <v>6</v>
      </c>
    </row>
    <row r="699" spans="2:5" x14ac:dyDescent="0.45">
      <c r="B699" t="s">
        <v>102</v>
      </c>
      <c r="C699" t="s">
        <v>24</v>
      </c>
      <c r="D699">
        <v>9.7684524980714227E-2</v>
      </c>
      <c r="E699" t="s">
        <v>6</v>
      </c>
    </row>
    <row r="700" spans="2:5" x14ac:dyDescent="0.45">
      <c r="B700" t="s">
        <v>102</v>
      </c>
      <c r="C700" t="s">
        <v>25</v>
      </c>
      <c r="D700">
        <v>2.2932239179151537E-2</v>
      </c>
      <c r="E700" t="s">
        <v>6</v>
      </c>
    </row>
    <row r="701" spans="2:5" x14ac:dyDescent="0.45">
      <c r="B701" t="s">
        <v>102</v>
      </c>
      <c r="C701" t="s">
        <v>26</v>
      </c>
      <c r="D701">
        <v>0</v>
      </c>
      <c r="E701" t="s">
        <v>6</v>
      </c>
    </row>
    <row r="702" spans="2:5" x14ac:dyDescent="0.45">
      <c r="B702" t="s">
        <v>102</v>
      </c>
      <c r="C702" t="s">
        <v>27</v>
      </c>
      <c r="D702">
        <v>2.1945348041100864E-3</v>
      </c>
      <c r="E702" t="s">
        <v>6</v>
      </c>
    </row>
    <row r="703" spans="2:5" x14ac:dyDescent="0.45">
      <c r="B703" t="s">
        <v>102</v>
      </c>
      <c r="C703" t="s">
        <v>28</v>
      </c>
      <c r="D703">
        <v>4.9889333603992128E-2</v>
      </c>
      <c r="E703" t="s">
        <v>6</v>
      </c>
    </row>
    <row r="704" spans="2:5" x14ac:dyDescent="0.45">
      <c r="B704" t="s">
        <v>102</v>
      </c>
      <c r="C704" t="s">
        <v>29</v>
      </c>
      <c r="D704">
        <v>8.7798665852069468E-2</v>
      </c>
      <c r="E704" t="s">
        <v>6</v>
      </c>
    </row>
    <row r="705" spans="2:5" x14ac:dyDescent="0.45">
      <c r="B705" t="s">
        <v>102</v>
      </c>
      <c r="C705" t="s">
        <v>30</v>
      </c>
      <c r="D705">
        <v>5.3547324714406382E-2</v>
      </c>
      <c r="E705" t="s">
        <v>6</v>
      </c>
    </row>
    <row r="706" spans="2:5" x14ac:dyDescent="0.45">
      <c r="B706" t="s">
        <v>102</v>
      </c>
      <c r="C706" t="s">
        <v>31</v>
      </c>
      <c r="D706">
        <v>3.6916711237677097E-3</v>
      </c>
      <c r="E706" t="s">
        <v>6</v>
      </c>
    </row>
    <row r="707" spans="2:5" x14ac:dyDescent="0.45">
      <c r="B707" t="s">
        <v>103</v>
      </c>
      <c r="C707" t="s">
        <v>5</v>
      </c>
      <c r="D707">
        <v>0</v>
      </c>
      <c r="E707" t="s">
        <v>6</v>
      </c>
    </row>
    <row r="708" spans="2:5" x14ac:dyDescent="0.45">
      <c r="B708" t="s">
        <v>103</v>
      </c>
      <c r="C708" t="s">
        <v>9</v>
      </c>
      <c r="D708">
        <v>0</v>
      </c>
      <c r="E708" t="s">
        <v>6</v>
      </c>
    </row>
    <row r="709" spans="2:5" x14ac:dyDescent="0.45">
      <c r="B709" t="s">
        <v>103</v>
      </c>
      <c r="C709" t="s">
        <v>10</v>
      </c>
      <c r="D709">
        <v>3.2352837091061612E-2</v>
      </c>
      <c r="E709" t="s">
        <v>6</v>
      </c>
    </row>
    <row r="710" spans="2:5" x14ac:dyDescent="0.45">
      <c r="B710" t="s">
        <v>103</v>
      </c>
      <c r="C710" t="s">
        <v>11</v>
      </c>
      <c r="D710">
        <v>7.8094354899472126E-2</v>
      </c>
      <c r="E710" t="s">
        <v>6</v>
      </c>
    </row>
    <row r="711" spans="2:5" x14ac:dyDescent="0.45">
      <c r="B711" t="s">
        <v>103</v>
      </c>
      <c r="C711" t="s">
        <v>12</v>
      </c>
      <c r="D711">
        <v>4.7696305781635112E-2</v>
      </c>
      <c r="E711" t="s">
        <v>6</v>
      </c>
    </row>
    <row r="712" spans="2:5" x14ac:dyDescent="0.45">
      <c r="B712" t="s">
        <v>103</v>
      </c>
      <c r="C712" t="s">
        <v>13</v>
      </c>
      <c r="D712">
        <v>1.7224837255653013E-3</v>
      </c>
      <c r="E712" t="s">
        <v>6</v>
      </c>
    </row>
    <row r="713" spans="2:5" x14ac:dyDescent="0.45">
      <c r="B713" t="s">
        <v>103</v>
      </c>
      <c r="C713" t="s">
        <v>14</v>
      </c>
      <c r="D713">
        <v>0</v>
      </c>
      <c r="E713" t="s">
        <v>6</v>
      </c>
    </row>
    <row r="714" spans="2:5" x14ac:dyDescent="0.45">
      <c r="B714" t="s">
        <v>103</v>
      </c>
      <c r="C714" t="s">
        <v>15</v>
      </c>
      <c r="D714">
        <v>7.4829300039747993E-3</v>
      </c>
      <c r="E714" t="s">
        <v>6</v>
      </c>
    </row>
    <row r="715" spans="2:5" x14ac:dyDescent="0.45">
      <c r="B715" t="s">
        <v>103</v>
      </c>
      <c r="C715" t="s">
        <v>16</v>
      </c>
      <c r="D715">
        <v>7.017084484232898E-2</v>
      </c>
      <c r="E715" t="s">
        <v>6</v>
      </c>
    </row>
    <row r="716" spans="2:5" x14ac:dyDescent="0.45">
      <c r="B716" t="s">
        <v>103</v>
      </c>
      <c r="C716" t="s">
        <v>17</v>
      </c>
      <c r="D716">
        <v>0.10866328119837118</v>
      </c>
      <c r="E716" t="s">
        <v>6</v>
      </c>
    </row>
    <row r="717" spans="2:5" x14ac:dyDescent="0.45">
      <c r="B717" t="s">
        <v>103</v>
      </c>
      <c r="C717" t="s">
        <v>18</v>
      </c>
      <c r="D717">
        <v>7.739868289883943E-2</v>
      </c>
      <c r="E717" t="s">
        <v>6</v>
      </c>
    </row>
    <row r="718" spans="2:5" x14ac:dyDescent="0.45">
      <c r="B718" t="s">
        <v>103</v>
      </c>
      <c r="C718" t="s">
        <v>19</v>
      </c>
      <c r="D718">
        <v>1.3444928033639423E-2</v>
      </c>
      <c r="E718" t="s">
        <v>6</v>
      </c>
    </row>
    <row r="719" spans="2:5" x14ac:dyDescent="0.45">
      <c r="B719" t="s">
        <v>103</v>
      </c>
      <c r="C719" t="s">
        <v>20</v>
      </c>
      <c r="D719">
        <v>3.1811095593846203E-6</v>
      </c>
      <c r="E719" t="s">
        <v>6</v>
      </c>
    </row>
    <row r="720" spans="2:5" x14ac:dyDescent="0.45">
      <c r="B720" t="s">
        <v>103</v>
      </c>
      <c r="C720" t="s">
        <v>21</v>
      </c>
      <c r="D720">
        <v>1.3873799976194551E-2</v>
      </c>
      <c r="E720" t="s">
        <v>6</v>
      </c>
    </row>
    <row r="721" spans="2:5" x14ac:dyDescent="0.45">
      <c r="B721" t="s">
        <v>103</v>
      </c>
      <c r="C721" t="s">
        <v>22</v>
      </c>
      <c r="D721">
        <v>9.3263012936845982E-2</v>
      </c>
      <c r="E721" t="s">
        <v>6</v>
      </c>
    </row>
    <row r="722" spans="2:5" x14ac:dyDescent="0.45">
      <c r="B722" t="s">
        <v>103</v>
      </c>
      <c r="C722" t="s">
        <v>23</v>
      </c>
      <c r="D722">
        <v>0.13423736055196581</v>
      </c>
      <c r="E722" t="s">
        <v>6</v>
      </c>
    </row>
    <row r="723" spans="2:5" x14ac:dyDescent="0.45">
      <c r="B723" t="s">
        <v>103</v>
      </c>
      <c r="C723" t="s">
        <v>24</v>
      </c>
      <c r="D723">
        <v>0.10026113179200155</v>
      </c>
      <c r="E723" t="s">
        <v>6</v>
      </c>
    </row>
    <row r="724" spans="2:5" x14ac:dyDescent="0.45">
      <c r="B724" t="s">
        <v>103</v>
      </c>
      <c r="C724" t="s">
        <v>25</v>
      </c>
      <c r="D724">
        <v>2.3571383408116767E-2</v>
      </c>
      <c r="E724" t="s">
        <v>6</v>
      </c>
    </row>
    <row r="725" spans="2:5" x14ac:dyDescent="0.45">
      <c r="B725" t="s">
        <v>103</v>
      </c>
      <c r="C725" t="s">
        <v>26</v>
      </c>
      <c r="D725">
        <v>0</v>
      </c>
      <c r="E725" t="s">
        <v>6</v>
      </c>
    </row>
    <row r="726" spans="2:5" x14ac:dyDescent="0.45">
      <c r="B726" t="s">
        <v>103</v>
      </c>
      <c r="C726" t="s">
        <v>27</v>
      </c>
      <c r="D726">
        <v>2.1336026242803319E-3</v>
      </c>
      <c r="E726" t="s">
        <v>6</v>
      </c>
    </row>
    <row r="727" spans="2:5" x14ac:dyDescent="0.45">
      <c r="B727" t="s">
        <v>103</v>
      </c>
      <c r="C727" t="s">
        <v>28</v>
      </c>
      <c r="D727">
        <v>5.0525100037574572E-2</v>
      </c>
      <c r="E727" t="s">
        <v>6</v>
      </c>
    </row>
    <row r="728" spans="2:5" x14ac:dyDescent="0.45">
      <c r="B728" t="s">
        <v>103</v>
      </c>
      <c r="C728" t="s">
        <v>29</v>
      </c>
      <c r="D728">
        <v>8.8520522780184574E-2</v>
      </c>
      <c r="E728" t="s">
        <v>6</v>
      </c>
    </row>
    <row r="729" spans="2:5" x14ac:dyDescent="0.45">
      <c r="B729" t="s">
        <v>103</v>
      </c>
      <c r="C729" t="s">
        <v>30</v>
      </c>
      <c r="D729">
        <v>5.2978221722319356E-2</v>
      </c>
      <c r="E729" t="s">
        <v>6</v>
      </c>
    </row>
    <row r="730" spans="2:5" x14ac:dyDescent="0.45">
      <c r="B730" t="s">
        <v>103</v>
      </c>
      <c r="C730" t="s">
        <v>31</v>
      </c>
      <c r="D730">
        <v>3.6060345860707338E-3</v>
      </c>
      <c r="E730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D56E9-3D6F-47E5-BE55-1D40489847A4}">
  <dimension ref="B9:DH85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other_indexes=ACT; region=FRA")</f>
        <v>~TFM_DINS-TSL: attribute=FLO_EMIS; other_indexes=ACT; region=FRA</v>
      </c>
      <c r="AC9" t="str">
        <f>IF(A11="x","DeActivated","~TFM_INS-TSL: attribute=FLO_SHAR; limtype=FX; region=FRA")</f>
        <v>~TFM_INS-TSL: attribute=FLO_SHAR; limtype=FX; region=FRA</v>
      </c>
      <c r="BD9" t="str">
        <f>IF(A11="x","DeActivated","~TFM_INS-TSL: attribute=FLO_SHAR; limtype=FX; region=FRA")</f>
        <v>~TFM_INS-TSL: attribute=FLO_SHAR; limtype=FX; region=FRA</v>
      </c>
      <c r="CE9" t="str">
        <f>IF(A11="x","DeActivated","~TFM_DINS-TSL: attribute=NCAP_PKCNT; region=FRA")</f>
        <v>~TFM_DINS-TSL: attribute=NCAP_PKCNT; region=FRA</v>
      </c>
      <c r="DE9" t="str">
        <f>IF(A11="x","DeActivated","~TFM_DINS-AT: region=FRA")</f>
        <v>~TFM_DINS-AT: region=FRA</v>
      </c>
    </row>
    <row r="10" spans="2:112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C10" t="s">
        <v>3</v>
      </c>
      <c r="AD10" t="s">
        <v>0</v>
      </c>
      <c r="AE10" t="s">
        <v>5</v>
      </c>
      <c r="AF10" t="s">
        <v>9</v>
      </c>
      <c r="AG10" t="s">
        <v>10</v>
      </c>
      <c r="AH10" t="s">
        <v>11</v>
      </c>
      <c r="AI10" t="s">
        <v>12</v>
      </c>
      <c r="AJ10" t="s">
        <v>13</v>
      </c>
      <c r="AK10" t="s">
        <v>14</v>
      </c>
      <c r="AL10" t="s">
        <v>15</v>
      </c>
      <c r="AM10" t="s">
        <v>16</v>
      </c>
      <c r="AN10" t="s">
        <v>17</v>
      </c>
      <c r="AO10" t="s">
        <v>18</v>
      </c>
      <c r="AP10" t="s">
        <v>19</v>
      </c>
      <c r="AQ10" t="s">
        <v>20</v>
      </c>
      <c r="AR10" t="s">
        <v>21</v>
      </c>
      <c r="AS10" t="s">
        <v>22</v>
      </c>
      <c r="AT10" t="s">
        <v>23</v>
      </c>
      <c r="AU10" t="s">
        <v>24</v>
      </c>
      <c r="AV10" t="s">
        <v>25</v>
      </c>
      <c r="AW10" t="s">
        <v>26</v>
      </c>
      <c r="AX10" t="s">
        <v>27</v>
      </c>
      <c r="AY10" t="s">
        <v>28</v>
      </c>
      <c r="AZ10" t="s">
        <v>29</v>
      </c>
      <c r="BA10" t="s">
        <v>30</v>
      </c>
      <c r="BB10" t="s">
        <v>31</v>
      </c>
      <c r="BD10" t="s">
        <v>3</v>
      </c>
      <c r="BE10" t="s">
        <v>0</v>
      </c>
      <c r="BF10" t="s">
        <v>5</v>
      </c>
      <c r="BG10" t="s">
        <v>9</v>
      </c>
      <c r="BH10" t="s">
        <v>10</v>
      </c>
      <c r="BI10" t="s">
        <v>11</v>
      </c>
      <c r="BJ10" t="s">
        <v>12</v>
      </c>
      <c r="BK10" t="s">
        <v>13</v>
      </c>
      <c r="BL10" t="s">
        <v>14</v>
      </c>
      <c r="BM10" t="s">
        <v>15</v>
      </c>
      <c r="BN10" t="s">
        <v>16</v>
      </c>
      <c r="BO10" t="s">
        <v>17</v>
      </c>
      <c r="BP10" t="s">
        <v>18</v>
      </c>
      <c r="BQ10" t="s">
        <v>19</v>
      </c>
      <c r="BR10" t="s">
        <v>20</v>
      </c>
      <c r="BS10" t="s">
        <v>21</v>
      </c>
      <c r="BT10" t="s">
        <v>22</v>
      </c>
      <c r="BU10" t="s">
        <v>23</v>
      </c>
      <c r="BV10" t="s">
        <v>24</v>
      </c>
      <c r="BW10" t="s">
        <v>25</v>
      </c>
      <c r="BX10" t="s">
        <v>26</v>
      </c>
      <c r="BY10" t="s">
        <v>27</v>
      </c>
      <c r="BZ10" t="s">
        <v>28</v>
      </c>
      <c r="CA10" t="s">
        <v>29</v>
      </c>
      <c r="CB10" t="s">
        <v>30</v>
      </c>
      <c r="CC10" t="s">
        <v>31</v>
      </c>
      <c r="CE10" t="s">
        <v>3</v>
      </c>
      <c r="CF10" t="s">
        <v>5</v>
      </c>
      <c r="CG10" t="s">
        <v>9</v>
      </c>
      <c r="CH10" t="s">
        <v>10</v>
      </c>
      <c r="CI10" t="s">
        <v>11</v>
      </c>
      <c r="CJ10" t="s">
        <v>12</v>
      </c>
      <c r="CK10" t="s">
        <v>13</v>
      </c>
      <c r="CL10" t="s">
        <v>14</v>
      </c>
      <c r="CM10" t="s">
        <v>15</v>
      </c>
      <c r="CN10" t="s">
        <v>16</v>
      </c>
      <c r="CO10" t="s">
        <v>17</v>
      </c>
      <c r="CP10" t="s">
        <v>18</v>
      </c>
      <c r="CQ10" t="s">
        <v>19</v>
      </c>
      <c r="CR10" t="s">
        <v>20</v>
      </c>
      <c r="CS10" t="s">
        <v>21</v>
      </c>
      <c r="CT10" t="s">
        <v>22</v>
      </c>
      <c r="CU10" t="s">
        <v>23</v>
      </c>
      <c r="CV10" t="s">
        <v>24</v>
      </c>
      <c r="CW10" t="s">
        <v>25</v>
      </c>
      <c r="CX10" t="s">
        <v>26</v>
      </c>
      <c r="CY10" t="s">
        <v>27</v>
      </c>
      <c r="CZ10" t="s">
        <v>28</v>
      </c>
      <c r="DA10" t="s">
        <v>29</v>
      </c>
      <c r="DB10" t="s">
        <v>30</v>
      </c>
      <c r="DC10" t="s">
        <v>31</v>
      </c>
      <c r="DE10" t="s">
        <v>3</v>
      </c>
      <c r="DF10" t="s">
        <v>0</v>
      </c>
      <c r="DG10" t="s">
        <v>104</v>
      </c>
      <c r="DH10" t="s">
        <v>105</v>
      </c>
    </row>
    <row r="11" spans="2:112" x14ac:dyDescent="0.45">
      <c r="B11" t="s">
        <v>106</v>
      </c>
      <c r="C11" t="s">
        <v>107</v>
      </c>
      <c r="D11">
        <v>0</v>
      </c>
      <c r="E11">
        <v>0</v>
      </c>
      <c r="F11">
        <v>0.46236965162965027</v>
      </c>
      <c r="G11">
        <v>0.27008500095583032</v>
      </c>
      <c r="H11">
        <v>0.32671369430965258</v>
      </c>
      <c r="I11">
        <v>0.86711630118966454</v>
      </c>
      <c r="J11">
        <v>0</v>
      </c>
      <c r="K11">
        <v>0.68262111166620221</v>
      </c>
      <c r="L11">
        <v>0.24046280610724857</v>
      </c>
      <c r="M11">
        <v>0.17095526217026943</v>
      </c>
      <c r="N11">
        <v>0.17613866973867101</v>
      </c>
      <c r="O11">
        <v>0.44197686465852754</v>
      </c>
      <c r="P11">
        <v>0.93996865902231352</v>
      </c>
      <c r="Q11">
        <v>0.58074150362492771</v>
      </c>
      <c r="R11">
        <v>0.16757913187414042</v>
      </c>
      <c r="S11">
        <v>0.11429340387565766</v>
      </c>
      <c r="T11">
        <v>0.13750064207881946</v>
      </c>
      <c r="U11">
        <v>0.34015928623563102</v>
      </c>
      <c r="V11">
        <v>0</v>
      </c>
      <c r="W11">
        <v>0.86326621379771751</v>
      </c>
      <c r="X11">
        <v>0.32873919049925326</v>
      </c>
      <c r="Y11">
        <v>0.23654444770562366</v>
      </c>
      <c r="Z11">
        <v>0.31315570338970444</v>
      </c>
      <c r="AA11">
        <v>0.73588046039512056</v>
      </c>
      <c r="AC11" t="s">
        <v>108</v>
      </c>
      <c r="AD11" t="s">
        <v>109</v>
      </c>
      <c r="AE11">
        <v>0</v>
      </c>
      <c r="AF11">
        <v>0.92652434876943279</v>
      </c>
      <c r="AG11">
        <v>0.23536073214856512</v>
      </c>
      <c r="AH11">
        <v>9.5629417538756895E-2</v>
      </c>
      <c r="AI11">
        <v>1.5724396411371355E-2</v>
      </c>
      <c r="AJ11">
        <v>0.25263908474024621</v>
      </c>
      <c r="AK11">
        <v>0.94635880974965425</v>
      </c>
      <c r="AL11">
        <v>0.50068451959092675</v>
      </c>
      <c r="AM11">
        <v>0.10513791693380455</v>
      </c>
      <c r="AN11">
        <v>4.4254975725266578E-2</v>
      </c>
      <c r="AO11">
        <v>9.9455286527263143E-3</v>
      </c>
      <c r="AP11">
        <v>0.18565482525268234</v>
      </c>
      <c r="AQ11">
        <v>0.84098422141928397</v>
      </c>
      <c r="AR11">
        <v>0.4129672521045889</v>
      </c>
      <c r="AS11">
        <v>8.3771735267374692E-2</v>
      </c>
      <c r="AT11">
        <v>4.1732049024484304E-2</v>
      </c>
      <c r="AU11">
        <v>4.9424221023135961E-3</v>
      </c>
      <c r="AV11">
        <v>0.18092284224777716</v>
      </c>
      <c r="AW11">
        <v>0</v>
      </c>
      <c r="AX11">
        <v>0.69987779318738663</v>
      </c>
      <c r="AY11">
        <v>0.15380472184943331</v>
      </c>
      <c r="AZ11">
        <v>5.8184509762927064E-2</v>
      </c>
      <c r="BA11">
        <v>9.8943353093326608E-3</v>
      </c>
      <c r="BB11">
        <v>0.16752308827384482</v>
      </c>
      <c r="BD11" t="s">
        <v>108</v>
      </c>
      <c r="BE11" t="s">
        <v>110</v>
      </c>
      <c r="BF11">
        <v>0</v>
      </c>
      <c r="BG11">
        <v>0</v>
      </c>
      <c r="BH11">
        <v>0</v>
      </c>
      <c r="BI11">
        <v>5.8503027507205256E-3</v>
      </c>
      <c r="BJ11">
        <v>0.13746577925116588</v>
      </c>
      <c r="BK11">
        <v>0.40337532676491228</v>
      </c>
      <c r="BL11">
        <v>0</v>
      </c>
      <c r="BM11">
        <v>0</v>
      </c>
      <c r="BN11">
        <v>0</v>
      </c>
      <c r="BO11">
        <v>1.6978021925407774E-2</v>
      </c>
      <c r="BP11">
        <v>7.3251821080467683E-2</v>
      </c>
      <c r="BQ11">
        <v>5.0159579751136878E-2</v>
      </c>
      <c r="BR11">
        <v>0</v>
      </c>
      <c r="BS11">
        <v>0</v>
      </c>
      <c r="BT11">
        <v>0</v>
      </c>
      <c r="BU11">
        <v>0</v>
      </c>
      <c r="BV11">
        <v>5.7742512997509515E-2</v>
      </c>
      <c r="BW11">
        <v>3.0602932193951164E-2</v>
      </c>
      <c r="BX11">
        <v>0</v>
      </c>
      <c r="BY11">
        <v>0</v>
      </c>
      <c r="BZ11">
        <v>0</v>
      </c>
      <c r="CA11">
        <v>3.0611858342332671E-2</v>
      </c>
      <c r="CB11">
        <v>0.13577723319185792</v>
      </c>
      <c r="CC11">
        <v>0.15936621954987329</v>
      </c>
      <c r="CE11" t="s">
        <v>106</v>
      </c>
      <c r="CF11">
        <v>0</v>
      </c>
      <c r="CG11">
        <v>0</v>
      </c>
      <c r="CH11">
        <v>0.11726945046847224</v>
      </c>
      <c r="CI11">
        <v>0.31686096286382393</v>
      </c>
      <c r="CJ11">
        <v>0.20844434901097206</v>
      </c>
      <c r="CK11">
        <v>9.8105097521019313E-3</v>
      </c>
      <c r="CL11">
        <v>0</v>
      </c>
      <c r="CM11">
        <v>1.962420564610606E-2</v>
      </c>
      <c r="CN11">
        <v>0.2908656496105369</v>
      </c>
      <c r="CO11">
        <v>0.47450366084512346</v>
      </c>
      <c r="CP11">
        <v>0.34787835000875844</v>
      </c>
      <c r="CQ11">
        <v>6.8186306206036454E-2</v>
      </c>
      <c r="CR11">
        <v>7.1866861165617704E-5</v>
      </c>
      <c r="CS11">
        <v>3.6882320267048761E-2</v>
      </c>
      <c r="CT11">
        <v>0.37672682545624264</v>
      </c>
      <c r="CU11">
        <v>0.55901182129544558</v>
      </c>
      <c r="CV11">
        <v>0.4318014917191611</v>
      </c>
      <c r="CW11">
        <v>0.11249681529806166</v>
      </c>
      <c r="CX11">
        <v>0</v>
      </c>
      <c r="CY11">
        <v>5.1192139552761621E-3</v>
      </c>
      <c r="CZ11">
        <v>0.20051407881311706</v>
      </c>
      <c r="DA11">
        <v>0.3621341428284876</v>
      </c>
      <c r="DB11">
        <v>0.22453277021361653</v>
      </c>
      <c r="DC11">
        <v>1.8638362563127481E-2</v>
      </c>
      <c r="DE11" t="s">
        <v>106</v>
      </c>
      <c r="DF11" t="s">
        <v>111</v>
      </c>
      <c r="DG11" t="s">
        <v>112</v>
      </c>
      <c r="DH11">
        <v>0.46974888548054583</v>
      </c>
    </row>
    <row r="12" spans="2:112" x14ac:dyDescent="0.45">
      <c r="B12" t="s">
        <v>113</v>
      </c>
      <c r="C12" t="s">
        <v>107</v>
      </c>
      <c r="D12">
        <v>0</v>
      </c>
      <c r="E12">
        <v>0</v>
      </c>
      <c r="F12">
        <v>0.4320861428091699</v>
      </c>
      <c r="G12">
        <v>0.22860118931900811</v>
      </c>
      <c r="H12">
        <v>0.29411598442023079</v>
      </c>
      <c r="I12">
        <v>0.81452192010492197</v>
      </c>
      <c r="J12">
        <v>0.98777173913043492</v>
      </c>
      <c r="K12">
        <v>0.70909287951154598</v>
      </c>
      <c r="L12">
        <v>0.21449871439542278</v>
      </c>
      <c r="M12">
        <v>0.1414694797348027</v>
      </c>
      <c r="N12">
        <v>0.16007676702219661</v>
      </c>
      <c r="O12">
        <v>0.40266098095763925</v>
      </c>
      <c r="P12">
        <v>0.92660883288051821</v>
      </c>
      <c r="Q12">
        <v>0.60292779065314928</v>
      </c>
      <c r="R12">
        <v>0.16791439968677802</v>
      </c>
      <c r="S12">
        <v>0.1061124186928951</v>
      </c>
      <c r="T12">
        <v>0.12376771631936803</v>
      </c>
      <c r="U12">
        <v>0.32373299058030008</v>
      </c>
      <c r="V12">
        <v>0</v>
      </c>
      <c r="W12">
        <v>0.87973106709961268</v>
      </c>
      <c r="X12">
        <v>0.31744409937637225</v>
      </c>
      <c r="Y12">
        <v>0.20646162663403567</v>
      </c>
      <c r="Z12">
        <v>0.24845508711473546</v>
      </c>
      <c r="AA12">
        <v>0.68777513520488243</v>
      </c>
      <c r="AC12" t="s">
        <v>114</v>
      </c>
      <c r="AD12" t="s">
        <v>109</v>
      </c>
      <c r="AE12">
        <v>4.9494946338041823E-3</v>
      </c>
      <c r="AF12">
        <v>0</v>
      </c>
      <c r="AG12">
        <v>1.2559838735464199E-3</v>
      </c>
      <c r="AH12">
        <v>2.5642859792758652E-3</v>
      </c>
      <c r="AI12">
        <v>1.7014042695720753E-3</v>
      </c>
      <c r="AJ12">
        <v>9.88589996824836E-4</v>
      </c>
      <c r="AK12">
        <v>7.6559924550984202E-3</v>
      </c>
      <c r="AL12">
        <v>2.0933455380974229E-3</v>
      </c>
      <c r="AM12">
        <v>5.1121859250156934E-3</v>
      </c>
      <c r="AN12">
        <v>2.3243731431101863E-3</v>
      </c>
      <c r="AO12">
        <v>1.4493220904596704E-3</v>
      </c>
      <c r="AP12">
        <v>1.4380895028443198E-3</v>
      </c>
      <c r="AQ12">
        <v>7.4528528234760151E-3</v>
      </c>
      <c r="AR12">
        <v>3.1279482495164559E-3</v>
      </c>
      <c r="AS12">
        <v>2.7290307703924559E-3</v>
      </c>
      <c r="AT12">
        <v>6.6087221588050603E-3</v>
      </c>
      <c r="AU12">
        <v>1.9375321321223793E-3</v>
      </c>
      <c r="AV12">
        <v>1.1463091360597694E-3</v>
      </c>
      <c r="AW12">
        <v>9.6575378296408958E-4</v>
      </c>
      <c r="AX12">
        <v>8.1979762946050746E-5</v>
      </c>
      <c r="AY12">
        <v>3.8399337157614508E-3</v>
      </c>
      <c r="AZ12">
        <v>5.8076580269822669E-4</v>
      </c>
      <c r="BA12">
        <v>3.2751861863310394E-3</v>
      </c>
      <c r="BB12">
        <v>9.1476252769356302E-3</v>
      </c>
      <c r="BD12" t="s">
        <v>114</v>
      </c>
      <c r="BE12" t="s">
        <v>110</v>
      </c>
      <c r="BF12">
        <v>9.3011197792854262E-3</v>
      </c>
      <c r="BG12">
        <v>1.0305618085103935E-2</v>
      </c>
      <c r="BH12">
        <v>4.8521987633246902E-3</v>
      </c>
      <c r="BI12">
        <v>5.101754342190545E-3</v>
      </c>
      <c r="BJ12">
        <v>9.2784630811415508E-3</v>
      </c>
      <c r="BK12">
        <v>1.3211685587080791E-2</v>
      </c>
      <c r="BL12">
        <v>1.186904066140514E-2</v>
      </c>
      <c r="BM12">
        <v>2.0008834005480619E-2</v>
      </c>
      <c r="BN12">
        <v>2.0231645351036647E-2</v>
      </c>
      <c r="BO12">
        <v>1.7265957547932045E-2</v>
      </c>
      <c r="BP12">
        <v>1.5752227408318678E-2</v>
      </c>
      <c r="BQ12">
        <v>4.3651262716106511E-3</v>
      </c>
      <c r="BR12">
        <v>1.0998590502072988E-2</v>
      </c>
      <c r="BS12">
        <v>2.6614987927446494E-2</v>
      </c>
      <c r="BT12">
        <v>1.430759326453749E-2</v>
      </c>
      <c r="BU12">
        <v>1.1059194858184341E-2</v>
      </c>
      <c r="BV12">
        <v>1.6061815096133365E-2</v>
      </c>
      <c r="BW12">
        <v>8.9408876307802525E-3</v>
      </c>
      <c r="BX12">
        <v>1.5868600537428154E-2</v>
      </c>
      <c r="BY12">
        <v>6.0377033387417605E-3</v>
      </c>
      <c r="BZ12">
        <v>3.0787026397241547E-3</v>
      </c>
      <c r="CA12">
        <v>1.4248889286362559E-2</v>
      </c>
      <c r="CB12">
        <v>1.1264943549426986E-2</v>
      </c>
      <c r="CC12">
        <v>1.1718667423598337E-2</v>
      </c>
      <c r="CE12" t="s">
        <v>113</v>
      </c>
      <c r="CF12">
        <v>0</v>
      </c>
      <c r="CG12">
        <v>0</v>
      </c>
      <c r="CH12">
        <v>0.13850677101657846</v>
      </c>
      <c r="CI12">
        <v>0.37650949272353079</v>
      </c>
      <c r="CJ12">
        <v>0.25159689361666049</v>
      </c>
      <c r="CK12">
        <v>1.5784973340238519E-2</v>
      </c>
      <c r="CL12">
        <v>3.6487346533146576E-6</v>
      </c>
      <c r="CM12">
        <v>1.7417205201353141E-2</v>
      </c>
      <c r="CN12">
        <v>0.30976166272113059</v>
      </c>
      <c r="CO12">
        <v>0.5226553408402248</v>
      </c>
      <c r="CP12">
        <v>0.40436887747858835</v>
      </c>
      <c r="CQ12">
        <v>9.2552324432727831E-2</v>
      </c>
      <c r="CR12">
        <v>1.8949556368565767E-4</v>
      </c>
      <c r="CS12">
        <v>2.9364336403542923E-2</v>
      </c>
      <c r="CT12">
        <v>0.36569095759389592</v>
      </c>
      <c r="CU12">
        <v>0.57207510925467564</v>
      </c>
      <c r="CV12">
        <v>0.46568985246912081</v>
      </c>
      <c r="CW12">
        <v>0.13754375449649564</v>
      </c>
      <c r="CX12">
        <v>0</v>
      </c>
      <c r="CY12">
        <v>3.939444555653376E-3</v>
      </c>
      <c r="CZ12">
        <v>0.20981700807021592</v>
      </c>
      <c r="DA12">
        <v>0.40300313084530698</v>
      </c>
      <c r="DB12">
        <v>0.27865732555249506</v>
      </c>
      <c r="DC12">
        <v>2.9646743175515907E-2</v>
      </c>
      <c r="DE12" t="s">
        <v>113</v>
      </c>
      <c r="DF12" t="s">
        <v>111</v>
      </c>
      <c r="DG12" t="s">
        <v>112</v>
      </c>
      <c r="DH12">
        <v>0.48381548529667073</v>
      </c>
    </row>
    <row r="13" spans="2:112" x14ac:dyDescent="0.45">
      <c r="B13" t="s">
        <v>115</v>
      </c>
      <c r="C13" t="s">
        <v>107</v>
      </c>
      <c r="D13">
        <v>0</v>
      </c>
      <c r="E13">
        <v>0</v>
      </c>
      <c r="F13">
        <v>0.45360942864497117</v>
      </c>
      <c r="G13">
        <v>0.259194073979923</v>
      </c>
      <c r="H13">
        <v>0.31679601019672249</v>
      </c>
      <c r="I13">
        <v>0.84616545473098759</v>
      </c>
      <c r="J13">
        <v>0.99184782608695687</v>
      </c>
      <c r="K13">
        <v>0.69762705506703526</v>
      </c>
      <c r="L13">
        <v>0.23410397579621528</v>
      </c>
      <c r="M13">
        <v>0.16099355318894773</v>
      </c>
      <c r="N13">
        <v>0.18301310287423631</v>
      </c>
      <c r="O13">
        <v>0.42435553821124727</v>
      </c>
      <c r="P13">
        <v>0.92685566783342654</v>
      </c>
      <c r="Q13">
        <v>0.59051247992313927</v>
      </c>
      <c r="R13">
        <v>0.17358227840248588</v>
      </c>
      <c r="S13">
        <v>0.11597199067077678</v>
      </c>
      <c r="T13">
        <v>0.13828858466703636</v>
      </c>
      <c r="U13">
        <v>0.32420391550723654</v>
      </c>
      <c r="V13">
        <v>0</v>
      </c>
      <c r="W13">
        <v>0.87641027618135303</v>
      </c>
      <c r="X13">
        <v>0.32932240636620125</v>
      </c>
      <c r="Y13">
        <v>0.22413311962511143</v>
      </c>
      <c r="Z13">
        <v>0.29163908196614785</v>
      </c>
      <c r="AA13">
        <v>0.71842476103450703</v>
      </c>
      <c r="AC13" t="s">
        <v>116</v>
      </c>
      <c r="AD13" t="s">
        <v>109</v>
      </c>
      <c r="AE13">
        <v>4.2290188141159224E-3</v>
      </c>
      <c r="AF13">
        <v>2.1484680258997851E-3</v>
      </c>
      <c r="AG13">
        <v>4.9528875762170207E-3</v>
      </c>
      <c r="AH13">
        <v>5.6137125298671119E-3</v>
      </c>
      <c r="AI13">
        <v>1.5928710963251686E-3</v>
      </c>
      <c r="AJ13">
        <v>5.5532167085202346E-4</v>
      </c>
      <c r="AK13">
        <v>4.6267324648779562E-3</v>
      </c>
      <c r="AL13">
        <v>4.7680242940158262E-4</v>
      </c>
      <c r="AM13">
        <v>4.5964257005792018E-3</v>
      </c>
      <c r="AN13">
        <v>4.5145954585613874E-3</v>
      </c>
      <c r="AO13">
        <v>4.8229108395890307E-4</v>
      </c>
      <c r="AP13">
        <v>2.369156878986655E-3</v>
      </c>
      <c r="AQ13">
        <v>2.2241939370127826E-3</v>
      </c>
      <c r="AR13">
        <v>1.0820610809419416E-3</v>
      </c>
      <c r="AS13">
        <v>3.5743728412881409E-3</v>
      </c>
      <c r="AT13">
        <v>6.7353137064958173E-3</v>
      </c>
      <c r="AU13">
        <v>3.3467473933983293E-3</v>
      </c>
      <c r="AV13">
        <v>2.4442119770410977E-3</v>
      </c>
      <c r="AW13">
        <v>2.4643293416519024E-3</v>
      </c>
      <c r="AX13">
        <v>2.132335203618419E-3</v>
      </c>
      <c r="AY13">
        <v>2.4130731350348977E-3</v>
      </c>
      <c r="AZ13">
        <v>3.053247577712036E-3</v>
      </c>
      <c r="BA13">
        <v>3.6490532772791084E-4</v>
      </c>
      <c r="BB13">
        <v>1.2231452133738593E-3</v>
      </c>
      <c r="BD13" t="s">
        <v>116</v>
      </c>
      <c r="BE13" t="s">
        <v>110</v>
      </c>
      <c r="BF13">
        <v>7.6934462181295947E-3</v>
      </c>
      <c r="BG13">
        <v>1.1086109342126652E-2</v>
      </c>
      <c r="BH13">
        <v>7.4859281103787142E-3</v>
      </c>
      <c r="BI13">
        <v>6.3250205015041123E-3</v>
      </c>
      <c r="BJ13">
        <v>1.4324687659256043E-2</v>
      </c>
      <c r="BK13">
        <v>1.4283234583357427E-2</v>
      </c>
      <c r="BL13">
        <v>6.2587752572814395E-3</v>
      </c>
      <c r="BM13">
        <v>1.3973417298797504E-2</v>
      </c>
      <c r="BN13">
        <v>7.2733547325948625E-3</v>
      </c>
      <c r="BO13">
        <v>7.3264823310133726E-3</v>
      </c>
      <c r="BP13">
        <v>9.2224467579548261E-3</v>
      </c>
      <c r="BQ13">
        <v>5.3727811607046684E-3</v>
      </c>
      <c r="BR13">
        <v>1.0233212719529563E-2</v>
      </c>
      <c r="BS13">
        <v>8.4762664080562204E-3</v>
      </c>
      <c r="BT13">
        <v>7.870883048506987E-3</v>
      </c>
      <c r="BU13">
        <v>1.114275157162084E-2</v>
      </c>
      <c r="BV13">
        <v>1.4717386731948699E-2</v>
      </c>
      <c r="BW13">
        <v>1.159721034962078E-2</v>
      </c>
      <c r="BX13">
        <v>6.0473835765800666E-3</v>
      </c>
      <c r="BY13">
        <v>1.3145429462419173E-2</v>
      </c>
      <c r="BZ13">
        <v>6.6074298579433246E-3</v>
      </c>
      <c r="CA13">
        <v>7.9542834100916823E-3</v>
      </c>
      <c r="CB13">
        <v>8.2907422460047168E-3</v>
      </c>
      <c r="CC13">
        <v>3.3074133914476802E-3</v>
      </c>
      <c r="CE13" t="s">
        <v>115</v>
      </c>
      <c r="CF13">
        <v>0</v>
      </c>
      <c r="CG13">
        <v>0</v>
      </c>
      <c r="CH13">
        <v>0.12177194917358028</v>
      </c>
      <c r="CI13">
        <v>0.33029166279383437</v>
      </c>
      <c r="CJ13">
        <v>0.21529977366777137</v>
      </c>
      <c r="CK13">
        <v>1.2235343969044068E-2</v>
      </c>
      <c r="CL13">
        <v>9.2111732748339432E-7</v>
      </c>
      <c r="CM13">
        <v>1.8827881922910124E-2</v>
      </c>
      <c r="CN13">
        <v>0.3030090809046822</v>
      </c>
      <c r="CO13">
        <v>0.49745693562224408</v>
      </c>
      <c r="CP13">
        <v>0.36562843967121506</v>
      </c>
      <c r="CQ13">
        <v>7.8217656427730639E-2</v>
      </c>
      <c r="CR13">
        <v>1.5193860765315919E-4</v>
      </c>
      <c r="CS13">
        <v>3.2870831576411477E-2</v>
      </c>
      <c r="CT13">
        <v>0.36442057564364633</v>
      </c>
      <c r="CU13">
        <v>0.55667151810339088</v>
      </c>
      <c r="CV13">
        <v>0.44096030033575456</v>
      </c>
      <c r="CW13">
        <v>0.12511080646011707</v>
      </c>
      <c r="CX13">
        <v>0</v>
      </c>
      <c r="CY13">
        <v>4.3660096719988998E-3</v>
      </c>
      <c r="CZ13">
        <v>0.19755942132146459</v>
      </c>
      <c r="DA13">
        <v>0.37445872970160876</v>
      </c>
      <c r="DB13">
        <v>0.24191501095588983</v>
      </c>
      <c r="DC13">
        <v>2.3004410444155101E-2</v>
      </c>
      <c r="DE13" t="s">
        <v>115</v>
      </c>
      <c r="DF13" t="s">
        <v>111</v>
      </c>
      <c r="DG13" t="s">
        <v>112</v>
      </c>
      <c r="DH13">
        <v>0.48487919151756953</v>
      </c>
    </row>
    <row r="14" spans="2:112" x14ac:dyDescent="0.45">
      <c r="B14" t="s">
        <v>117</v>
      </c>
      <c r="C14" t="s">
        <v>107</v>
      </c>
      <c r="D14">
        <v>0</v>
      </c>
      <c r="E14">
        <v>0</v>
      </c>
      <c r="F14">
        <v>0.47595787141179713</v>
      </c>
      <c r="G14">
        <v>0.26344286672033501</v>
      </c>
      <c r="H14">
        <v>0.30868752766534657</v>
      </c>
      <c r="I14">
        <v>0.83581333684152903</v>
      </c>
      <c r="J14">
        <v>0.98535761193013605</v>
      </c>
      <c r="K14">
        <v>0.69871924130829288</v>
      </c>
      <c r="L14">
        <v>0.22826385624836643</v>
      </c>
      <c r="M14">
        <v>0.15680244401288654</v>
      </c>
      <c r="N14">
        <v>0.18547337860772325</v>
      </c>
      <c r="O14">
        <v>0.41545311545055186</v>
      </c>
      <c r="P14">
        <v>0.92014587909134815</v>
      </c>
      <c r="Q14">
        <v>0.58796592057035191</v>
      </c>
      <c r="R14">
        <v>0.18701516553736924</v>
      </c>
      <c r="S14">
        <v>0.13221454216469231</v>
      </c>
      <c r="T14">
        <v>0.12779324617733448</v>
      </c>
      <c r="U14">
        <v>0.30985254273750429</v>
      </c>
      <c r="V14">
        <v>0</v>
      </c>
      <c r="W14">
        <v>0.87970942188993029</v>
      </c>
      <c r="X14">
        <v>0.32042928243302388</v>
      </c>
      <c r="Y14">
        <v>0.20472173063268384</v>
      </c>
      <c r="Z14">
        <v>0.2569860158610896</v>
      </c>
      <c r="AA14">
        <v>0.69173489519416376</v>
      </c>
      <c r="CE14" t="s">
        <v>117</v>
      </c>
      <c r="CF14">
        <v>0</v>
      </c>
      <c r="CG14">
        <v>0</v>
      </c>
      <c r="CH14">
        <v>0.10636071132748691</v>
      </c>
      <c r="CI14">
        <v>0.30671497946745141</v>
      </c>
      <c r="CJ14">
        <v>0.20593201518713869</v>
      </c>
      <c r="CK14">
        <v>1.1761207770680923E-2</v>
      </c>
      <c r="CL14">
        <v>1.8951078953522202E-5</v>
      </c>
      <c r="CM14">
        <v>1.8126268238190926E-2</v>
      </c>
      <c r="CN14">
        <v>0.30089630122232247</v>
      </c>
      <c r="CO14">
        <v>0.48849631248125763</v>
      </c>
      <c r="CP14">
        <v>0.36773303218595327</v>
      </c>
      <c r="CQ14">
        <v>8.4054890633281878E-2</v>
      </c>
      <c r="CR14">
        <v>3.2166717329152927E-4</v>
      </c>
      <c r="CS14">
        <v>2.9492612433836319E-2</v>
      </c>
      <c r="CT14">
        <v>0.34564450996670165</v>
      </c>
      <c r="CU14">
        <v>0.54165113621848737</v>
      </c>
      <c r="CV14">
        <v>0.44784856983736404</v>
      </c>
      <c r="CW14">
        <v>0.13482550473277444</v>
      </c>
      <c r="CX14">
        <v>0</v>
      </c>
      <c r="CY14">
        <v>4.0424466870658433E-3</v>
      </c>
      <c r="CZ14">
        <v>0.20179516926689259</v>
      </c>
      <c r="DA14">
        <v>0.38643476182345587</v>
      </c>
      <c r="DB14">
        <v>0.25940273249363144</v>
      </c>
      <c r="DC14">
        <v>2.686376486822625E-2</v>
      </c>
      <c r="DE14" t="s">
        <v>117</v>
      </c>
      <c r="DF14" t="s">
        <v>111</v>
      </c>
      <c r="DG14" t="s">
        <v>112</v>
      </c>
      <c r="DH14">
        <v>0.46532806083578776</v>
      </c>
    </row>
    <row r="15" spans="2:112" x14ac:dyDescent="0.45">
      <c r="B15" t="s">
        <v>118</v>
      </c>
      <c r="C15" t="s">
        <v>107</v>
      </c>
      <c r="D15">
        <v>0</v>
      </c>
      <c r="E15">
        <v>0</v>
      </c>
      <c r="F15">
        <v>0.49452674906383021</v>
      </c>
      <c r="G15">
        <v>0.31069212498010429</v>
      </c>
      <c r="H15">
        <v>0.35108921596831144</v>
      </c>
      <c r="I15">
        <v>0.88413804110720773</v>
      </c>
      <c r="J15">
        <v>0.99456521739130432</v>
      </c>
      <c r="K15">
        <v>0.67485650998231361</v>
      </c>
      <c r="L15">
        <v>0.22877932165185097</v>
      </c>
      <c r="M15">
        <v>0.17813778548853643</v>
      </c>
      <c r="N15">
        <v>0.20246383664680478</v>
      </c>
      <c r="O15">
        <v>0.44311518257384891</v>
      </c>
      <c r="P15">
        <v>0.9306995040380267</v>
      </c>
      <c r="Q15">
        <v>0.57240220729799218</v>
      </c>
      <c r="R15">
        <v>0.16817797374298954</v>
      </c>
      <c r="S15">
        <v>0.1247871875965323</v>
      </c>
      <c r="T15">
        <v>0.14539035784310136</v>
      </c>
      <c r="U15">
        <v>0.33300950663539231</v>
      </c>
      <c r="V15">
        <v>0</v>
      </c>
      <c r="W15">
        <v>0.86635512377665136</v>
      </c>
      <c r="X15">
        <v>0.32703522345826469</v>
      </c>
      <c r="Y15">
        <v>0.22848806918467182</v>
      </c>
      <c r="Z15">
        <v>0.30350686560890744</v>
      </c>
      <c r="AA15">
        <v>0.74342020846931589</v>
      </c>
      <c r="CE15" t="s">
        <v>118</v>
      </c>
      <c r="CF15">
        <v>0</v>
      </c>
      <c r="CG15">
        <v>0</v>
      </c>
      <c r="CH15">
        <v>9.9546759587153866E-2</v>
      </c>
      <c r="CI15">
        <v>0.27142224138839149</v>
      </c>
      <c r="CJ15">
        <v>0.17785716959204237</v>
      </c>
      <c r="CK15">
        <v>7.0806979807662308E-3</v>
      </c>
      <c r="CL15">
        <v>7.0673077737339805E-7</v>
      </c>
      <c r="CM15">
        <v>2.1619793535805985E-2</v>
      </c>
      <c r="CN15">
        <v>0.30086315210744269</v>
      </c>
      <c r="CO15">
        <v>0.46230477072700943</v>
      </c>
      <c r="CP15">
        <v>0.32900225897247237</v>
      </c>
      <c r="CQ15">
        <v>6.6867394697669932E-2</v>
      </c>
      <c r="CR15">
        <v>1.270287797984044E-4</v>
      </c>
      <c r="CS15">
        <v>3.7211718245205326E-2</v>
      </c>
      <c r="CT15">
        <v>0.370719452988857</v>
      </c>
      <c r="CU15">
        <v>0.54788086990929141</v>
      </c>
      <c r="CV15">
        <v>0.41459019845873241</v>
      </c>
      <c r="CW15">
        <v>0.11071084684801946</v>
      </c>
      <c r="CX15">
        <v>0</v>
      </c>
      <c r="CY15">
        <v>5.032321097821992E-3</v>
      </c>
      <c r="CZ15">
        <v>0.19537663703769578</v>
      </c>
      <c r="DA15">
        <v>0.35789648526709578</v>
      </c>
      <c r="DB15">
        <v>0.21716228305850879</v>
      </c>
      <c r="DC15">
        <v>1.7799607497495241E-2</v>
      </c>
      <c r="DE15" t="s">
        <v>118</v>
      </c>
      <c r="DF15" t="s">
        <v>111</v>
      </c>
      <c r="DG15" t="s">
        <v>112</v>
      </c>
      <c r="DH15">
        <v>0.48088016318302551</v>
      </c>
    </row>
    <row r="16" spans="2:112" x14ac:dyDescent="0.45">
      <c r="B16" t="s">
        <v>119</v>
      </c>
      <c r="C16" t="s">
        <v>107</v>
      </c>
      <c r="D16">
        <v>0</v>
      </c>
      <c r="E16">
        <v>0</v>
      </c>
      <c r="F16">
        <v>0.48682674411940463</v>
      </c>
      <c r="G16">
        <v>0.28861642021292883</v>
      </c>
      <c r="H16">
        <v>0.35333460823400065</v>
      </c>
      <c r="I16">
        <v>0.89552591704165962</v>
      </c>
      <c r="J16">
        <v>0.99048913043478248</v>
      </c>
      <c r="K16">
        <v>0.66836568469776103</v>
      </c>
      <c r="L16">
        <v>0.22341115947195281</v>
      </c>
      <c r="M16">
        <v>0.16434176594348873</v>
      </c>
      <c r="N16">
        <v>0.19960617485672016</v>
      </c>
      <c r="O16">
        <v>0.44630637168066789</v>
      </c>
      <c r="P16">
        <v>0.92763511632650597</v>
      </c>
      <c r="Q16">
        <v>0.56506083085559733</v>
      </c>
      <c r="R16">
        <v>0.17312628926966867</v>
      </c>
      <c r="S16">
        <v>0.1252138805972709</v>
      </c>
      <c r="T16">
        <v>0.14725949959443113</v>
      </c>
      <c r="U16">
        <v>0.3318463272225865</v>
      </c>
      <c r="V16">
        <v>0</v>
      </c>
      <c r="W16">
        <v>0.85427241818608413</v>
      </c>
      <c r="X16">
        <v>0.32309960096054219</v>
      </c>
      <c r="Y16">
        <v>0.22762290188170459</v>
      </c>
      <c r="Z16">
        <v>0.31308444812154418</v>
      </c>
      <c r="AA16">
        <v>0.74018229205352126</v>
      </c>
      <c r="CE16" t="s">
        <v>119</v>
      </c>
      <c r="CF16">
        <v>0</v>
      </c>
      <c r="CG16">
        <v>0</v>
      </c>
      <c r="CH16">
        <v>9.313649228373766E-2</v>
      </c>
      <c r="CI16">
        <v>0.25603545478632844</v>
      </c>
      <c r="CJ16">
        <v>0.15718058852626093</v>
      </c>
      <c r="CK16">
        <v>5.5416879875498631E-3</v>
      </c>
      <c r="CL16">
        <v>4.3350677734138401E-6</v>
      </c>
      <c r="CM16">
        <v>2.2824046025100426E-2</v>
      </c>
      <c r="CN16">
        <v>0.30230221962292436</v>
      </c>
      <c r="CO16">
        <v>0.45343639407329533</v>
      </c>
      <c r="CP16">
        <v>0.31425579507926038</v>
      </c>
      <c r="CQ16">
        <v>6.2889640314014048E-2</v>
      </c>
      <c r="CR16">
        <v>1.6980997532260161E-4</v>
      </c>
      <c r="CS16">
        <v>3.7347653283978891E-2</v>
      </c>
      <c r="CT16">
        <v>0.3628880687843416</v>
      </c>
      <c r="CU16">
        <v>0.53154248427718287</v>
      </c>
      <c r="CV16">
        <v>0.40348970872472778</v>
      </c>
      <c r="CW16">
        <v>0.10705763441648408</v>
      </c>
      <c r="CX16">
        <v>0</v>
      </c>
      <c r="CY16">
        <v>5.6947549462648345E-3</v>
      </c>
      <c r="CZ16">
        <v>0.19258388711102431</v>
      </c>
      <c r="DA16">
        <v>0.34446655607863014</v>
      </c>
      <c r="DB16">
        <v>0.20834582252228054</v>
      </c>
      <c r="DC16">
        <v>1.6450369075732975E-2</v>
      </c>
      <c r="DE16" t="s">
        <v>119</v>
      </c>
      <c r="DF16" t="s">
        <v>111</v>
      </c>
      <c r="DG16" t="s">
        <v>112</v>
      </c>
      <c r="DH16">
        <v>0.46849307760664471</v>
      </c>
    </row>
    <row r="17" spans="2:112" x14ac:dyDescent="0.45">
      <c r="B17" t="s">
        <v>120</v>
      </c>
      <c r="C17" t="s">
        <v>107</v>
      </c>
      <c r="D17">
        <v>0</v>
      </c>
      <c r="E17">
        <v>0</v>
      </c>
      <c r="F17">
        <v>0.4589701586964629</v>
      </c>
      <c r="G17">
        <v>0.25783795568658879</v>
      </c>
      <c r="H17">
        <v>0.35955233694218169</v>
      </c>
      <c r="I17">
        <v>0.90411443725510277</v>
      </c>
      <c r="J17">
        <v>0.98946354793638858</v>
      </c>
      <c r="K17">
        <v>0.66118909320324404</v>
      </c>
      <c r="L17">
        <v>0.23941257337947913</v>
      </c>
      <c r="M17">
        <v>0.16893397046195086</v>
      </c>
      <c r="N17">
        <v>0.1843405674496614</v>
      </c>
      <c r="O17">
        <v>0.45245659094981705</v>
      </c>
      <c r="P17">
        <v>0.92761316440500785</v>
      </c>
      <c r="Q17">
        <v>0.53479549603263377</v>
      </c>
      <c r="R17">
        <v>0.17954547450845287</v>
      </c>
      <c r="S17">
        <v>0.12896517914160738</v>
      </c>
      <c r="T17">
        <v>0.14858430783107288</v>
      </c>
      <c r="U17">
        <v>0.33840950151080224</v>
      </c>
      <c r="V17">
        <v>0</v>
      </c>
      <c r="W17">
        <v>0.84387200693243947</v>
      </c>
      <c r="X17">
        <v>0.31576047957720432</v>
      </c>
      <c r="Y17">
        <v>0.23724385377256985</v>
      </c>
      <c r="Z17">
        <v>0.32605447446887975</v>
      </c>
      <c r="AA17">
        <v>0.77597885125883537</v>
      </c>
      <c r="CE17" t="s">
        <v>120</v>
      </c>
      <c r="CF17">
        <v>0</v>
      </c>
      <c r="CG17">
        <v>0</v>
      </c>
      <c r="CH17">
        <v>9.2472064656662425E-2</v>
      </c>
      <c r="CI17">
        <v>0.25919162195117851</v>
      </c>
      <c r="CJ17">
        <v>0.14519858163388033</v>
      </c>
      <c r="CK17">
        <v>3.8829442000016144E-3</v>
      </c>
      <c r="CL17">
        <v>3.6948749767635776E-6</v>
      </c>
      <c r="CM17">
        <v>2.410082779474992E-2</v>
      </c>
      <c r="CN17">
        <v>0.28223914565270175</v>
      </c>
      <c r="CO17">
        <v>0.43788152412693632</v>
      </c>
      <c r="CP17">
        <v>0.30619227843385977</v>
      </c>
      <c r="CQ17">
        <v>5.7577185423347027E-2</v>
      </c>
      <c r="CR17">
        <v>1.7641509077265415E-4</v>
      </c>
      <c r="CS17">
        <v>4.0381965560025088E-2</v>
      </c>
      <c r="CT17">
        <v>0.34448065955482671</v>
      </c>
      <c r="CU17">
        <v>0.50805818994333662</v>
      </c>
      <c r="CV17">
        <v>0.38679378762976313</v>
      </c>
      <c r="CW17">
        <v>0.10122912588742554</v>
      </c>
      <c r="CX17">
        <v>0</v>
      </c>
      <c r="CY17">
        <v>6.5568325972018083E-3</v>
      </c>
      <c r="CZ17">
        <v>0.1959173519960789</v>
      </c>
      <c r="DA17">
        <v>0.33182162365729684</v>
      </c>
      <c r="DB17">
        <v>0.18494809876789128</v>
      </c>
      <c r="DC17">
        <v>1.280913734652939E-2</v>
      </c>
      <c r="DE17" t="s">
        <v>120</v>
      </c>
      <c r="DF17" t="s">
        <v>111</v>
      </c>
      <c r="DG17" t="s">
        <v>112</v>
      </c>
      <c r="DH17">
        <v>0.42829465426190277</v>
      </c>
    </row>
    <row r="18" spans="2:112" x14ac:dyDescent="0.45">
      <c r="B18" t="s">
        <v>121</v>
      </c>
      <c r="C18" t="s">
        <v>107</v>
      </c>
      <c r="D18">
        <v>0</v>
      </c>
      <c r="E18">
        <v>0</v>
      </c>
      <c r="F18">
        <v>0.47068355920736721</v>
      </c>
      <c r="G18">
        <v>0.25857940094246884</v>
      </c>
      <c r="H18">
        <v>0.35485779772066151</v>
      </c>
      <c r="I18">
        <v>0.89315165976274113</v>
      </c>
      <c r="J18">
        <v>0.98623441719829175</v>
      </c>
      <c r="K18">
        <v>0.67431860392660103</v>
      </c>
      <c r="L18">
        <v>0.23185074958311444</v>
      </c>
      <c r="M18">
        <v>0.1509041125263314</v>
      </c>
      <c r="N18">
        <v>0.17948271423400303</v>
      </c>
      <c r="O18">
        <v>0.44222333616158294</v>
      </c>
      <c r="P18">
        <v>0.92294940563645311</v>
      </c>
      <c r="Q18">
        <v>0.55246471529053909</v>
      </c>
      <c r="R18">
        <v>0.18251043044249762</v>
      </c>
      <c r="S18">
        <v>0.12548479805502774</v>
      </c>
      <c r="T18">
        <v>0.13379433345918662</v>
      </c>
      <c r="U18">
        <v>0.32714041878196759</v>
      </c>
      <c r="V18">
        <v>0</v>
      </c>
      <c r="W18">
        <v>0.85890029384368016</v>
      </c>
      <c r="X18">
        <v>0.31298613741077991</v>
      </c>
      <c r="Y18">
        <v>0.22016008422372635</v>
      </c>
      <c r="Z18">
        <v>0.29968668860048958</v>
      </c>
      <c r="AA18">
        <v>0.74033158634919149</v>
      </c>
      <c r="CE18" t="s">
        <v>121</v>
      </c>
      <c r="CF18">
        <v>0</v>
      </c>
      <c r="CG18">
        <v>0</v>
      </c>
      <c r="CH18">
        <v>8.9111876620752956E-2</v>
      </c>
      <c r="CI18">
        <v>0.26766684496326687</v>
      </c>
      <c r="CJ18">
        <v>0.16228377396927054</v>
      </c>
      <c r="CK18">
        <v>5.5536267775287982E-3</v>
      </c>
      <c r="CL18">
        <v>1.5987037681757262E-5</v>
      </c>
      <c r="CM18">
        <v>2.1253977834378879E-2</v>
      </c>
      <c r="CN18">
        <v>0.28585262728794386</v>
      </c>
      <c r="CO18">
        <v>0.46359381079044332</v>
      </c>
      <c r="CP18">
        <v>0.33475817983911582</v>
      </c>
      <c r="CQ18">
        <v>6.9792703384597019E-2</v>
      </c>
      <c r="CR18">
        <v>2.8661125551850358E-4</v>
      </c>
      <c r="CS18">
        <v>3.5891420933272224E-2</v>
      </c>
      <c r="CT18">
        <v>0.3402596589763297</v>
      </c>
      <c r="CU18">
        <v>0.51915972867993554</v>
      </c>
      <c r="CV18">
        <v>0.416191851537832</v>
      </c>
      <c r="CW18">
        <v>0.11540095182891071</v>
      </c>
      <c r="CX18">
        <v>0</v>
      </c>
      <c r="CY18">
        <v>5.1794262309302879E-3</v>
      </c>
      <c r="CZ18">
        <v>0.18203193142283725</v>
      </c>
      <c r="DA18">
        <v>0.32713738955698657</v>
      </c>
      <c r="DB18">
        <v>0.20467594563162902</v>
      </c>
      <c r="DC18">
        <v>1.7185940996793977E-2</v>
      </c>
      <c r="DE18" t="s">
        <v>121</v>
      </c>
      <c r="DF18" t="s">
        <v>111</v>
      </c>
      <c r="DG18" t="s">
        <v>112</v>
      </c>
      <c r="DH18">
        <v>0.4475406001026101</v>
      </c>
    </row>
    <row r="19" spans="2:112" x14ac:dyDescent="0.45">
      <c r="B19" t="s">
        <v>122</v>
      </c>
      <c r="C19" t="s">
        <v>107</v>
      </c>
      <c r="D19">
        <v>0</v>
      </c>
      <c r="E19">
        <v>0</v>
      </c>
      <c r="F19">
        <v>0.48233999105250175</v>
      </c>
      <c r="G19">
        <v>0.25553072289243783</v>
      </c>
      <c r="H19">
        <v>0.31535025333230271</v>
      </c>
      <c r="I19">
        <v>0.79925661451518926</v>
      </c>
      <c r="J19">
        <v>0.97041952749913296</v>
      </c>
      <c r="K19">
        <v>0.72416959538392356</v>
      </c>
      <c r="L19">
        <v>0.23116757383248074</v>
      </c>
      <c r="M19">
        <v>0.14368329582440056</v>
      </c>
      <c r="N19">
        <v>0.16344532365039646</v>
      </c>
      <c r="O19">
        <v>0.40800331761917635</v>
      </c>
      <c r="P19">
        <v>0.90786206063621588</v>
      </c>
      <c r="Q19">
        <v>0.59272193026181907</v>
      </c>
      <c r="R19">
        <v>0.18352691958344389</v>
      </c>
      <c r="S19">
        <v>0.10735960551714939</v>
      </c>
      <c r="T19">
        <v>0.10701040586630874</v>
      </c>
      <c r="U19">
        <v>0.30176011542646503</v>
      </c>
      <c r="V19">
        <v>0</v>
      </c>
      <c r="W19">
        <v>0.89446163904239739</v>
      </c>
      <c r="X19">
        <v>0.33618141655987704</v>
      </c>
      <c r="Y19">
        <v>0.17675028311977328</v>
      </c>
      <c r="Z19">
        <v>0.24307888109651554</v>
      </c>
      <c r="AA19">
        <v>0.67232776314701137</v>
      </c>
      <c r="CE19" t="s">
        <v>122</v>
      </c>
      <c r="CF19">
        <v>0</v>
      </c>
      <c r="CG19">
        <v>0</v>
      </c>
      <c r="CH19">
        <v>8.8059093889814602E-2</v>
      </c>
      <c r="CI19">
        <v>0.29718241207774387</v>
      </c>
      <c r="CJ19">
        <v>0.21405131619980294</v>
      </c>
      <c r="CK19">
        <v>1.5244359075716392E-2</v>
      </c>
      <c r="CL19">
        <v>7.9116228046573195E-5</v>
      </c>
      <c r="CM19">
        <v>1.5084065712357948E-2</v>
      </c>
      <c r="CN19">
        <v>0.28464604601098709</v>
      </c>
      <c r="CO19">
        <v>0.51479596918057735</v>
      </c>
      <c r="CP19">
        <v>0.42240062021444852</v>
      </c>
      <c r="CQ19">
        <v>0.1063445492127043</v>
      </c>
      <c r="CR19">
        <v>6.9132725146916736E-4</v>
      </c>
      <c r="CS19">
        <v>2.4288698025016937E-2</v>
      </c>
      <c r="CT19">
        <v>0.32646568729898984</v>
      </c>
      <c r="CU19">
        <v>0.55922156892342978</v>
      </c>
      <c r="CV19">
        <v>0.48808623588002276</v>
      </c>
      <c r="CW19">
        <v>0.156854616100774</v>
      </c>
      <c r="CX19">
        <v>0</v>
      </c>
      <c r="CY19">
        <v>2.4842447314373265E-3</v>
      </c>
      <c r="CZ19">
        <v>0.18087174703550138</v>
      </c>
      <c r="DA19">
        <v>0.40001901411375118</v>
      </c>
      <c r="DB19">
        <v>0.29143043754597475</v>
      </c>
      <c r="DC19">
        <v>3.4985566908679266E-2</v>
      </c>
      <c r="DE19" t="s">
        <v>122</v>
      </c>
      <c r="DF19" t="s">
        <v>111</v>
      </c>
      <c r="DG19" t="s">
        <v>112</v>
      </c>
      <c r="DH19">
        <v>0.45010516362473058</v>
      </c>
    </row>
    <row r="20" spans="2:112" x14ac:dyDescent="0.45">
      <c r="B20" t="s">
        <v>123</v>
      </c>
      <c r="C20" t="s">
        <v>107</v>
      </c>
      <c r="D20">
        <v>0</v>
      </c>
      <c r="E20">
        <v>0</v>
      </c>
      <c r="F20">
        <v>0.50247579253202201</v>
      </c>
      <c r="G20">
        <v>0.28953572839340969</v>
      </c>
      <c r="H20">
        <v>0.35850859428860432</v>
      </c>
      <c r="I20">
        <v>0.86835006566484507</v>
      </c>
      <c r="J20">
        <v>0.98408309814725281</v>
      </c>
      <c r="K20">
        <v>0.69289141478736838</v>
      </c>
      <c r="L20">
        <v>0.23837106564481475</v>
      </c>
      <c r="M20">
        <v>0.17248831398848044</v>
      </c>
      <c r="N20">
        <v>0.19340832251185935</v>
      </c>
      <c r="O20">
        <v>0.43585421904215121</v>
      </c>
      <c r="P20">
        <v>0.91911540907121159</v>
      </c>
      <c r="Q20">
        <v>0.5782857325836156</v>
      </c>
      <c r="R20">
        <v>0.19419712821646246</v>
      </c>
      <c r="S20">
        <v>0.13425310718263778</v>
      </c>
      <c r="T20">
        <v>0.13600850038590373</v>
      </c>
      <c r="U20">
        <v>0.31734690574871605</v>
      </c>
      <c r="V20">
        <v>0</v>
      </c>
      <c r="W20">
        <v>0.87727902472903341</v>
      </c>
      <c r="X20">
        <v>0.33694765901533352</v>
      </c>
      <c r="Y20">
        <v>0.23628143046614017</v>
      </c>
      <c r="Z20">
        <v>0.27369563268109626</v>
      </c>
      <c r="AA20">
        <v>0.7124544978050239</v>
      </c>
      <c r="CE20" t="s">
        <v>123</v>
      </c>
      <c r="CF20">
        <v>0</v>
      </c>
      <c r="CG20">
        <v>0</v>
      </c>
      <c r="CH20">
        <v>8.8992113379946947E-2</v>
      </c>
      <c r="CI20">
        <v>0.27324790130231896</v>
      </c>
      <c r="CJ20">
        <v>0.1821699536011411</v>
      </c>
      <c r="CK20">
        <v>8.605761732459102E-3</v>
      </c>
      <c r="CL20">
        <v>2.6622846800996935E-5</v>
      </c>
      <c r="CM20">
        <v>1.9258272495333059E-2</v>
      </c>
      <c r="CN20">
        <v>0.28934452040788344</v>
      </c>
      <c r="CO20">
        <v>0.47064539183932486</v>
      </c>
      <c r="CP20">
        <v>0.35749042580121404</v>
      </c>
      <c r="CQ20">
        <v>8.1726296819371144E-2</v>
      </c>
      <c r="CR20">
        <v>3.8013104772127363E-4</v>
      </c>
      <c r="CS20">
        <v>3.1122536117355989E-2</v>
      </c>
      <c r="CT20">
        <v>0.33905267021977664</v>
      </c>
      <c r="CU20">
        <v>0.52938881518513681</v>
      </c>
      <c r="CV20">
        <v>0.43072094003827988</v>
      </c>
      <c r="CW20">
        <v>0.12926591835597448</v>
      </c>
      <c r="CX20">
        <v>0</v>
      </c>
      <c r="CY20">
        <v>3.8429051894356492E-3</v>
      </c>
      <c r="CZ20">
        <v>0.17768947904640878</v>
      </c>
      <c r="DA20">
        <v>0.3483733309263099</v>
      </c>
      <c r="DB20">
        <v>0.23874227044866081</v>
      </c>
      <c r="DC20">
        <v>2.4346010388310083E-2</v>
      </c>
      <c r="DE20" t="s">
        <v>123</v>
      </c>
      <c r="DF20" t="s">
        <v>111</v>
      </c>
      <c r="DG20" t="s">
        <v>112</v>
      </c>
      <c r="DH20">
        <v>0.42677034546083126</v>
      </c>
    </row>
    <row r="21" spans="2:112" x14ac:dyDescent="0.45">
      <c r="B21" t="s">
        <v>124</v>
      </c>
      <c r="C21" t="s">
        <v>107</v>
      </c>
      <c r="D21">
        <v>0</v>
      </c>
      <c r="E21">
        <v>0</v>
      </c>
      <c r="F21">
        <v>0.4773630018320697</v>
      </c>
      <c r="G21">
        <v>0.26820053520485987</v>
      </c>
      <c r="H21">
        <v>0.3525949601958468</v>
      </c>
      <c r="I21">
        <v>0.8654921116716634</v>
      </c>
      <c r="J21">
        <v>0.97662567436948733</v>
      </c>
      <c r="K21">
        <v>0.69488244042609359</v>
      </c>
      <c r="L21">
        <v>0.23686561481351417</v>
      </c>
      <c r="M21">
        <v>0.1597357925253805</v>
      </c>
      <c r="N21">
        <v>0.17268009884704832</v>
      </c>
      <c r="O21">
        <v>0.43414103092376854</v>
      </c>
      <c r="P21">
        <v>0.91525453628742981</v>
      </c>
      <c r="Q21">
        <v>0.56922769919492344</v>
      </c>
      <c r="R21">
        <v>0.17984793917358907</v>
      </c>
      <c r="S21">
        <v>0.11636481615256691</v>
      </c>
      <c r="T21">
        <v>0.12255506354273212</v>
      </c>
      <c r="U21">
        <v>0.31720797747936841</v>
      </c>
      <c r="V21">
        <v>0</v>
      </c>
      <c r="W21">
        <v>0.87694879611704668</v>
      </c>
      <c r="X21">
        <v>0.32797877209804499</v>
      </c>
      <c r="Y21">
        <v>0.21054002522945892</v>
      </c>
      <c r="Z21">
        <v>0.26822070228494643</v>
      </c>
      <c r="AA21">
        <v>0.7137671203933148</v>
      </c>
      <c r="CE21" t="s">
        <v>124</v>
      </c>
      <c r="CF21">
        <v>0</v>
      </c>
      <c r="CG21">
        <v>0</v>
      </c>
      <c r="CH21">
        <v>8.4125006642754546E-2</v>
      </c>
      <c r="CI21">
        <v>0.27946082409221285</v>
      </c>
      <c r="CJ21">
        <v>0.18087180609177922</v>
      </c>
      <c r="CK21">
        <v>8.246394186192588E-3</v>
      </c>
      <c r="CL21">
        <v>3.9547640482898006E-5</v>
      </c>
      <c r="CM21">
        <v>1.8455546098691714E-2</v>
      </c>
      <c r="CN21">
        <v>0.2941273396269608</v>
      </c>
      <c r="CO21">
        <v>0.51395325904895706</v>
      </c>
      <c r="CP21">
        <v>0.40973631486740147</v>
      </c>
      <c r="CQ21">
        <v>9.3195475879554387E-2</v>
      </c>
      <c r="CR21">
        <v>5.2777877981905765E-4</v>
      </c>
      <c r="CS21">
        <v>3.0912991250610068E-2</v>
      </c>
      <c r="CT21">
        <v>0.33870100763470729</v>
      </c>
      <c r="CU21">
        <v>0.56358904413013045</v>
      </c>
      <c r="CV21">
        <v>0.4795849955412454</v>
      </c>
      <c r="CW21">
        <v>0.1433896350899804</v>
      </c>
      <c r="CX21">
        <v>0</v>
      </c>
      <c r="CY21">
        <v>3.6027195430710889E-3</v>
      </c>
      <c r="CZ21">
        <v>0.17280703519545049</v>
      </c>
      <c r="DA21">
        <v>0.35332997030211405</v>
      </c>
      <c r="DB21">
        <v>0.25113037425824536</v>
      </c>
      <c r="DC21">
        <v>2.5153373615492615E-2</v>
      </c>
      <c r="DE21" t="s">
        <v>124</v>
      </c>
      <c r="DF21" t="s">
        <v>111</v>
      </c>
      <c r="DG21" t="s">
        <v>112</v>
      </c>
      <c r="DH21">
        <v>0.43217149075545847</v>
      </c>
    </row>
    <row r="22" spans="2:112" x14ac:dyDescent="0.45">
      <c r="B22" t="s">
        <v>125</v>
      </c>
      <c r="C22" t="s">
        <v>107</v>
      </c>
      <c r="D22">
        <v>0</v>
      </c>
      <c r="E22">
        <v>0.99166666666666636</v>
      </c>
      <c r="F22">
        <v>0.45141109650710792</v>
      </c>
      <c r="G22">
        <v>0.29769824272930406</v>
      </c>
      <c r="H22">
        <v>0.41706909770564249</v>
      </c>
      <c r="I22">
        <v>0.91834099284396953</v>
      </c>
      <c r="J22">
        <v>0</v>
      </c>
      <c r="K22">
        <v>0.63691965723899036</v>
      </c>
      <c r="L22">
        <v>0.23346787546794423</v>
      </c>
      <c r="M22">
        <v>0.20182934314817155</v>
      </c>
      <c r="N22">
        <v>0.21802901517117421</v>
      </c>
      <c r="O22">
        <v>0.49851553789977232</v>
      </c>
      <c r="P22">
        <v>0.97961956521739135</v>
      </c>
      <c r="Q22">
        <v>0.52454012520681326</v>
      </c>
      <c r="R22">
        <v>0.16920802678596325</v>
      </c>
      <c r="S22">
        <v>0.12513347806464231</v>
      </c>
      <c r="T22">
        <v>0.14300045060757524</v>
      </c>
      <c r="U22">
        <v>0.36364032635171706</v>
      </c>
      <c r="V22">
        <v>0</v>
      </c>
      <c r="W22">
        <v>0.82343853829900027</v>
      </c>
      <c r="X22">
        <v>0.33080474174750468</v>
      </c>
      <c r="Y22">
        <v>0.24532623873819359</v>
      </c>
      <c r="Z22">
        <v>0.33251509917713346</v>
      </c>
      <c r="AA22">
        <v>0.80695528231027525</v>
      </c>
      <c r="CE22" t="s">
        <v>125</v>
      </c>
      <c r="CF22">
        <v>0</v>
      </c>
      <c r="CG22">
        <v>3.404905315375623E-5</v>
      </c>
      <c r="CH22">
        <v>0.10301364864279855</v>
      </c>
      <c r="CI22">
        <v>0.24001579662691999</v>
      </c>
      <c r="CJ22">
        <v>0.11731391638775943</v>
      </c>
      <c r="CK22">
        <v>2.1929451987213753E-3</v>
      </c>
      <c r="CL22">
        <v>0</v>
      </c>
      <c r="CM22">
        <v>3.0010910104687656E-2</v>
      </c>
      <c r="CN22">
        <v>0.3175229570917496</v>
      </c>
      <c r="CO22">
        <v>0.45434365634988494</v>
      </c>
      <c r="CP22">
        <v>0.30280997849725821</v>
      </c>
      <c r="CQ22">
        <v>4.4686570714080026E-2</v>
      </c>
      <c r="CR22">
        <v>2.6874081471931861E-6</v>
      </c>
      <c r="CS22">
        <v>5.2874241151493792E-2</v>
      </c>
      <c r="CT22">
        <v>0.38747795307598265</v>
      </c>
      <c r="CU22">
        <v>0.52562418964613322</v>
      </c>
      <c r="CV22">
        <v>0.38839217672386717</v>
      </c>
      <c r="CW22">
        <v>8.4501998493182018E-2</v>
      </c>
      <c r="CX22">
        <v>0</v>
      </c>
      <c r="CY22">
        <v>8.6493032201924776E-3</v>
      </c>
      <c r="CZ22">
        <v>0.19338906085165922</v>
      </c>
      <c r="DA22">
        <v>0.32130204485700187</v>
      </c>
      <c r="DB22">
        <v>0.1762942275706369</v>
      </c>
      <c r="DC22">
        <v>9.5548910793932726E-3</v>
      </c>
      <c r="DE22" t="s">
        <v>125</v>
      </c>
      <c r="DF22" t="s">
        <v>111</v>
      </c>
      <c r="DG22" t="s">
        <v>112</v>
      </c>
      <c r="DH22">
        <v>0.47414420771289023</v>
      </c>
    </row>
    <row r="23" spans="2:112" x14ac:dyDescent="0.45">
      <c r="B23" t="s">
        <v>126</v>
      </c>
      <c r="C23" t="s">
        <v>107</v>
      </c>
      <c r="D23">
        <v>0</v>
      </c>
      <c r="E23">
        <v>0.98333333333333328</v>
      </c>
      <c r="F23">
        <v>0.39793986666737902</v>
      </c>
      <c r="G23">
        <v>0.25490775821221057</v>
      </c>
      <c r="H23">
        <v>0.37555588699137599</v>
      </c>
      <c r="I23">
        <v>0.91462791493096429</v>
      </c>
      <c r="J23">
        <v>0</v>
      </c>
      <c r="K23">
        <v>0.62578002306734126</v>
      </c>
      <c r="L23">
        <v>0.22255931503447254</v>
      </c>
      <c r="M23">
        <v>0.1972793761504367</v>
      </c>
      <c r="N23">
        <v>0.21696041551322925</v>
      </c>
      <c r="O23">
        <v>0.5077900061951478</v>
      </c>
      <c r="P23">
        <v>0</v>
      </c>
      <c r="Q23">
        <v>0.52671768103838434</v>
      </c>
      <c r="R23">
        <v>0.15368974769419877</v>
      </c>
      <c r="S23">
        <v>0.11299412285495027</v>
      </c>
      <c r="T23">
        <v>0.13663044525429596</v>
      </c>
      <c r="U23">
        <v>0.37138191112132707</v>
      </c>
      <c r="V23">
        <v>0</v>
      </c>
      <c r="W23">
        <v>0.80774018316211404</v>
      </c>
      <c r="X23">
        <v>0.32764938345339317</v>
      </c>
      <c r="Y23">
        <v>0.2390533634648411</v>
      </c>
      <c r="Z23">
        <v>0.319143866462751</v>
      </c>
      <c r="AA23">
        <v>0.80554047684069985</v>
      </c>
      <c r="CE23" t="s">
        <v>126</v>
      </c>
      <c r="CF23">
        <v>0</v>
      </c>
      <c r="CG23">
        <v>1.3590711964034497E-4</v>
      </c>
      <c r="CH23">
        <v>0.13502585478761223</v>
      </c>
      <c r="CI23">
        <v>0.3011499723321483</v>
      </c>
      <c r="CJ23">
        <v>0.14445997395034274</v>
      </c>
      <c r="CK23">
        <v>3.0668890788794513E-3</v>
      </c>
      <c r="CL23">
        <v>0</v>
      </c>
      <c r="CM23">
        <v>3.0764822941906141E-2</v>
      </c>
      <c r="CN23">
        <v>0.3193224837549411</v>
      </c>
      <c r="CO23">
        <v>0.45465532026347505</v>
      </c>
      <c r="CP23">
        <v>0.29095833068790805</v>
      </c>
      <c r="CQ23">
        <v>4.1936609120670099E-2</v>
      </c>
      <c r="CR23">
        <v>0</v>
      </c>
      <c r="CS23">
        <v>5.5540627179932925E-2</v>
      </c>
      <c r="CT23">
        <v>0.40350467657857292</v>
      </c>
      <c r="CU23">
        <v>0.53895007834921893</v>
      </c>
      <c r="CV23">
        <v>0.38781288898589611</v>
      </c>
      <c r="CW23">
        <v>8.2877824063830929E-2</v>
      </c>
      <c r="CX23">
        <v>0</v>
      </c>
      <c r="CY23">
        <v>8.9961538958381604E-3</v>
      </c>
      <c r="CZ23">
        <v>0.20558834530849296</v>
      </c>
      <c r="DA23">
        <v>0.34650348342259885</v>
      </c>
      <c r="DB23">
        <v>0.19149767526746378</v>
      </c>
      <c r="DC23">
        <v>9.4751784805082069E-3</v>
      </c>
      <c r="DE23" t="s">
        <v>126</v>
      </c>
      <c r="DF23" t="s">
        <v>111</v>
      </c>
      <c r="DG23" t="s">
        <v>112</v>
      </c>
      <c r="DH23">
        <v>0.44264566891746082</v>
      </c>
    </row>
    <row r="24" spans="2:112" x14ac:dyDescent="0.45">
      <c r="B24" t="s">
        <v>127</v>
      </c>
      <c r="C24" t="s">
        <v>107</v>
      </c>
      <c r="D24">
        <v>0</v>
      </c>
      <c r="E24">
        <v>0</v>
      </c>
      <c r="F24">
        <v>0.48507122203566805</v>
      </c>
      <c r="G24">
        <v>0.29249499920336552</v>
      </c>
      <c r="H24">
        <v>0.37054190015268323</v>
      </c>
      <c r="I24">
        <v>0.9061857542265731</v>
      </c>
      <c r="J24">
        <v>0</v>
      </c>
      <c r="K24">
        <v>0.65356354930920557</v>
      </c>
      <c r="L24">
        <v>0.22775727490973494</v>
      </c>
      <c r="M24">
        <v>0.18250586810426517</v>
      </c>
      <c r="N24">
        <v>0.21727257558418223</v>
      </c>
      <c r="O24">
        <v>0.46116016337958887</v>
      </c>
      <c r="P24">
        <v>0.93969973527198125</v>
      </c>
      <c r="Q24">
        <v>0.54965644893777432</v>
      </c>
      <c r="R24">
        <v>0.16593970608745959</v>
      </c>
      <c r="S24">
        <v>0.11600698057254759</v>
      </c>
      <c r="T24">
        <v>0.14223909406321961</v>
      </c>
      <c r="U24">
        <v>0.344610192401265</v>
      </c>
      <c r="V24">
        <v>0</v>
      </c>
      <c r="W24">
        <v>0.84387822633322984</v>
      </c>
      <c r="X24">
        <v>0.31686898848320988</v>
      </c>
      <c r="Y24">
        <v>0.22854048361001303</v>
      </c>
      <c r="Z24">
        <v>0.32054140891937649</v>
      </c>
      <c r="AA24">
        <v>0.77563492974899628</v>
      </c>
      <c r="CE24" t="s">
        <v>127</v>
      </c>
      <c r="CF24">
        <v>0</v>
      </c>
      <c r="CG24">
        <v>0</v>
      </c>
      <c r="CH24">
        <v>0.10126351519722987</v>
      </c>
      <c r="CI24">
        <v>0.25574812751350673</v>
      </c>
      <c r="CJ24">
        <v>0.14244179086140227</v>
      </c>
      <c r="CK24">
        <v>4.5408359889196129E-3</v>
      </c>
      <c r="CL24">
        <v>0</v>
      </c>
      <c r="CM24">
        <v>2.4530248871828801E-2</v>
      </c>
      <c r="CN24">
        <v>0.29959609686109695</v>
      </c>
      <c r="CO24">
        <v>0.45062876046003736</v>
      </c>
      <c r="CP24">
        <v>0.30931749426811028</v>
      </c>
      <c r="CQ24">
        <v>5.4862048553886739E-2</v>
      </c>
      <c r="CR24">
        <v>7.9054114338831784E-5</v>
      </c>
      <c r="CS24">
        <v>4.3550857315638403E-2</v>
      </c>
      <c r="CT24">
        <v>0.38303890316245093</v>
      </c>
      <c r="CU24">
        <v>0.54420583971766734</v>
      </c>
      <c r="CV24">
        <v>0.40196746105120512</v>
      </c>
      <c r="CW24">
        <v>0.10022043091475004</v>
      </c>
      <c r="CX24">
        <v>0</v>
      </c>
      <c r="CY24">
        <v>6.7435378278853236E-3</v>
      </c>
      <c r="CZ24">
        <v>0.19934240985896001</v>
      </c>
      <c r="DA24">
        <v>0.34077637442894282</v>
      </c>
      <c r="DB24">
        <v>0.19704367433938344</v>
      </c>
      <c r="DC24">
        <v>1.2681973486810244E-2</v>
      </c>
      <c r="DE24" t="s">
        <v>127</v>
      </c>
      <c r="DF24" t="s">
        <v>111</v>
      </c>
      <c r="DG24" t="s">
        <v>112</v>
      </c>
      <c r="DH24">
        <v>0.44547321741365103</v>
      </c>
    </row>
    <row r="25" spans="2:112" x14ac:dyDescent="0.45">
      <c r="B25" t="s">
        <v>128</v>
      </c>
      <c r="C25" t="s">
        <v>107</v>
      </c>
      <c r="D25">
        <v>0</v>
      </c>
      <c r="E25">
        <v>0</v>
      </c>
      <c r="F25">
        <v>0.47073458229765019</v>
      </c>
      <c r="G25">
        <v>0.29022888020835563</v>
      </c>
      <c r="H25">
        <v>0.39331908333814852</v>
      </c>
      <c r="I25">
        <v>0.90628981177595691</v>
      </c>
      <c r="J25">
        <v>0</v>
      </c>
      <c r="K25">
        <v>0.64989942875634665</v>
      </c>
      <c r="L25">
        <v>0.24368122742212428</v>
      </c>
      <c r="M25">
        <v>0.18761094147028073</v>
      </c>
      <c r="N25">
        <v>0.218963478317517</v>
      </c>
      <c r="O25">
        <v>0.48159007721626457</v>
      </c>
      <c r="P25">
        <v>0.94500096565988656</v>
      </c>
      <c r="Q25">
        <v>0.53815508662991662</v>
      </c>
      <c r="R25">
        <v>0.1767232745878741</v>
      </c>
      <c r="S25">
        <v>0.12111798281046933</v>
      </c>
      <c r="T25">
        <v>0.15024677470112288</v>
      </c>
      <c r="U25">
        <v>0.35237625229438763</v>
      </c>
      <c r="V25">
        <v>0</v>
      </c>
      <c r="W25">
        <v>0.83470520782977686</v>
      </c>
      <c r="X25">
        <v>0.32095246300142438</v>
      </c>
      <c r="Y25">
        <v>0.241375415860624</v>
      </c>
      <c r="Z25">
        <v>0.32126090316165373</v>
      </c>
      <c r="AA25">
        <v>0.79490358206998268</v>
      </c>
      <c r="CE25" t="s">
        <v>128</v>
      </c>
      <c r="CF25">
        <v>0</v>
      </c>
      <c r="CG25">
        <v>0</v>
      </c>
      <c r="CH25">
        <v>0.10043032077569504</v>
      </c>
      <c r="CI25">
        <v>0.25641475882788145</v>
      </c>
      <c r="CJ25">
        <v>0.13239903335084213</v>
      </c>
      <c r="CK25">
        <v>3.0840625843177954E-3</v>
      </c>
      <c r="CL25">
        <v>0</v>
      </c>
      <c r="CM25">
        <v>2.5855930666857908E-2</v>
      </c>
      <c r="CN25">
        <v>0.29935989165872884</v>
      </c>
      <c r="CO25">
        <v>0.44392978338944178</v>
      </c>
      <c r="CP25">
        <v>0.30344573559318466</v>
      </c>
      <c r="CQ25">
        <v>5.0526926144630765E-2</v>
      </c>
      <c r="CR25">
        <v>3.2467267192435731E-5</v>
      </c>
      <c r="CS25">
        <v>4.685216447975183E-2</v>
      </c>
      <c r="CT25">
        <v>0.3741752791700016</v>
      </c>
      <c r="CU25">
        <v>0.53171470546456712</v>
      </c>
      <c r="CV25">
        <v>0.38501628478964051</v>
      </c>
      <c r="CW25">
        <v>9.1389075613350315E-2</v>
      </c>
      <c r="CX25">
        <v>0</v>
      </c>
      <c r="CY25">
        <v>7.2213931202348728E-3</v>
      </c>
      <c r="CZ25">
        <v>0.18808333725680107</v>
      </c>
      <c r="DA25">
        <v>0.32030270651420062</v>
      </c>
      <c r="DB25">
        <v>0.1845630392791329</v>
      </c>
      <c r="DC25">
        <v>1.0838024024174549E-2</v>
      </c>
      <c r="DE25" t="s">
        <v>128</v>
      </c>
      <c r="DF25" t="s">
        <v>111</v>
      </c>
      <c r="DG25" t="s">
        <v>112</v>
      </c>
      <c r="DH25">
        <v>0.42037403275193991</v>
      </c>
    </row>
    <row r="26" spans="2:112" x14ac:dyDescent="0.45">
      <c r="B26" t="s">
        <v>129</v>
      </c>
      <c r="C26" t="s">
        <v>107</v>
      </c>
      <c r="D26">
        <v>0</v>
      </c>
      <c r="E26">
        <v>0.99722222222222201</v>
      </c>
      <c r="F26">
        <v>0.44923840216794242</v>
      </c>
      <c r="G26">
        <v>0.28585490595472279</v>
      </c>
      <c r="H26">
        <v>0.36441321505828389</v>
      </c>
      <c r="I26">
        <v>0.91031803074081585</v>
      </c>
      <c r="J26">
        <v>0</v>
      </c>
      <c r="K26">
        <v>0.6528979110630575</v>
      </c>
      <c r="L26">
        <v>0.23777470679818183</v>
      </c>
      <c r="M26">
        <v>0.20171181743522518</v>
      </c>
      <c r="N26">
        <v>0.22441565988296244</v>
      </c>
      <c r="O26">
        <v>0.48512733488314602</v>
      </c>
      <c r="P26">
        <v>0.96603260869565233</v>
      </c>
      <c r="Q26">
        <v>0.54871598211713923</v>
      </c>
      <c r="R26">
        <v>0.16450351093450197</v>
      </c>
      <c r="S26">
        <v>0.114953773537137</v>
      </c>
      <c r="T26">
        <v>0.13940946480381139</v>
      </c>
      <c r="U26">
        <v>0.34995624435404721</v>
      </c>
      <c r="V26">
        <v>0</v>
      </c>
      <c r="W26">
        <v>0.83029811792500807</v>
      </c>
      <c r="X26">
        <v>0.34334432227628486</v>
      </c>
      <c r="Y26">
        <v>0.25373011467540235</v>
      </c>
      <c r="Z26">
        <v>0.31845123246416429</v>
      </c>
      <c r="AA26">
        <v>0.79178878564749422</v>
      </c>
      <c r="CE26" t="s">
        <v>129</v>
      </c>
      <c r="CF26">
        <v>0</v>
      </c>
      <c r="CG26">
        <v>1.4999834605939655E-6</v>
      </c>
      <c r="CH26">
        <v>0.12467657967392386</v>
      </c>
      <c r="CI26">
        <v>0.2975138425152134</v>
      </c>
      <c r="CJ26">
        <v>0.16179084708427049</v>
      </c>
      <c r="CK26">
        <v>5.1508546244674906E-3</v>
      </c>
      <c r="CL26">
        <v>0</v>
      </c>
      <c r="CM26">
        <v>2.566253182508977E-2</v>
      </c>
      <c r="CN26">
        <v>0.30590084184246075</v>
      </c>
      <c r="CO26">
        <v>0.44086783088624526</v>
      </c>
      <c r="CP26">
        <v>0.29128748771174778</v>
      </c>
      <c r="CQ26">
        <v>4.8128635493705427E-2</v>
      </c>
      <c r="CR26">
        <v>9.030688704456784E-6</v>
      </c>
      <c r="CS26">
        <v>4.6464731818651954E-2</v>
      </c>
      <c r="CT26">
        <v>0.38999054980836384</v>
      </c>
      <c r="CU26">
        <v>0.55301664924740956</v>
      </c>
      <c r="CV26">
        <v>0.4026288834640851</v>
      </c>
      <c r="CW26">
        <v>9.3813310708140252E-2</v>
      </c>
      <c r="CX26">
        <v>0</v>
      </c>
      <c r="CY26">
        <v>6.7547107956789712E-3</v>
      </c>
      <c r="CZ26">
        <v>0.19966438094589825</v>
      </c>
      <c r="DA26">
        <v>0.35338359089789273</v>
      </c>
      <c r="DB26">
        <v>0.20739919087194705</v>
      </c>
      <c r="DC26">
        <v>1.2276147540110681E-2</v>
      </c>
      <c r="DE26" t="s">
        <v>129</v>
      </c>
      <c r="DF26" t="s">
        <v>111</v>
      </c>
      <c r="DG26" t="s">
        <v>112</v>
      </c>
      <c r="DH26">
        <v>0.47608894012685599</v>
      </c>
    </row>
    <row r="27" spans="2:112" x14ac:dyDescent="0.45">
      <c r="B27" t="s">
        <v>130</v>
      </c>
      <c r="C27" t="s">
        <v>107</v>
      </c>
      <c r="D27">
        <v>0</v>
      </c>
      <c r="E27">
        <v>0</v>
      </c>
      <c r="F27">
        <v>0.45797423825521738</v>
      </c>
      <c r="G27">
        <v>0.27969885418323143</v>
      </c>
      <c r="H27">
        <v>0.35147433128845651</v>
      </c>
      <c r="I27">
        <v>0.89557196396130723</v>
      </c>
      <c r="J27">
        <v>0</v>
      </c>
      <c r="K27">
        <v>0.66570984791555432</v>
      </c>
      <c r="L27">
        <v>0.23039419627486893</v>
      </c>
      <c r="M27">
        <v>0.19563477716829325</v>
      </c>
      <c r="N27">
        <v>0.20871644035055797</v>
      </c>
      <c r="O27">
        <v>0.4647751340902041</v>
      </c>
      <c r="P27">
        <v>0.9524456521739133</v>
      </c>
      <c r="Q27">
        <v>0.56297333826000517</v>
      </c>
      <c r="R27">
        <v>0.16644409007689567</v>
      </c>
      <c r="S27">
        <v>0.10961605891429539</v>
      </c>
      <c r="T27">
        <v>0.13356891136069976</v>
      </c>
      <c r="U27">
        <v>0.34518076334231357</v>
      </c>
      <c r="V27">
        <v>0</v>
      </c>
      <c r="W27">
        <v>0.84295418394057053</v>
      </c>
      <c r="X27">
        <v>0.32262160487121827</v>
      </c>
      <c r="Y27">
        <v>0.24032177005651867</v>
      </c>
      <c r="Z27">
        <v>0.31170437263138917</v>
      </c>
      <c r="AA27">
        <v>0.76849843899490577</v>
      </c>
      <c r="CE27" t="s">
        <v>130</v>
      </c>
      <c r="CF27">
        <v>0</v>
      </c>
      <c r="CG27">
        <v>0</v>
      </c>
      <c r="CH27">
        <v>0.11352938163941939</v>
      </c>
      <c r="CI27">
        <v>0.28601205432150945</v>
      </c>
      <c r="CJ27">
        <v>0.17442224142663035</v>
      </c>
      <c r="CK27">
        <v>6.0523549146972409E-3</v>
      </c>
      <c r="CL27">
        <v>0</v>
      </c>
      <c r="CM27">
        <v>2.2753352592850336E-2</v>
      </c>
      <c r="CN27">
        <v>0.29787163641319014</v>
      </c>
      <c r="CO27">
        <v>0.4524192889912072</v>
      </c>
      <c r="CP27">
        <v>0.31861983286266077</v>
      </c>
      <c r="CQ27">
        <v>5.7505643850255632E-2</v>
      </c>
      <c r="CR27">
        <v>3.7538817943316192E-5</v>
      </c>
      <c r="CS27">
        <v>4.1660693029726616E-2</v>
      </c>
      <c r="CT27">
        <v>0.3832299897823353</v>
      </c>
      <c r="CU27">
        <v>0.55904798364574071</v>
      </c>
      <c r="CV27">
        <v>0.41795607562646248</v>
      </c>
      <c r="CW27">
        <v>0.10229295854940028</v>
      </c>
      <c r="CX27">
        <v>0</v>
      </c>
      <c r="CY27">
        <v>6.1381200903049028E-3</v>
      </c>
      <c r="CZ27">
        <v>0.2050070372378863</v>
      </c>
      <c r="DA27">
        <v>0.35998476206753555</v>
      </c>
      <c r="DB27">
        <v>0.2167615431248156</v>
      </c>
      <c r="DC27">
        <v>1.4690780341877862E-2</v>
      </c>
      <c r="DE27" t="s">
        <v>130</v>
      </c>
      <c r="DF27" t="s">
        <v>111</v>
      </c>
      <c r="DG27" t="s">
        <v>112</v>
      </c>
      <c r="DH27">
        <v>0.47886382865277577</v>
      </c>
    </row>
    <row r="28" spans="2:112" x14ac:dyDescent="0.45">
      <c r="B28" t="s">
        <v>131</v>
      </c>
      <c r="C28" t="s">
        <v>107</v>
      </c>
      <c r="D28">
        <v>0</v>
      </c>
      <c r="E28">
        <v>0.95915473067861856</v>
      </c>
      <c r="F28">
        <v>0.27644243090301857</v>
      </c>
      <c r="G28">
        <v>0.14387578115316493</v>
      </c>
      <c r="H28">
        <v>0.24734025029650167</v>
      </c>
      <c r="I28">
        <v>0.89729055919945389</v>
      </c>
      <c r="J28">
        <v>0</v>
      </c>
      <c r="K28">
        <v>0.61876209449999442</v>
      </c>
      <c r="L28">
        <v>0.18574669956566245</v>
      </c>
      <c r="M28">
        <v>0.1264351222648181</v>
      </c>
      <c r="N28">
        <v>0.16588365017617152</v>
      </c>
      <c r="O28">
        <v>0.55948632009028121</v>
      </c>
      <c r="P28">
        <v>0</v>
      </c>
      <c r="Q28">
        <v>0.52393720717542014</v>
      </c>
      <c r="R28">
        <v>9.5109885719043968E-2</v>
      </c>
      <c r="S28">
        <v>4.4252972752912845E-2</v>
      </c>
      <c r="T28">
        <v>0.10605239315738563</v>
      </c>
      <c r="U28">
        <v>0.45049225113715524</v>
      </c>
      <c r="V28">
        <v>0</v>
      </c>
      <c r="W28">
        <v>0.72449686850248307</v>
      </c>
      <c r="X28">
        <v>0.18247238930326953</v>
      </c>
      <c r="Y28">
        <v>0.12462691139480579</v>
      </c>
      <c r="Z28">
        <v>0.2460161076257453</v>
      </c>
      <c r="AA28">
        <v>0.81779343600773069</v>
      </c>
      <c r="CE28" t="s">
        <v>131</v>
      </c>
      <c r="CF28">
        <v>0</v>
      </c>
      <c r="CG28">
        <v>1.5102998482226999E-3</v>
      </c>
      <c r="CH28">
        <v>0.25393098923372603</v>
      </c>
      <c r="CI28">
        <v>0.46278086986911354</v>
      </c>
      <c r="CJ28">
        <v>0.24674541538786596</v>
      </c>
      <c r="CK28">
        <v>4.8845255785581795E-3</v>
      </c>
      <c r="CL28">
        <v>0</v>
      </c>
      <c r="CM28">
        <v>4.4606007794464671E-2</v>
      </c>
      <c r="CN28">
        <v>0.39819603481378829</v>
      </c>
      <c r="CO28">
        <v>0.57492720792548302</v>
      </c>
      <c r="CP28">
        <v>0.39503431840121334</v>
      </c>
      <c r="CQ28">
        <v>4.8158419818726955E-2</v>
      </c>
      <c r="CR28">
        <v>0</v>
      </c>
      <c r="CS28">
        <v>6.8079156199853733E-2</v>
      </c>
      <c r="CT28">
        <v>0.49492682171155</v>
      </c>
      <c r="CU28">
        <v>0.64613888996770497</v>
      </c>
      <c r="CV28">
        <v>0.45506361163032488</v>
      </c>
      <c r="CW28">
        <v>7.8753796505068197E-2</v>
      </c>
      <c r="CX28">
        <v>0</v>
      </c>
      <c r="CY28">
        <v>2.2894533325456396E-2</v>
      </c>
      <c r="CZ28">
        <v>0.36169902830877954</v>
      </c>
      <c r="DA28">
        <v>0.51175397504831033</v>
      </c>
      <c r="DB28">
        <v>0.28081573914616087</v>
      </c>
      <c r="DC28">
        <v>1.1359995107490223E-2</v>
      </c>
      <c r="DE28" t="s">
        <v>131</v>
      </c>
      <c r="DF28" t="s">
        <v>111</v>
      </c>
      <c r="DG28" t="s">
        <v>112</v>
      </c>
      <c r="DH28">
        <v>0.46848757907642602</v>
      </c>
    </row>
    <row r="29" spans="2:112" x14ac:dyDescent="0.45">
      <c r="B29" t="s">
        <v>132</v>
      </c>
      <c r="C29" t="s">
        <v>107</v>
      </c>
      <c r="D29">
        <v>0</v>
      </c>
      <c r="E29">
        <v>0.97775266973896924</v>
      </c>
      <c r="F29">
        <v>0.2948459882301202</v>
      </c>
      <c r="G29">
        <v>0.14275015373155669</v>
      </c>
      <c r="H29">
        <v>0.24363582857468544</v>
      </c>
      <c r="I29">
        <v>0.87685642010777542</v>
      </c>
      <c r="J29">
        <v>0</v>
      </c>
      <c r="K29">
        <v>0.64853478351367444</v>
      </c>
      <c r="L29">
        <v>0.20759044918805838</v>
      </c>
      <c r="M29">
        <v>0.15829816969679858</v>
      </c>
      <c r="N29">
        <v>0.18362623493130822</v>
      </c>
      <c r="O29">
        <v>0.5225584767146394</v>
      </c>
      <c r="P29">
        <v>0</v>
      </c>
      <c r="Q29">
        <v>0.54985558859353745</v>
      </c>
      <c r="R29">
        <v>0.10740390972020677</v>
      </c>
      <c r="S29">
        <v>4.5417788724998159E-2</v>
      </c>
      <c r="T29">
        <v>0.10512224955823629</v>
      </c>
      <c r="U29">
        <v>0.3852572190323546</v>
      </c>
      <c r="V29">
        <v>0</v>
      </c>
      <c r="W29">
        <v>0.78891693594688639</v>
      </c>
      <c r="X29">
        <v>0.22473381617761498</v>
      </c>
      <c r="Y29">
        <v>0.15150042952972881</v>
      </c>
      <c r="Z29">
        <v>0.23831601073419673</v>
      </c>
      <c r="AA29">
        <v>0.7755145588617991</v>
      </c>
      <c r="CE29" t="s">
        <v>132</v>
      </c>
      <c r="CF29">
        <v>0</v>
      </c>
      <c r="CG29">
        <v>3.8286554586514652E-4</v>
      </c>
      <c r="CH29">
        <v>0.2530807936484949</v>
      </c>
      <c r="CI29">
        <v>0.50587771394019498</v>
      </c>
      <c r="CJ29">
        <v>0.29574675643574622</v>
      </c>
      <c r="CK29">
        <v>8.3870580921068458E-3</v>
      </c>
      <c r="CL29">
        <v>0</v>
      </c>
      <c r="CM29">
        <v>3.6782107966628751E-2</v>
      </c>
      <c r="CN29">
        <v>0.38510236146645499</v>
      </c>
      <c r="CO29">
        <v>0.55570452101853318</v>
      </c>
      <c r="CP29">
        <v>0.39423261432581402</v>
      </c>
      <c r="CQ29">
        <v>5.9030905565492717E-2</v>
      </c>
      <c r="CR29">
        <v>0</v>
      </c>
      <c r="CS29">
        <v>5.6970131603186799E-2</v>
      </c>
      <c r="CT29">
        <v>0.46540303840191666</v>
      </c>
      <c r="CU29">
        <v>0.62997017488256413</v>
      </c>
      <c r="CV29">
        <v>0.44878582096203856</v>
      </c>
      <c r="CW29">
        <v>9.0935092059026709E-2</v>
      </c>
      <c r="CX29">
        <v>0</v>
      </c>
      <c r="CY29">
        <v>1.5016426232415196E-2</v>
      </c>
      <c r="CZ29">
        <v>0.31151311609142435</v>
      </c>
      <c r="DA29">
        <v>0.48275284169453991</v>
      </c>
      <c r="DB29">
        <v>0.27858997233994842</v>
      </c>
      <c r="DC29">
        <v>1.5678201999720844E-2</v>
      </c>
      <c r="DE29" t="s">
        <v>132</v>
      </c>
      <c r="DF29" t="s">
        <v>111</v>
      </c>
      <c r="DG29" t="s">
        <v>112</v>
      </c>
      <c r="DH29">
        <v>0.47802131703568085</v>
      </c>
    </row>
    <row r="30" spans="2:112" x14ac:dyDescent="0.45">
      <c r="B30" t="s">
        <v>133</v>
      </c>
      <c r="C30" t="s">
        <v>107</v>
      </c>
      <c r="D30">
        <v>0</v>
      </c>
      <c r="E30">
        <v>0</v>
      </c>
      <c r="F30">
        <v>0.30689468932813252</v>
      </c>
      <c r="G30">
        <v>0.12234124531346467</v>
      </c>
      <c r="H30">
        <v>0.19306170570401293</v>
      </c>
      <c r="I30">
        <v>0.79076650044587382</v>
      </c>
      <c r="J30">
        <v>0</v>
      </c>
      <c r="K30">
        <v>0.68290394355861672</v>
      </c>
      <c r="L30">
        <v>0.19911941910673731</v>
      </c>
      <c r="M30">
        <v>0.12784365827787819</v>
      </c>
      <c r="N30">
        <v>0.16356779699678711</v>
      </c>
      <c r="O30">
        <v>0.44325190145227317</v>
      </c>
      <c r="P30">
        <v>0.95695889999093442</v>
      </c>
      <c r="Q30">
        <v>0.60208528070765188</v>
      </c>
      <c r="R30">
        <v>0.12999047512424397</v>
      </c>
      <c r="S30">
        <v>5.3450985793624103E-2</v>
      </c>
      <c r="T30">
        <v>0.10626265316861679</v>
      </c>
      <c r="U30">
        <v>0.34206589673147569</v>
      </c>
      <c r="V30">
        <v>0</v>
      </c>
      <c r="W30">
        <v>0.83607274839626533</v>
      </c>
      <c r="X30">
        <v>0.22113564992344475</v>
      </c>
      <c r="Y30">
        <v>0.11362701777344311</v>
      </c>
      <c r="Z30">
        <v>0.19747003670322061</v>
      </c>
      <c r="AA30">
        <v>0.68473232842274734</v>
      </c>
      <c r="CE30" t="s">
        <v>133</v>
      </c>
      <c r="CF30">
        <v>0</v>
      </c>
      <c r="CG30">
        <v>0</v>
      </c>
      <c r="CH30">
        <v>0.2194949310218714</v>
      </c>
      <c r="CI30">
        <v>0.50883592751638229</v>
      </c>
      <c r="CJ30">
        <v>0.34796188460788224</v>
      </c>
      <c r="CK30">
        <v>1.7541195951148111E-2</v>
      </c>
      <c r="CL30">
        <v>0</v>
      </c>
      <c r="CM30">
        <v>2.3501725387628267E-2</v>
      </c>
      <c r="CN30">
        <v>0.36118129702455176</v>
      </c>
      <c r="CO30">
        <v>0.56755526667486378</v>
      </c>
      <c r="CP30">
        <v>0.41554729282287772</v>
      </c>
      <c r="CQ30">
        <v>7.8845697888948796E-2</v>
      </c>
      <c r="CR30">
        <v>4.4168480195161595E-6</v>
      </c>
      <c r="CS30">
        <v>3.8077780729447792E-2</v>
      </c>
      <c r="CT30">
        <v>0.42391574181584307</v>
      </c>
      <c r="CU30">
        <v>0.62676123572322817</v>
      </c>
      <c r="CV30">
        <v>0.46542221810443668</v>
      </c>
      <c r="CW30">
        <v>0.11348741238467082</v>
      </c>
      <c r="CX30">
        <v>0</v>
      </c>
      <c r="CY30">
        <v>8.9540766055565754E-3</v>
      </c>
      <c r="CZ30">
        <v>0.3031452929974025</v>
      </c>
      <c r="DA30">
        <v>0.53000435048168693</v>
      </c>
      <c r="DB30">
        <v>0.34063540492867911</v>
      </c>
      <c r="DC30">
        <v>2.7645090437902926E-2</v>
      </c>
      <c r="DE30" t="s">
        <v>133</v>
      </c>
      <c r="DF30" t="s">
        <v>111</v>
      </c>
      <c r="DG30" t="s">
        <v>112</v>
      </c>
      <c r="DH30">
        <v>0.48054091540208177</v>
      </c>
    </row>
    <row r="31" spans="2:112" x14ac:dyDescent="0.45">
      <c r="B31" t="s">
        <v>134</v>
      </c>
      <c r="C31" t="s">
        <v>107</v>
      </c>
      <c r="D31">
        <v>0</v>
      </c>
      <c r="E31">
        <v>0.99722222222222245</v>
      </c>
      <c r="F31">
        <v>0.32454592452052033</v>
      </c>
      <c r="G31">
        <v>0.15757444488654987</v>
      </c>
      <c r="H31">
        <v>0.23383564033459334</v>
      </c>
      <c r="I31">
        <v>0.85794809934287697</v>
      </c>
      <c r="J31">
        <v>0</v>
      </c>
      <c r="K31">
        <v>0.67198658203168882</v>
      </c>
      <c r="L31">
        <v>0.21738404958205865</v>
      </c>
      <c r="M31">
        <v>0.15329110064327478</v>
      </c>
      <c r="N31">
        <v>0.18089364584203779</v>
      </c>
      <c r="O31">
        <v>0.48150500282614433</v>
      </c>
      <c r="P31">
        <v>0</v>
      </c>
      <c r="Q31">
        <v>0.58082118607353084</v>
      </c>
      <c r="R31">
        <v>0.12103406360824566</v>
      </c>
      <c r="S31">
        <v>4.8470004096243496E-2</v>
      </c>
      <c r="T31">
        <v>0.10458249656282988</v>
      </c>
      <c r="U31">
        <v>0.36519563791276866</v>
      </c>
      <c r="V31">
        <v>0</v>
      </c>
      <c r="W31">
        <v>0.82639229375309731</v>
      </c>
      <c r="X31">
        <v>0.24671095938949966</v>
      </c>
      <c r="Y31">
        <v>0.1562619880534869</v>
      </c>
      <c r="Z31">
        <v>0.2363142506987545</v>
      </c>
      <c r="AA31">
        <v>0.73564832868519336</v>
      </c>
      <c r="CE31" t="s">
        <v>134</v>
      </c>
      <c r="CF31">
        <v>0</v>
      </c>
      <c r="CG31">
        <v>2.5720692010110572E-5</v>
      </c>
      <c r="CH31">
        <v>0.21150957875441156</v>
      </c>
      <c r="CI31">
        <v>0.47150070669502298</v>
      </c>
      <c r="CJ31">
        <v>0.30432009012668193</v>
      </c>
      <c r="CK31">
        <v>1.2770179195409992E-2</v>
      </c>
      <c r="CL31">
        <v>0</v>
      </c>
      <c r="CM31">
        <v>2.8435733294508977E-2</v>
      </c>
      <c r="CN31">
        <v>0.35162624230578549</v>
      </c>
      <c r="CO31">
        <v>0.53254061570811773</v>
      </c>
      <c r="CP31">
        <v>0.39252818000251816</v>
      </c>
      <c r="CQ31">
        <v>6.9572872584847775E-2</v>
      </c>
      <c r="CR31">
        <v>0</v>
      </c>
      <c r="CS31">
        <v>4.5859928499579712E-2</v>
      </c>
      <c r="CT31">
        <v>0.44389576227053357</v>
      </c>
      <c r="CU31">
        <v>0.6470189613380064</v>
      </c>
      <c r="CV31">
        <v>0.48644079052425748</v>
      </c>
      <c r="CW31">
        <v>0.10886761996588168</v>
      </c>
      <c r="CX31">
        <v>0</v>
      </c>
      <c r="CY31">
        <v>1.057300910742077E-2</v>
      </c>
      <c r="CZ31">
        <v>0.28342053227936043</v>
      </c>
      <c r="DA31">
        <v>0.47523016454614425</v>
      </c>
      <c r="DB31">
        <v>0.2936398906879249</v>
      </c>
      <c r="DC31">
        <v>2.0204267374026606E-2</v>
      </c>
      <c r="DE31" t="s">
        <v>134</v>
      </c>
      <c r="DF31" t="s">
        <v>111</v>
      </c>
      <c r="DG31" t="s">
        <v>112</v>
      </c>
      <c r="DH31">
        <v>0.47205204688756891</v>
      </c>
    </row>
    <row r="32" spans="2:112" x14ac:dyDescent="0.45">
      <c r="B32" t="s">
        <v>135</v>
      </c>
      <c r="C32" t="s">
        <v>107</v>
      </c>
      <c r="D32">
        <v>0</v>
      </c>
      <c r="E32">
        <v>0</v>
      </c>
      <c r="F32">
        <v>0.40481035072491173</v>
      </c>
      <c r="G32">
        <v>0.19959152200732946</v>
      </c>
      <c r="H32">
        <v>0.24914347318789964</v>
      </c>
      <c r="I32">
        <v>0.82743639050658446</v>
      </c>
      <c r="J32">
        <v>0</v>
      </c>
      <c r="K32">
        <v>0.70085806597993405</v>
      </c>
      <c r="L32">
        <v>0.2287911922535088</v>
      </c>
      <c r="M32">
        <v>0.15126504528928536</v>
      </c>
      <c r="N32">
        <v>0.18322051003209047</v>
      </c>
      <c r="O32">
        <v>0.45447932627507825</v>
      </c>
      <c r="P32">
        <v>0.9836956521739133</v>
      </c>
      <c r="Q32">
        <v>0.60592452659993734</v>
      </c>
      <c r="R32">
        <v>0.17445841497451184</v>
      </c>
      <c r="S32">
        <v>8.6794374270956015E-2</v>
      </c>
      <c r="T32">
        <v>0.12006209190773204</v>
      </c>
      <c r="U32">
        <v>0.34815765118733649</v>
      </c>
      <c r="V32">
        <v>0</v>
      </c>
      <c r="W32">
        <v>0.85351610334199246</v>
      </c>
      <c r="X32">
        <v>0.30618462353005427</v>
      </c>
      <c r="Y32">
        <v>0.21531247837599515</v>
      </c>
      <c r="Z32">
        <v>0.26576753420648541</v>
      </c>
      <c r="AA32">
        <v>0.68983101516870626</v>
      </c>
      <c r="CE32" t="s">
        <v>135</v>
      </c>
      <c r="CF32">
        <v>0</v>
      </c>
      <c r="CG32">
        <v>0</v>
      </c>
      <c r="CH32">
        <v>0.15189472675403334</v>
      </c>
      <c r="CI32">
        <v>0.40642940805854538</v>
      </c>
      <c r="CJ32">
        <v>0.28579265254996161</v>
      </c>
      <c r="CK32">
        <v>1.4638434909977731E-2</v>
      </c>
      <c r="CL32">
        <v>0</v>
      </c>
      <c r="CM32">
        <v>1.8777836135336269E-2</v>
      </c>
      <c r="CN32">
        <v>0.30976413757209237</v>
      </c>
      <c r="CO32">
        <v>0.52652514553172391</v>
      </c>
      <c r="CP32">
        <v>0.39019376640133008</v>
      </c>
      <c r="CQ32">
        <v>7.5248663048270686E-2</v>
      </c>
      <c r="CR32">
        <v>2.0907496416636725E-6</v>
      </c>
      <c r="CS32">
        <v>3.1123426529634464E-2</v>
      </c>
      <c r="CT32">
        <v>0.37048365813236711</v>
      </c>
      <c r="CU32">
        <v>0.59815610362754545</v>
      </c>
      <c r="CV32">
        <v>0.46345563969646464</v>
      </c>
      <c r="CW32">
        <v>0.11384687956437339</v>
      </c>
      <c r="CX32">
        <v>0</v>
      </c>
      <c r="CY32">
        <v>5.8281366147640793E-3</v>
      </c>
      <c r="CZ32">
        <v>0.22753742134592322</v>
      </c>
      <c r="DA32">
        <v>0.41016501784447779</v>
      </c>
      <c r="DB32">
        <v>0.26889573914902531</v>
      </c>
      <c r="DC32">
        <v>2.4217485862354365E-2</v>
      </c>
      <c r="DE32" t="s">
        <v>135</v>
      </c>
      <c r="DF32" t="s">
        <v>111</v>
      </c>
      <c r="DG32" t="s">
        <v>112</v>
      </c>
      <c r="DH32">
        <v>0.44890588149317789</v>
      </c>
    </row>
    <row r="33" spans="2:112" x14ac:dyDescent="0.45">
      <c r="B33" t="s">
        <v>136</v>
      </c>
      <c r="C33" t="s">
        <v>107</v>
      </c>
      <c r="D33">
        <v>0</v>
      </c>
      <c r="E33">
        <v>0</v>
      </c>
      <c r="F33">
        <v>0.40584384249274968</v>
      </c>
      <c r="G33">
        <v>0.17686343890935755</v>
      </c>
      <c r="H33">
        <v>0.23490678084887323</v>
      </c>
      <c r="I33">
        <v>0.77891708525516135</v>
      </c>
      <c r="J33">
        <v>0</v>
      </c>
      <c r="K33">
        <v>0.71577501589844383</v>
      </c>
      <c r="L33">
        <v>0.24009735803662932</v>
      </c>
      <c r="M33">
        <v>0.15681348311215318</v>
      </c>
      <c r="N33">
        <v>0.17956561283868203</v>
      </c>
      <c r="O33">
        <v>0.43094509574746664</v>
      </c>
      <c r="P33">
        <v>0.94046076075197871</v>
      </c>
      <c r="Q33">
        <v>0.61679515354385983</v>
      </c>
      <c r="R33">
        <v>0.18763525378580895</v>
      </c>
      <c r="S33">
        <v>0.1037896143160118</v>
      </c>
      <c r="T33">
        <v>0.1242459301207247</v>
      </c>
      <c r="U33">
        <v>0.34038205346336886</v>
      </c>
      <c r="V33">
        <v>0</v>
      </c>
      <c r="W33">
        <v>0.86812457963970058</v>
      </c>
      <c r="X33">
        <v>0.29964684226919097</v>
      </c>
      <c r="Y33">
        <v>0.18982277346843807</v>
      </c>
      <c r="Z33">
        <v>0.25407784370059822</v>
      </c>
      <c r="AA33">
        <v>0.67920879455383665</v>
      </c>
      <c r="CE33" t="s">
        <v>136</v>
      </c>
      <c r="CF33">
        <v>0</v>
      </c>
      <c r="CG33">
        <v>0</v>
      </c>
      <c r="CH33">
        <v>0.14867035309203774</v>
      </c>
      <c r="CI33">
        <v>0.41808675475521606</v>
      </c>
      <c r="CJ33">
        <v>0.2948390775499472</v>
      </c>
      <c r="CK33">
        <v>1.6942528541038594E-2</v>
      </c>
      <c r="CL33">
        <v>0</v>
      </c>
      <c r="CM33">
        <v>1.51519478722308E-2</v>
      </c>
      <c r="CN33">
        <v>0.29465214527701122</v>
      </c>
      <c r="CO33">
        <v>0.50608927639536194</v>
      </c>
      <c r="CP33">
        <v>0.38718471060092152</v>
      </c>
      <c r="CQ33">
        <v>8.5854248885984225E-2</v>
      </c>
      <c r="CR33">
        <v>6.6303633563096889E-5</v>
      </c>
      <c r="CS33">
        <v>2.634290871258407E-2</v>
      </c>
      <c r="CT33">
        <v>0.35274254705458086</v>
      </c>
      <c r="CU33">
        <v>0.57633400667134271</v>
      </c>
      <c r="CV33">
        <v>0.46500825077184887</v>
      </c>
      <c r="CW33">
        <v>0.12675334710372133</v>
      </c>
      <c r="CX33">
        <v>0</v>
      </c>
      <c r="CY33">
        <v>4.4518307596626899E-3</v>
      </c>
      <c r="CZ33">
        <v>0.22786110548429553</v>
      </c>
      <c r="DA33">
        <v>0.42680613869956918</v>
      </c>
      <c r="DB33">
        <v>0.28470096230066322</v>
      </c>
      <c r="DC33">
        <v>2.9553661390098972E-2</v>
      </c>
      <c r="DE33" t="s">
        <v>136</v>
      </c>
      <c r="DF33" t="s">
        <v>111</v>
      </c>
      <c r="DG33" t="s">
        <v>112</v>
      </c>
      <c r="DH33">
        <v>0.51352648902352305</v>
      </c>
    </row>
    <row r="34" spans="2:112" x14ac:dyDescent="0.45">
      <c r="B34" t="s">
        <v>137</v>
      </c>
      <c r="C34" t="s">
        <v>107</v>
      </c>
      <c r="D34">
        <v>0</v>
      </c>
      <c r="E34">
        <v>0</v>
      </c>
      <c r="F34">
        <v>0.42584145107676713</v>
      </c>
      <c r="G34">
        <v>0.20558130237459377</v>
      </c>
      <c r="H34">
        <v>0.25468430810707959</v>
      </c>
      <c r="I34">
        <v>0.80970914874955591</v>
      </c>
      <c r="J34">
        <v>0.99728260869565233</v>
      </c>
      <c r="K34">
        <v>0.70399255219083567</v>
      </c>
      <c r="L34">
        <v>0.21575321696520394</v>
      </c>
      <c r="M34">
        <v>0.13901547949575405</v>
      </c>
      <c r="N34">
        <v>0.17082494726371039</v>
      </c>
      <c r="O34">
        <v>0.41797651068924591</v>
      </c>
      <c r="P34">
        <v>0.93536113391612263</v>
      </c>
      <c r="Q34">
        <v>0.61206994954715477</v>
      </c>
      <c r="R34">
        <v>0.17349987753627652</v>
      </c>
      <c r="S34">
        <v>9.7786509511814612E-2</v>
      </c>
      <c r="T34">
        <v>0.12443386188457367</v>
      </c>
      <c r="U34">
        <v>0.33497452498957403</v>
      </c>
      <c r="V34">
        <v>0</v>
      </c>
      <c r="W34">
        <v>0.86525635862352646</v>
      </c>
      <c r="X34">
        <v>0.28452076085973027</v>
      </c>
      <c r="Y34">
        <v>0.19041946561661033</v>
      </c>
      <c r="Z34">
        <v>0.26807625144414499</v>
      </c>
      <c r="AA34">
        <v>0.68355397473618795</v>
      </c>
      <c r="CE34" t="s">
        <v>137</v>
      </c>
      <c r="CF34">
        <v>0</v>
      </c>
      <c r="CG34">
        <v>0</v>
      </c>
      <c r="CH34">
        <v>0.14614655848734631</v>
      </c>
      <c r="CI34">
        <v>0.39489630061150416</v>
      </c>
      <c r="CJ34">
        <v>0.27454568086748543</v>
      </c>
      <c r="CK34">
        <v>1.5909250591599079E-2</v>
      </c>
      <c r="CL34">
        <v>4.5488328478240323E-8</v>
      </c>
      <c r="CM34">
        <v>1.7399852923277476E-2</v>
      </c>
      <c r="CN34">
        <v>0.31526120400440266</v>
      </c>
      <c r="CO34">
        <v>0.51317083297526156</v>
      </c>
      <c r="CP34">
        <v>0.38997616689117703</v>
      </c>
      <c r="CQ34">
        <v>8.5975445832359138E-2</v>
      </c>
      <c r="CR34">
        <v>8.1558726512200423E-5</v>
      </c>
      <c r="CS34">
        <v>2.8531711781506149E-2</v>
      </c>
      <c r="CT34">
        <v>0.36172017279334268</v>
      </c>
      <c r="CU34">
        <v>0.58099384882530047</v>
      </c>
      <c r="CV34">
        <v>0.46659061058143342</v>
      </c>
      <c r="CW34">
        <v>0.1274757217858796</v>
      </c>
      <c r="CX34">
        <v>0</v>
      </c>
      <c r="CY34">
        <v>4.5217443102975752E-3</v>
      </c>
      <c r="CZ34">
        <v>0.22393007747784618</v>
      </c>
      <c r="DA34">
        <v>0.41098222289194386</v>
      </c>
      <c r="DB34">
        <v>0.26999667538376798</v>
      </c>
      <c r="DC34">
        <v>2.7494257311117862E-2</v>
      </c>
      <c r="DE34" t="s">
        <v>137</v>
      </c>
      <c r="DF34" t="s">
        <v>111</v>
      </c>
      <c r="DG34" t="s">
        <v>112</v>
      </c>
      <c r="DH34">
        <v>0.4676718483122676</v>
      </c>
    </row>
    <row r="35" spans="2:112" x14ac:dyDescent="0.45">
      <c r="B35" t="s">
        <v>138</v>
      </c>
      <c r="C35" t="s">
        <v>107</v>
      </c>
      <c r="D35">
        <v>0</v>
      </c>
      <c r="E35">
        <v>0</v>
      </c>
      <c r="F35">
        <v>0.42813697673014761</v>
      </c>
      <c r="G35">
        <v>0.24058419495194064</v>
      </c>
      <c r="H35">
        <v>0.28477864497998184</v>
      </c>
      <c r="I35">
        <v>0.84997428452704415</v>
      </c>
      <c r="J35">
        <v>0</v>
      </c>
      <c r="K35">
        <v>0.69182122890350894</v>
      </c>
      <c r="L35">
        <v>0.23451172305902321</v>
      </c>
      <c r="M35">
        <v>0.14976841181018424</v>
      </c>
      <c r="N35">
        <v>0.18200789154885141</v>
      </c>
      <c r="O35">
        <v>0.45306229635569417</v>
      </c>
      <c r="P35">
        <v>0.97690217391304346</v>
      </c>
      <c r="Q35">
        <v>0.5953178845916749</v>
      </c>
      <c r="R35">
        <v>0.16112252232157742</v>
      </c>
      <c r="S35">
        <v>9.4557456194847428E-2</v>
      </c>
      <c r="T35">
        <v>0.12098981121338745</v>
      </c>
      <c r="U35">
        <v>0.35004219170464868</v>
      </c>
      <c r="V35">
        <v>0</v>
      </c>
      <c r="W35">
        <v>0.85145182278008635</v>
      </c>
      <c r="X35">
        <v>0.30454789002599575</v>
      </c>
      <c r="Y35">
        <v>0.21570888887004616</v>
      </c>
      <c r="Z35">
        <v>0.2830918048374555</v>
      </c>
      <c r="AA35">
        <v>0.71630666978775104</v>
      </c>
      <c r="CE35" t="s">
        <v>138</v>
      </c>
      <c r="CF35">
        <v>0</v>
      </c>
      <c r="CG35">
        <v>0</v>
      </c>
      <c r="CH35">
        <v>0.14286298289151775</v>
      </c>
      <c r="CI35">
        <v>0.36722325169208192</v>
      </c>
      <c r="CJ35">
        <v>0.25576698150488342</v>
      </c>
      <c r="CK35">
        <v>1.31995520706094E-2</v>
      </c>
      <c r="CL35">
        <v>0</v>
      </c>
      <c r="CM35">
        <v>2.0440398198392568E-2</v>
      </c>
      <c r="CN35">
        <v>0.30757651647719192</v>
      </c>
      <c r="CO35">
        <v>0.50633572605132138</v>
      </c>
      <c r="CP35">
        <v>0.37789738831290132</v>
      </c>
      <c r="CQ35">
        <v>7.4193399488507672E-2</v>
      </c>
      <c r="CR35">
        <v>4.5445369867846104E-6</v>
      </c>
      <c r="CS35">
        <v>3.5499085752947183E-2</v>
      </c>
      <c r="CT35">
        <v>0.38720791114976089</v>
      </c>
      <c r="CU35">
        <v>0.59554850592837671</v>
      </c>
      <c r="CV35">
        <v>0.46545588771804564</v>
      </c>
      <c r="CW35">
        <v>0.11608091119960724</v>
      </c>
      <c r="CX35">
        <v>0</v>
      </c>
      <c r="CY35">
        <v>6.0791310501809928E-3</v>
      </c>
      <c r="CZ35">
        <v>0.23050520557764978</v>
      </c>
      <c r="DA35">
        <v>0.40945900831943877</v>
      </c>
      <c r="DB35">
        <v>0.25730321362891967</v>
      </c>
      <c r="DC35">
        <v>2.0567835863480263E-2</v>
      </c>
      <c r="DE35" t="s">
        <v>138</v>
      </c>
      <c r="DF35" t="s">
        <v>111</v>
      </c>
      <c r="DG35" t="s">
        <v>112</v>
      </c>
      <c r="DH35">
        <v>0.43853833445441526</v>
      </c>
    </row>
    <row r="36" spans="2:112" x14ac:dyDescent="0.45">
      <c r="B36" t="s">
        <v>139</v>
      </c>
      <c r="C36" t="s">
        <v>107</v>
      </c>
      <c r="D36">
        <v>0</v>
      </c>
      <c r="E36">
        <v>0</v>
      </c>
      <c r="F36">
        <v>0.4370611522915791</v>
      </c>
      <c r="G36">
        <v>0.24001215074906343</v>
      </c>
      <c r="H36">
        <v>0.2944291096862019</v>
      </c>
      <c r="I36">
        <v>0.84547062947447404</v>
      </c>
      <c r="J36">
        <v>0</v>
      </c>
      <c r="K36">
        <v>0.69535026970167424</v>
      </c>
      <c r="L36">
        <v>0.22109422097594092</v>
      </c>
      <c r="M36">
        <v>0.13964832661952656</v>
      </c>
      <c r="N36">
        <v>0.17068399753471356</v>
      </c>
      <c r="O36">
        <v>0.43077179409859279</v>
      </c>
      <c r="P36">
        <v>0.93994109736711384</v>
      </c>
      <c r="Q36">
        <v>0.59684499999171725</v>
      </c>
      <c r="R36">
        <v>0.1561756710489717</v>
      </c>
      <c r="S36">
        <v>0.10295622546598056</v>
      </c>
      <c r="T36">
        <v>0.13344189227729117</v>
      </c>
      <c r="U36">
        <v>0.34182829159612188</v>
      </c>
      <c r="V36">
        <v>0</v>
      </c>
      <c r="W36">
        <v>0.86055671127488964</v>
      </c>
      <c r="X36">
        <v>0.30631272800968767</v>
      </c>
      <c r="Y36">
        <v>0.22054101221896621</v>
      </c>
      <c r="Z36">
        <v>0.2907787486332804</v>
      </c>
      <c r="AA36">
        <v>0.71716357919407647</v>
      </c>
      <c r="CE36" t="s">
        <v>139</v>
      </c>
      <c r="CF36">
        <v>0</v>
      </c>
      <c r="CG36">
        <v>0</v>
      </c>
      <c r="CH36">
        <v>0.14462563476318824</v>
      </c>
      <c r="CI36">
        <v>0.37312824347953499</v>
      </c>
      <c r="CJ36">
        <v>0.25432656291502098</v>
      </c>
      <c r="CK36">
        <v>1.4039423511536624E-2</v>
      </c>
      <c r="CL36">
        <v>0</v>
      </c>
      <c r="CM36">
        <v>1.9113148297197301E-2</v>
      </c>
      <c r="CN36">
        <v>0.30638047778732036</v>
      </c>
      <c r="CO36">
        <v>0.49937331072490471</v>
      </c>
      <c r="CP36">
        <v>0.37699572012934673</v>
      </c>
      <c r="CQ36">
        <v>7.7853595787783461E-2</v>
      </c>
      <c r="CR36">
        <v>5.6853763022208194E-5</v>
      </c>
      <c r="CS36">
        <v>3.3606060369567502E-2</v>
      </c>
      <c r="CT36">
        <v>0.38323769224013537</v>
      </c>
      <c r="CU36">
        <v>0.58017883934175318</v>
      </c>
      <c r="CV36">
        <v>0.45185052694441336</v>
      </c>
      <c r="CW36">
        <v>0.11952139803485705</v>
      </c>
      <c r="CX36">
        <v>0</v>
      </c>
      <c r="CY36">
        <v>5.0155361594410933E-3</v>
      </c>
      <c r="CZ36">
        <v>0.21594505375953532</v>
      </c>
      <c r="DA36">
        <v>0.38897371690571891</v>
      </c>
      <c r="DB36">
        <v>0.25158122456211124</v>
      </c>
      <c r="DC36">
        <v>2.2526393848580299E-2</v>
      </c>
      <c r="DE36" t="s">
        <v>139</v>
      </c>
      <c r="DF36" t="s">
        <v>111</v>
      </c>
      <c r="DG36" t="s">
        <v>112</v>
      </c>
      <c r="DH36">
        <v>0.43314005092261659</v>
      </c>
    </row>
    <row r="37" spans="2:112" x14ac:dyDescent="0.45">
      <c r="B37" t="s">
        <v>140</v>
      </c>
      <c r="C37" t="s">
        <v>107</v>
      </c>
      <c r="D37">
        <v>0</v>
      </c>
      <c r="E37">
        <v>0.98724920932627647</v>
      </c>
      <c r="F37">
        <v>0.34221685134035756</v>
      </c>
      <c r="G37">
        <v>0.17969729853582872</v>
      </c>
      <c r="H37">
        <v>0.28436575732914765</v>
      </c>
      <c r="I37">
        <v>0.8904576657764921</v>
      </c>
      <c r="J37">
        <v>0</v>
      </c>
      <c r="K37">
        <v>0.63933673850785167</v>
      </c>
      <c r="L37">
        <v>0.22203221870946396</v>
      </c>
      <c r="M37">
        <v>0.16416375466331101</v>
      </c>
      <c r="N37">
        <v>0.18741937037638695</v>
      </c>
      <c r="O37">
        <v>0.4984200629304269</v>
      </c>
      <c r="P37">
        <v>0</v>
      </c>
      <c r="Q37">
        <v>0.55060868894705084</v>
      </c>
      <c r="R37">
        <v>0.14541409732930577</v>
      </c>
      <c r="S37">
        <v>9.4610512924687043E-2</v>
      </c>
      <c r="T37">
        <v>0.1302513141282107</v>
      </c>
      <c r="U37">
        <v>0.37680985755335539</v>
      </c>
      <c r="V37">
        <v>0</v>
      </c>
      <c r="W37">
        <v>0.8092595619970423</v>
      </c>
      <c r="X37">
        <v>0.27321627708978785</v>
      </c>
      <c r="Y37">
        <v>0.20219369791146741</v>
      </c>
      <c r="Z37">
        <v>0.28098433111959642</v>
      </c>
      <c r="AA37">
        <v>0.78686341606502996</v>
      </c>
      <c r="CE37" t="s">
        <v>140</v>
      </c>
      <c r="CF37">
        <v>0</v>
      </c>
      <c r="CG37">
        <v>2.5062271541488395E-4</v>
      </c>
      <c r="CH37">
        <v>0.19901884564641872</v>
      </c>
      <c r="CI37">
        <v>0.45324984906193672</v>
      </c>
      <c r="CJ37">
        <v>0.25563723703358349</v>
      </c>
      <c r="CK37">
        <v>7.202552067037341E-3</v>
      </c>
      <c r="CL37">
        <v>0</v>
      </c>
      <c r="CM37">
        <v>2.9654024615287766E-2</v>
      </c>
      <c r="CN37">
        <v>0.34198594706080548</v>
      </c>
      <c r="CO37">
        <v>0.51690043526838669</v>
      </c>
      <c r="CP37">
        <v>0.35600599515622228</v>
      </c>
      <c r="CQ37">
        <v>5.3841654125505282E-2</v>
      </c>
      <c r="CR37">
        <v>0</v>
      </c>
      <c r="CS37">
        <v>5.1447522576174895E-2</v>
      </c>
      <c r="CT37">
        <v>0.42448210315924517</v>
      </c>
      <c r="CU37">
        <v>0.57777774328789466</v>
      </c>
      <c r="CV37">
        <v>0.4168028817685836</v>
      </c>
      <c r="CW37">
        <v>8.8661794599352611E-2</v>
      </c>
      <c r="CX37">
        <v>0</v>
      </c>
      <c r="CY37">
        <v>1.0207612625743115E-2</v>
      </c>
      <c r="CZ37">
        <v>0.25901986094134283</v>
      </c>
      <c r="DA37">
        <v>0.43901955067732734</v>
      </c>
      <c r="DB37">
        <v>0.25639574735236953</v>
      </c>
      <c r="DC37">
        <v>1.3322396146556E-2</v>
      </c>
      <c r="DE37" t="s">
        <v>140</v>
      </c>
      <c r="DF37" t="s">
        <v>111</v>
      </c>
      <c r="DG37" t="s">
        <v>112</v>
      </c>
      <c r="DH37">
        <v>0.50792368515768815</v>
      </c>
    </row>
    <row r="38" spans="2:112" x14ac:dyDescent="0.45">
      <c r="B38" t="s">
        <v>141</v>
      </c>
      <c r="C38" t="s">
        <v>107</v>
      </c>
      <c r="D38">
        <v>0</v>
      </c>
      <c r="E38">
        <v>0.98888888888888904</v>
      </c>
      <c r="F38">
        <v>0.37396335881650711</v>
      </c>
      <c r="G38">
        <v>0.22408591870538569</v>
      </c>
      <c r="H38">
        <v>0.32727644813101436</v>
      </c>
      <c r="I38">
        <v>0.90892474738600226</v>
      </c>
      <c r="J38">
        <v>0</v>
      </c>
      <c r="K38">
        <v>0.64167677217511321</v>
      </c>
      <c r="L38">
        <v>0.23805045549250178</v>
      </c>
      <c r="M38">
        <v>0.18222331654839283</v>
      </c>
      <c r="N38">
        <v>0.20958506048912437</v>
      </c>
      <c r="O38">
        <v>0.50514187715378234</v>
      </c>
      <c r="P38">
        <v>0</v>
      </c>
      <c r="Q38">
        <v>0.54875189482276354</v>
      </c>
      <c r="R38">
        <v>0.15518755143534216</v>
      </c>
      <c r="S38">
        <v>0.10703530883357032</v>
      </c>
      <c r="T38">
        <v>0.13402782879459765</v>
      </c>
      <c r="U38">
        <v>0.3711680001552245</v>
      </c>
      <c r="V38">
        <v>0</v>
      </c>
      <c r="W38">
        <v>0.80921378437085878</v>
      </c>
      <c r="X38">
        <v>0.30163643419266295</v>
      </c>
      <c r="Y38">
        <v>0.21277990467134511</v>
      </c>
      <c r="Z38">
        <v>0.2913089143973136</v>
      </c>
      <c r="AA38">
        <v>0.79519912622854672</v>
      </c>
      <c r="CE38" t="s">
        <v>141</v>
      </c>
      <c r="CF38">
        <v>0</v>
      </c>
      <c r="CG38">
        <v>1.5090644499791034E-4</v>
      </c>
      <c r="CH38">
        <v>0.16462702346806599</v>
      </c>
      <c r="CI38">
        <v>0.38300490037410317</v>
      </c>
      <c r="CJ38">
        <v>0.20607371985039849</v>
      </c>
      <c r="CK38">
        <v>5.9559168096994623E-3</v>
      </c>
      <c r="CL38">
        <v>0</v>
      </c>
      <c r="CM38">
        <v>2.7578089651460237E-2</v>
      </c>
      <c r="CN38">
        <v>0.3146381253793335</v>
      </c>
      <c r="CO38">
        <v>0.46217330601066969</v>
      </c>
      <c r="CP38">
        <v>0.31162180688388463</v>
      </c>
      <c r="CQ38">
        <v>4.7609171727368435E-2</v>
      </c>
      <c r="CR38">
        <v>0</v>
      </c>
      <c r="CS38">
        <v>5.0718504628957085E-2</v>
      </c>
      <c r="CT38">
        <v>0.40812864460340492</v>
      </c>
      <c r="CU38">
        <v>0.56654157297623808</v>
      </c>
      <c r="CV38">
        <v>0.40793661545761173</v>
      </c>
      <c r="CW38">
        <v>8.7042528492944068E-2</v>
      </c>
      <c r="CX38">
        <v>0</v>
      </c>
      <c r="CY38">
        <v>8.3707430200349285E-3</v>
      </c>
      <c r="CZ38">
        <v>0.2250975415894752</v>
      </c>
      <c r="DA38">
        <v>0.39610341838288932</v>
      </c>
      <c r="DB38">
        <v>0.22609403945178919</v>
      </c>
      <c r="DC38">
        <v>1.1759821950153584E-2</v>
      </c>
      <c r="DE38" t="s">
        <v>141</v>
      </c>
      <c r="DF38" t="s">
        <v>111</v>
      </c>
      <c r="DG38" t="s">
        <v>112</v>
      </c>
      <c r="DH38">
        <v>0.47811489054798612</v>
      </c>
    </row>
    <row r="39" spans="2:112" x14ac:dyDescent="0.45">
      <c r="B39" t="s">
        <v>142</v>
      </c>
      <c r="C39" t="s">
        <v>107</v>
      </c>
      <c r="D39">
        <v>0</v>
      </c>
      <c r="E39">
        <v>0.99722222222222245</v>
      </c>
      <c r="F39">
        <v>0.37870736055771881</v>
      </c>
      <c r="G39">
        <v>0.20308282601799069</v>
      </c>
      <c r="H39">
        <v>0.28039349550589615</v>
      </c>
      <c r="I39">
        <v>0.8752381107576771</v>
      </c>
      <c r="J39">
        <v>0</v>
      </c>
      <c r="K39">
        <v>0.67216780659736264</v>
      </c>
      <c r="L39">
        <v>0.22916145930740076</v>
      </c>
      <c r="M39">
        <v>0.16171892532992033</v>
      </c>
      <c r="N39">
        <v>0.18665899684926157</v>
      </c>
      <c r="O39">
        <v>0.46550508363743742</v>
      </c>
      <c r="P39">
        <v>0.98004385392152027</v>
      </c>
      <c r="Q39">
        <v>0.57717767718178714</v>
      </c>
      <c r="R39">
        <v>0.14869413554050134</v>
      </c>
      <c r="S39">
        <v>9.4051132263106157E-2</v>
      </c>
      <c r="T39">
        <v>0.12879946613038207</v>
      </c>
      <c r="U39">
        <v>0.36297564096459517</v>
      </c>
      <c r="V39">
        <v>0</v>
      </c>
      <c r="W39">
        <v>0.82809917200052607</v>
      </c>
      <c r="X39">
        <v>0.28250046112535787</v>
      </c>
      <c r="Y39">
        <v>0.20594813063990111</v>
      </c>
      <c r="Z39">
        <v>0.28129962419291632</v>
      </c>
      <c r="AA39">
        <v>0.75125686679004944</v>
      </c>
      <c r="CE39" t="s">
        <v>142</v>
      </c>
      <c r="CF39">
        <v>0</v>
      </c>
      <c r="CG39">
        <v>1.1482199932563637E-6</v>
      </c>
      <c r="CH39">
        <v>0.16252038575821448</v>
      </c>
      <c r="CI39">
        <v>0.40077052512810807</v>
      </c>
      <c r="CJ39">
        <v>0.25763004158582964</v>
      </c>
      <c r="CK39">
        <v>1.0372565734179518E-2</v>
      </c>
      <c r="CL39">
        <v>0</v>
      </c>
      <c r="CM39">
        <v>2.3627177427042161E-2</v>
      </c>
      <c r="CN39">
        <v>0.30948143166095737</v>
      </c>
      <c r="CO39">
        <v>0.48982260038801861</v>
      </c>
      <c r="CP39">
        <v>0.3531297024892685</v>
      </c>
      <c r="CQ39">
        <v>6.2027274769722682E-2</v>
      </c>
      <c r="CR39">
        <v>5.9976313681637593E-7</v>
      </c>
      <c r="CS39">
        <v>4.351053559915629E-2</v>
      </c>
      <c r="CT39">
        <v>0.41539240616970102</v>
      </c>
      <c r="CU39">
        <v>0.59701177692254559</v>
      </c>
      <c r="CV39">
        <v>0.44808932736659401</v>
      </c>
      <c r="CW39">
        <v>0.10519262524770005</v>
      </c>
      <c r="CX39">
        <v>0</v>
      </c>
      <c r="CY39">
        <v>7.6328899764434056E-3</v>
      </c>
      <c r="CZ39">
        <v>0.23136250026454369</v>
      </c>
      <c r="DA39">
        <v>0.40716757238466178</v>
      </c>
      <c r="DB39">
        <v>0.24832648651396502</v>
      </c>
      <c r="DC39">
        <v>1.7120177794496923E-2</v>
      </c>
      <c r="DE39" t="s">
        <v>142</v>
      </c>
      <c r="DF39" t="s">
        <v>111</v>
      </c>
      <c r="DG39" t="s">
        <v>112</v>
      </c>
      <c r="DH39">
        <v>0.45178367520700979</v>
      </c>
    </row>
    <row r="40" spans="2:112" x14ac:dyDescent="0.45">
      <c r="B40" t="s">
        <v>143</v>
      </c>
      <c r="C40" t="s">
        <v>107</v>
      </c>
      <c r="D40">
        <v>0</v>
      </c>
      <c r="E40">
        <v>0</v>
      </c>
      <c r="F40">
        <v>0.4052475375410573</v>
      </c>
      <c r="G40">
        <v>0.24130017437981444</v>
      </c>
      <c r="H40">
        <v>0.32606264022618414</v>
      </c>
      <c r="I40">
        <v>0.89737958662814099</v>
      </c>
      <c r="J40">
        <v>0</v>
      </c>
      <c r="K40">
        <v>0.6572313095548028</v>
      </c>
      <c r="L40">
        <v>0.22651645833781728</v>
      </c>
      <c r="M40">
        <v>0.17988524640705222</v>
      </c>
      <c r="N40">
        <v>0.19174913564242677</v>
      </c>
      <c r="O40">
        <v>0.47053382136816524</v>
      </c>
      <c r="P40">
        <v>0.96095708611454611</v>
      </c>
      <c r="Q40">
        <v>0.56568046123321936</v>
      </c>
      <c r="R40">
        <v>0.16461371928029905</v>
      </c>
      <c r="S40">
        <v>0.11179483165530281</v>
      </c>
      <c r="T40">
        <v>0.13584978026198766</v>
      </c>
      <c r="U40">
        <v>0.35196056252141611</v>
      </c>
      <c r="V40">
        <v>0</v>
      </c>
      <c r="W40">
        <v>0.82448017675119323</v>
      </c>
      <c r="X40">
        <v>0.30361152055647084</v>
      </c>
      <c r="Y40">
        <v>0.22789884073325631</v>
      </c>
      <c r="Z40">
        <v>0.29761606224304937</v>
      </c>
      <c r="AA40">
        <v>0.76544344769089723</v>
      </c>
      <c r="CE40" t="s">
        <v>143</v>
      </c>
      <c r="CF40">
        <v>0</v>
      </c>
      <c r="CG40">
        <v>0</v>
      </c>
      <c r="CH40">
        <v>0.13940483747219254</v>
      </c>
      <c r="CI40">
        <v>0.33650003619819802</v>
      </c>
      <c r="CJ40">
        <v>0.20551816636043463</v>
      </c>
      <c r="CK40">
        <v>7.4219940320865464E-3</v>
      </c>
      <c r="CL40">
        <v>0</v>
      </c>
      <c r="CM40">
        <v>2.3656642225794049E-2</v>
      </c>
      <c r="CN40">
        <v>0.29578548692110651</v>
      </c>
      <c r="CO40">
        <v>0.45803954066571234</v>
      </c>
      <c r="CP40">
        <v>0.32625240810091555</v>
      </c>
      <c r="CQ40">
        <v>5.6673317728823287E-2</v>
      </c>
      <c r="CR40">
        <v>5.0284026903526768E-6</v>
      </c>
      <c r="CS40">
        <v>4.3860830206179466E-2</v>
      </c>
      <c r="CT40">
        <v>0.39312403542010516</v>
      </c>
      <c r="CU40">
        <v>0.56583988896077708</v>
      </c>
      <c r="CV40">
        <v>0.4226226398298859</v>
      </c>
      <c r="CW40">
        <v>9.935854605199454E-2</v>
      </c>
      <c r="CX40">
        <v>0</v>
      </c>
      <c r="CY40">
        <v>6.8193250321511864E-3</v>
      </c>
      <c r="CZ40">
        <v>0.21531474544024901</v>
      </c>
      <c r="DA40">
        <v>0.37723376726575125</v>
      </c>
      <c r="DB40">
        <v>0.2257688221405815</v>
      </c>
      <c r="DC40">
        <v>1.5367261388322546E-2</v>
      </c>
      <c r="DE40" t="s">
        <v>143</v>
      </c>
      <c r="DF40" t="s">
        <v>111</v>
      </c>
      <c r="DG40" t="s">
        <v>112</v>
      </c>
      <c r="DH40">
        <v>0.4999201079861797</v>
      </c>
    </row>
    <row r="41" spans="2:112" x14ac:dyDescent="0.45">
      <c r="B41" t="s">
        <v>144</v>
      </c>
      <c r="C41" t="s">
        <v>107</v>
      </c>
      <c r="D41">
        <v>0.25566186546186559</v>
      </c>
      <c r="E41">
        <v>0.28313782889450195</v>
      </c>
      <c r="F41">
        <v>0.30364947315744678</v>
      </c>
      <c r="G41">
        <v>0.32626024167522411</v>
      </c>
      <c r="H41">
        <v>0.31273436584588005</v>
      </c>
      <c r="I41">
        <v>0.28089655888487619</v>
      </c>
      <c r="J41">
        <v>0.29898283682455706</v>
      </c>
      <c r="K41">
        <v>0.29151048788533335</v>
      </c>
      <c r="L41">
        <v>0.32920674907573594</v>
      </c>
      <c r="M41">
        <v>0.33730068389846862</v>
      </c>
      <c r="N41">
        <v>0.29952073525626804</v>
      </c>
      <c r="O41">
        <v>0.27448747940798451</v>
      </c>
      <c r="P41">
        <v>0.38365789827269592</v>
      </c>
      <c r="Q41">
        <v>0.39829147018125011</v>
      </c>
      <c r="R41">
        <v>0.43738340420085259</v>
      </c>
      <c r="S41">
        <v>0.40949182960408326</v>
      </c>
      <c r="T41">
        <v>0.35115444882195773</v>
      </c>
      <c r="U41">
        <v>0.35536515691432763</v>
      </c>
      <c r="V41">
        <v>0.26464924296431674</v>
      </c>
      <c r="W41">
        <v>0.28780384934622794</v>
      </c>
      <c r="X41">
        <v>0.31157152579365616</v>
      </c>
      <c r="Y41">
        <v>0.3148335474884571</v>
      </c>
      <c r="Z41">
        <v>0.29955197541712408</v>
      </c>
      <c r="AA41">
        <v>0.27623152038928678</v>
      </c>
      <c r="CE41" t="s">
        <v>144</v>
      </c>
      <c r="CF41">
        <v>0.577643512147611</v>
      </c>
      <c r="CG41">
        <v>0.5443251939545487</v>
      </c>
      <c r="CH41">
        <v>0.52607465532546227</v>
      </c>
      <c r="CI41">
        <v>0.52260468082527156</v>
      </c>
      <c r="CJ41">
        <v>0.54150013632994243</v>
      </c>
      <c r="CK41">
        <v>0.56351234166119835</v>
      </c>
      <c r="CL41">
        <v>0.50006613909277986</v>
      </c>
      <c r="CM41">
        <v>0.51171823777802572</v>
      </c>
      <c r="CN41">
        <v>0.4820044055715646</v>
      </c>
      <c r="CO41">
        <v>0.47682084557597665</v>
      </c>
      <c r="CP41">
        <v>0.50667448785633762</v>
      </c>
      <c r="CQ41">
        <v>0.51792289621849008</v>
      </c>
      <c r="CR41">
        <v>0.3947043110945902</v>
      </c>
      <c r="CS41">
        <v>0.37456872755914622</v>
      </c>
      <c r="CT41">
        <v>0.34077926257908547</v>
      </c>
      <c r="CU41">
        <v>0.33934752432164239</v>
      </c>
      <c r="CV41">
        <v>0.38349803067452826</v>
      </c>
      <c r="CW41">
        <v>0.4152910609367087</v>
      </c>
      <c r="CX41">
        <v>0.5768278444886924</v>
      </c>
      <c r="CY41">
        <v>0.55702196666546255</v>
      </c>
      <c r="CZ41">
        <v>0.52236615800148167</v>
      </c>
      <c r="DA41">
        <v>0.50610285663868726</v>
      </c>
      <c r="DB41">
        <v>0.52411638085246148</v>
      </c>
      <c r="DC41">
        <v>0.55907767855562152</v>
      </c>
      <c r="DE41" t="s">
        <v>145</v>
      </c>
      <c r="DF41" t="s">
        <v>111</v>
      </c>
      <c r="DG41" t="s">
        <v>112</v>
      </c>
      <c r="DH41">
        <v>0.19190967000184417</v>
      </c>
    </row>
    <row r="42" spans="2:112" x14ac:dyDescent="0.45">
      <c r="B42" t="s">
        <v>146</v>
      </c>
      <c r="C42" t="s">
        <v>107</v>
      </c>
      <c r="D42">
        <v>0.48637256241823879</v>
      </c>
      <c r="E42">
        <v>0.46131914500367271</v>
      </c>
      <c r="F42">
        <v>0.45815397454991608</v>
      </c>
      <c r="G42">
        <v>0.49284629114000933</v>
      </c>
      <c r="H42">
        <v>0.51307158453657542</v>
      </c>
      <c r="I42">
        <v>0.50760617338839686</v>
      </c>
      <c r="J42">
        <v>0.41010749830729853</v>
      </c>
      <c r="K42">
        <v>0.40729720956256948</v>
      </c>
      <c r="L42">
        <v>0.41885239143691416</v>
      </c>
      <c r="M42">
        <v>0.41699821197178527</v>
      </c>
      <c r="N42">
        <v>0.41492727952154435</v>
      </c>
      <c r="O42">
        <v>0.42066081478289469</v>
      </c>
      <c r="P42">
        <v>0.48874611363837567</v>
      </c>
      <c r="Q42">
        <v>0.49689909393071879</v>
      </c>
      <c r="R42">
        <v>0.50535773916847815</v>
      </c>
      <c r="S42">
        <v>0.45576550826388917</v>
      </c>
      <c r="T42">
        <v>0.43745683340777669</v>
      </c>
      <c r="U42">
        <v>0.43366167759535079</v>
      </c>
      <c r="V42">
        <v>0.45529291798826416</v>
      </c>
      <c r="W42">
        <v>0.45880798149496071</v>
      </c>
      <c r="X42">
        <v>0.47688450436226199</v>
      </c>
      <c r="Y42">
        <v>0.47472468412049945</v>
      </c>
      <c r="Z42">
        <v>0.44714160942721376</v>
      </c>
      <c r="AA42">
        <v>0.44567470498865941</v>
      </c>
      <c r="CE42" t="s">
        <v>146</v>
      </c>
      <c r="CF42">
        <v>0.20857500956903791</v>
      </c>
      <c r="CG42">
        <v>0.21862002572444841</v>
      </c>
      <c r="CH42">
        <v>0.21158409268077272</v>
      </c>
      <c r="CI42">
        <v>0.20523777653092667</v>
      </c>
      <c r="CJ42">
        <v>0.20225062460159668</v>
      </c>
      <c r="CK42">
        <v>0.21273084888930313</v>
      </c>
      <c r="CL42">
        <v>0.29636225713245057</v>
      </c>
      <c r="CM42">
        <v>0.31791463507210255</v>
      </c>
      <c r="CN42">
        <v>0.31295201290462143</v>
      </c>
      <c r="CO42">
        <v>0.30020828098416408</v>
      </c>
      <c r="CP42">
        <v>0.29169397617001769</v>
      </c>
      <c r="CQ42">
        <v>0.29548398952883936</v>
      </c>
      <c r="CR42">
        <v>9.188550417698671E-2</v>
      </c>
      <c r="CS42">
        <v>7.6339831825365745E-2</v>
      </c>
      <c r="CT42">
        <v>6.1965741259134427E-2</v>
      </c>
      <c r="CU42">
        <v>8.7698481716698543E-2</v>
      </c>
      <c r="CV42">
        <v>0.11893223819746958</v>
      </c>
      <c r="CW42">
        <v>0.10933288538546029</v>
      </c>
      <c r="CX42">
        <v>0.30214948770251926</v>
      </c>
      <c r="CY42">
        <v>0.27563472829312369</v>
      </c>
      <c r="CZ42">
        <v>0.26968281083808698</v>
      </c>
      <c r="DA42">
        <v>0.27433711148059087</v>
      </c>
      <c r="DB42">
        <v>0.29640098036162216</v>
      </c>
      <c r="DC42">
        <v>0.30326267595247647</v>
      </c>
      <c r="DE42" t="s">
        <v>147</v>
      </c>
      <c r="DF42" t="s">
        <v>111</v>
      </c>
      <c r="DG42" t="s">
        <v>112</v>
      </c>
      <c r="DH42">
        <v>0.21172862332244888</v>
      </c>
    </row>
    <row r="43" spans="2:112" x14ac:dyDescent="0.45">
      <c r="B43" t="s">
        <v>148</v>
      </c>
      <c r="C43" t="s">
        <v>107</v>
      </c>
      <c r="D43">
        <v>0.4711154380452186</v>
      </c>
      <c r="E43">
        <v>0.45673107064308655</v>
      </c>
      <c r="F43">
        <v>0.47743439893653372</v>
      </c>
      <c r="G43">
        <v>0.47810987983128034</v>
      </c>
      <c r="H43">
        <v>0.46533098823443336</v>
      </c>
      <c r="I43">
        <v>0.46245530720446321</v>
      </c>
      <c r="J43">
        <v>0.41216288673911627</v>
      </c>
      <c r="K43">
        <v>0.40769511405468872</v>
      </c>
      <c r="L43">
        <v>0.42192262062801494</v>
      </c>
      <c r="M43">
        <v>0.40989963244324845</v>
      </c>
      <c r="N43">
        <v>0.38797424043921624</v>
      </c>
      <c r="O43">
        <v>0.40015240149689052</v>
      </c>
      <c r="P43">
        <v>0.48194595360269998</v>
      </c>
      <c r="Q43">
        <v>0.50599444223215273</v>
      </c>
      <c r="R43">
        <v>0.53568121776852184</v>
      </c>
      <c r="S43">
        <v>0.51139839712461699</v>
      </c>
      <c r="T43">
        <v>0.46023703275695993</v>
      </c>
      <c r="U43">
        <v>0.445354295117105</v>
      </c>
      <c r="V43">
        <v>0.43177501547964908</v>
      </c>
      <c r="W43">
        <v>0.42518467168002611</v>
      </c>
      <c r="X43">
        <v>0.43806206909892748</v>
      </c>
      <c r="Y43">
        <v>0.43900523827737603</v>
      </c>
      <c r="Z43">
        <v>0.42837478584820865</v>
      </c>
      <c r="AA43">
        <v>0.43311113803952556</v>
      </c>
      <c r="CE43" t="s">
        <v>148</v>
      </c>
      <c r="CF43">
        <v>0.25979614334366874</v>
      </c>
      <c r="CG43">
        <v>0.27555559195828239</v>
      </c>
      <c r="CH43">
        <v>0.2680533490769515</v>
      </c>
      <c r="CI43">
        <v>0.27079333465253963</v>
      </c>
      <c r="CJ43">
        <v>0.27829683467904925</v>
      </c>
      <c r="CK43">
        <v>0.27306411088448657</v>
      </c>
      <c r="CL43">
        <v>0.32721796122156127</v>
      </c>
      <c r="CM43">
        <v>0.34486555086337961</v>
      </c>
      <c r="CN43">
        <v>0.32897028858698935</v>
      </c>
      <c r="CO43">
        <v>0.33046490746625551</v>
      </c>
      <c r="CP43">
        <v>0.35129092814375029</v>
      </c>
      <c r="CQ43">
        <v>0.35366350731462892</v>
      </c>
      <c r="CR43">
        <v>0.11720532237348767</v>
      </c>
      <c r="CS43">
        <v>0.11392291262104125</v>
      </c>
      <c r="CT43">
        <v>9.2563355559046337E-2</v>
      </c>
      <c r="CU43">
        <v>0.10832849551884723</v>
      </c>
      <c r="CV43">
        <v>0.13395921025117691</v>
      </c>
      <c r="CW43">
        <v>0.13672503830469898</v>
      </c>
      <c r="CX43">
        <v>0.34020157780379007</v>
      </c>
      <c r="CY43">
        <v>0.31388938798260718</v>
      </c>
      <c r="CZ43">
        <v>0.29147806829042489</v>
      </c>
      <c r="DA43">
        <v>0.28760247159632574</v>
      </c>
      <c r="DB43">
        <v>0.32431575555504405</v>
      </c>
      <c r="DC43">
        <v>0.34251951687356047</v>
      </c>
      <c r="DE43" t="s">
        <v>149</v>
      </c>
      <c r="DF43" t="s">
        <v>111</v>
      </c>
      <c r="DG43" t="s">
        <v>112</v>
      </c>
      <c r="DH43">
        <v>0.27211875963298954</v>
      </c>
    </row>
    <row r="44" spans="2:112" x14ac:dyDescent="0.45">
      <c r="B44" t="s">
        <v>150</v>
      </c>
      <c r="C44" t="s">
        <v>107</v>
      </c>
      <c r="D44">
        <v>0.52383500786449366</v>
      </c>
      <c r="E44">
        <v>0.50696705193994296</v>
      </c>
      <c r="F44">
        <v>0.51139426012492351</v>
      </c>
      <c r="G44">
        <v>0.52836826159054362</v>
      </c>
      <c r="H44">
        <v>0.50833234951859874</v>
      </c>
      <c r="I44">
        <v>0.52590524054641974</v>
      </c>
      <c r="J44">
        <v>0.50226072445414394</v>
      </c>
      <c r="K44">
        <v>0.47438198322727876</v>
      </c>
      <c r="L44">
        <v>0.48513945964811472</v>
      </c>
      <c r="M44">
        <v>0.49907082883386178</v>
      </c>
      <c r="N44">
        <v>0.51044557358705711</v>
      </c>
      <c r="O44">
        <v>0.51830833510046981</v>
      </c>
      <c r="P44">
        <v>0.54814022403329543</v>
      </c>
      <c r="Q44">
        <v>0.54784251071768364</v>
      </c>
      <c r="R44">
        <v>0.55630963793385546</v>
      </c>
      <c r="S44">
        <v>0.56549528541503757</v>
      </c>
      <c r="T44">
        <v>0.5178052471149367</v>
      </c>
      <c r="U44">
        <v>0.49089369903930774</v>
      </c>
      <c r="V44">
        <v>0.45454929040066883</v>
      </c>
      <c r="W44">
        <v>0.44300930216144896</v>
      </c>
      <c r="X44">
        <v>0.45210352415215715</v>
      </c>
      <c r="Y44">
        <v>0.45812053434682287</v>
      </c>
      <c r="Z44">
        <v>0.44729084075910502</v>
      </c>
      <c r="AA44">
        <v>0.4388851783497989</v>
      </c>
      <c r="CE44" t="s">
        <v>150</v>
      </c>
      <c r="CF44">
        <v>0.2548670976476084</v>
      </c>
      <c r="CG44">
        <v>0.28500388332112281</v>
      </c>
      <c r="CH44">
        <v>0.27985974141025777</v>
      </c>
      <c r="CI44">
        <v>0.29233666649864365</v>
      </c>
      <c r="CJ44">
        <v>0.29729980953054985</v>
      </c>
      <c r="CK44">
        <v>0.27999902999037185</v>
      </c>
      <c r="CL44">
        <v>0.32699440737222019</v>
      </c>
      <c r="CM44">
        <v>0.31182006203427748</v>
      </c>
      <c r="CN44">
        <v>0.30797247906414577</v>
      </c>
      <c r="CO44">
        <v>0.32882730661346443</v>
      </c>
      <c r="CP44">
        <v>0.32417089814671141</v>
      </c>
      <c r="CQ44">
        <v>0.32140044140312279</v>
      </c>
      <c r="CR44">
        <v>0.10970071272680323</v>
      </c>
      <c r="CS44">
        <v>0.1174674428265185</v>
      </c>
      <c r="CT44">
        <v>0.11825768973263305</v>
      </c>
      <c r="CU44">
        <v>0.11223882190466426</v>
      </c>
      <c r="CV44">
        <v>9.7338201873345243E-2</v>
      </c>
      <c r="CW44">
        <v>0.10443202251833324</v>
      </c>
      <c r="CX44">
        <v>0.33307317098309058</v>
      </c>
      <c r="CY44">
        <v>0.3137923528310449</v>
      </c>
      <c r="CZ44">
        <v>0.31307203738801798</v>
      </c>
      <c r="DA44">
        <v>0.34362829626399694</v>
      </c>
      <c r="DB44">
        <v>0.37062327486664165</v>
      </c>
      <c r="DC44">
        <v>0.37265688305973987</v>
      </c>
      <c r="DE44" t="s">
        <v>151</v>
      </c>
      <c r="DF44" t="s">
        <v>111</v>
      </c>
      <c r="DG44" t="s">
        <v>112</v>
      </c>
      <c r="DH44">
        <v>0.52161331584443593</v>
      </c>
    </row>
    <row r="45" spans="2:112" x14ac:dyDescent="0.45">
      <c r="B45" t="s">
        <v>152</v>
      </c>
      <c r="C45" t="s">
        <v>107</v>
      </c>
      <c r="D45">
        <v>0.35447703088117416</v>
      </c>
      <c r="E45">
        <v>0.37241864314593476</v>
      </c>
      <c r="F45">
        <v>0.39451271145604672</v>
      </c>
      <c r="G45">
        <v>0.3982532466894716</v>
      </c>
      <c r="H45">
        <v>0.36811291698622872</v>
      </c>
      <c r="I45">
        <v>0.35622457461123175</v>
      </c>
      <c r="J45">
        <v>0.36153025425145446</v>
      </c>
      <c r="K45">
        <v>0.38756338232042964</v>
      </c>
      <c r="L45">
        <v>0.36035933787191632</v>
      </c>
      <c r="M45">
        <v>0.31565660315868921</v>
      </c>
      <c r="N45">
        <v>0.28769644974982811</v>
      </c>
      <c r="O45">
        <v>0.29026132282154898</v>
      </c>
      <c r="P45">
        <v>0.50281233906295264</v>
      </c>
      <c r="Q45">
        <v>0.51772443195126594</v>
      </c>
      <c r="R45">
        <v>0.49686642074657933</v>
      </c>
      <c r="S45">
        <v>0.45829008905872792</v>
      </c>
      <c r="T45">
        <v>0.46328103527031722</v>
      </c>
      <c r="U45">
        <v>0.49509937205593957</v>
      </c>
      <c r="V45">
        <v>0.38401728721268052</v>
      </c>
      <c r="W45">
        <v>0.39453909599530101</v>
      </c>
      <c r="X45">
        <v>0.41064055694571117</v>
      </c>
      <c r="Y45">
        <v>0.40668378399732441</v>
      </c>
      <c r="Z45">
        <v>0.37601674977299676</v>
      </c>
      <c r="AA45">
        <v>0.37597735605581872</v>
      </c>
      <c r="CE45" t="s">
        <v>152</v>
      </c>
      <c r="CF45">
        <v>0.40204918840390302</v>
      </c>
      <c r="CG45">
        <v>0.40458442333352812</v>
      </c>
      <c r="CH45">
        <v>0.38141116387463803</v>
      </c>
      <c r="CI45">
        <v>0.39079008869661458</v>
      </c>
      <c r="CJ45">
        <v>0.41720978677576881</v>
      </c>
      <c r="CK45">
        <v>0.4200317746134436</v>
      </c>
      <c r="CL45">
        <v>0.42073501357934168</v>
      </c>
      <c r="CM45">
        <v>0.40598669857579817</v>
      </c>
      <c r="CN45">
        <v>0.42609454924612428</v>
      </c>
      <c r="CO45">
        <v>0.48219742135685578</v>
      </c>
      <c r="CP45">
        <v>0.52423453584949842</v>
      </c>
      <c r="CQ45">
        <v>0.5072331684585073</v>
      </c>
      <c r="CR45">
        <v>0.22726059042289307</v>
      </c>
      <c r="CS45">
        <v>0.17898015290688324</v>
      </c>
      <c r="CT45">
        <v>0.18160961695644462</v>
      </c>
      <c r="CU45">
        <v>0.23000403442767334</v>
      </c>
      <c r="CV45">
        <v>0.26091372091569359</v>
      </c>
      <c r="CW45">
        <v>0.26124206220769236</v>
      </c>
      <c r="CX45">
        <v>0.43063367020172771</v>
      </c>
      <c r="CY45">
        <v>0.40444591983591149</v>
      </c>
      <c r="CZ45">
        <v>0.38602999735127125</v>
      </c>
      <c r="DA45">
        <v>0.40300588021906125</v>
      </c>
      <c r="DB45">
        <v>0.43295977887685433</v>
      </c>
      <c r="DC45">
        <v>0.43987757242748915</v>
      </c>
      <c r="DE45" t="s">
        <v>153</v>
      </c>
      <c r="DF45" t="s">
        <v>111</v>
      </c>
      <c r="DG45" t="s">
        <v>112</v>
      </c>
      <c r="DH45">
        <v>0.39424634713320239</v>
      </c>
    </row>
    <row r="46" spans="2:112" x14ac:dyDescent="0.45">
      <c r="B46" t="s">
        <v>154</v>
      </c>
      <c r="C46" t="s">
        <v>107</v>
      </c>
      <c r="D46">
        <v>0.46587193577033237</v>
      </c>
      <c r="E46">
        <v>0.5098314751103592</v>
      </c>
      <c r="F46">
        <v>0.55503962631063863</v>
      </c>
      <c r="G46">
        <v>0.53451915039265807</v>
      </c>
      <c r="H46">
        <v>0.48585662803422369</v>
      </c>
      <c r="I46">
        <v>0.47446833150862344</v>
      </c>
      <c r="J46">
        <v>0.52216226746521555</v>
      </c>
      <c r="K46">
        <v>0.51755846106110259</v>
      </c>
      <c r="L46">
        <v>0.49417433247072617</v>
      </c>
      <c r="M46">
        <v>0.41774014227859491</v>
      </c>
      <c r="N46">
        <v>0.40065438123215535</v>
      </c>
      <c r="O46">
        <v>0.43140351200882449</v>
      </c>
      <c r="P46">
        <v>0.57860954077833116</v>
      </c>
      <c r="Q46">
        <v>0.61231343987198361</v>
      </c>
      <c r="R46">
        <v>0.56988603923856751</v>
      </c>
      <c r="S46">
        <v>0.47401935061661876</v>
      </c>
      <c r="T46">
        <v>0.42401680845537321</v>
      </c>
      <c r="U46">
        <v>0.47849725748112931</v>
      </c>
      <c r="V46">
        <v>0.49440988427264393</v>
      </c>
      <c r="W46">
        <v>0.49622117788245601</v>
      </c>
      <c r="X46">
        <v>0.51333275683607915</v>
      </c>
      <c r="Y46">
        <v>0.49283372569685152</v>
      </c>
      <c r="Z46">
        <v>0.431560840573536</v>
      </c>
      <c r="AA46">
        <v>0.4573115607471504</v>
      </c>
      <c r="CE46" t="s">
        <v>154</v>
      </c>
      <c r="CF46">
        <v>0.25146586787054226</v>
      </c>
      <c r="CG46">
        <v>0.2498439566419822</v>
      </c>
      <c r="CH46">
        <v>0.22333800978311855</v>
      </c>
      <c r="CI46">
        <v>0.2536602873262449</v>
      </c>
      <c r="CJ46">
        <v>0.27949007929117348</v>
      </c>
      <c r="CK46">
        <v>0.27476386705034034</v>
      </c>
      <c r="CL46">
        <v>0.23867114203273124</v>
      </c>
      <c r="CM46">
        <v>0.22378779427874732</v>
      </c>
      <c r="CN46">
        <v>0.26643328945763223</v>
      </c>
      <c r="CO46">
        <v>0.32839296625900094</v>
      </c>
      <c r="CP46">
        <v>0.3356106250287047</v>
      </c>
      <c r="CQ46">
        <v>0.29802744186894997</v>
      </c>
      <c r="CR46">
        <v>0.12881416735415216</v>
      </c>
      <c r="CS46">
        <v>8.6021156873397078E-2</v>
      </c>
      <c r="CT46">
        <v>0.11881271600925727</v>
      </c>
      <c r="CU46">
        <v>0.1705264103214216</v>
      </c>
      <c r="CV46">
        <v>0.20293330933233938</v>
      </c>
      <c r="CW46">
        <v>0.17838264003301552</v>
      </c>
      <c r="CX46">
        <v>0.22526865411446823</v>
      </c>
      <c r="CY46">
        <v>0.2135536046864997</v>
      </c>
      <c r="CZ46">
        <v>0.21198884009011773</v>
      </c>
      <c r="DA46">
        <v>0.23885464095749342</v>
      </c>
      <c r="DB46">
        <v>0.25096712582881114</v>
      </c>
      <c r="DC46">
        <v>0.24650773498649289</v>
      </c>
      <c r="DE46" t="s">
        <v>155</v>
      </c>
      <c r="DF46" t="s">
        <v>111</v>
      </c>
      <c r="DG46" t="s">
        <v>112</v>
      </c>
      <c r="DH46">
        <v>0.33984221472964149</v>
      </c>
    </row>
    <row r="47" spans="2:112" x14ac:dyDescent="0.45">
      <c r="B47" t="s">
        <v>156</v>
      </c>
      <c r="C47" t="s">
        <v>107</v>
      </c>
      <c r="D47">
        <v>0.39909707007211487</v>
      </c>
      <c r="E47">
        <v>0.41313625591785941</v>
      </c>
      <c r="F47">
        <v>0.4313891416035448</v>
      </c>
      <c r="G47">
        <v>0.43332131652712397</v>
      </c>
      <c r="H47">
        <v>0.43241074624553333</v>
      </c>
      <c r="I47">
        <v>0.41219898062171345</v>
      </c>
      <c r="J47">
        <v>0.32181532369371268</v>
      </c>
      <c r="K47">
        <v>0.3275669404924067</v>
      </c>
      <c r="L47">
        <v>0.32977328817628609</v>
      </c>
      <c r="M47">
        <v>0.3110828684438946</v>
      </c>
      <c r="N47">
        <v>0.31403856571680533</v>
      </c>
      <c r="O47">
        <v>0.31801414785784399</v>
      </c>
      <c r="P47">
        <v>0.4442630469877652</v>
      </c>
      <c r="Q47">
        <v>0.47099821793032526</v>
      </c>
      <c r="R47">
        <v>0.49084488035970547</v>
      </c>
      <c r="S47">
        <v>0.45795122829359897</v>
      </c>
      <c r="T47">
        <v>0.43760685152406087</v>
      </c>
      <c r="U47">
        <v>0.43007697910916254</v>
      </c>
      <c r="V47">
        <v>0.38011860310207018</v>
      </c>
      <c r="W47">
        <v>0.40704812904226878</v>
      </c>
      <c r="X47">
        <v>0.4238520246278813</v>
      </c>
      <c r="Y47">
        <v>0.40704526058035856</v>
      </c>
      <c r="Z47">
        <v>0.38443877033423923</v>
      </c>
      <c r="AA47">
        <v>0.38150074642938736</v>
      </c>
      <c r="CE47" t="s">
        <v>156</v>
      </c>
      <c r="CF47">
        <v>0.29498446457844207</v>
      </c>
      <c r="CG47">
        <v>0.29193892375327685</v>
      </c>
      <c r="CH47">
        <v>0.28934463770603219</v>
      </c>
      <c r="CI47">
        <v>0.3014386348070679</v>
      </c>
      <c r="CJ47">
        <v>0.31058397263345572</v>
      </c>
      <c r="CK47">
        <v>0.31037580235120688</v>
      </c>
      <c r="CL47">
        <v>0.34458068416623866</v>
      </c>
      <c r="CM47">
        <v>0.33266330676031614</v>
      </c>
      <c r="CN47">
        <v>0.3441008213936792</v>
      </c>
      <c r="CO47">
        <v>0.37810332671549235</v>
      </c>
      <c r="CP47">
        <v>0.38995188242856937</v>
      </c>
      <c r="CQ47">
        <v>0.36697941051868127</v>
      </c>
      <c r="CR47">
        <v>0.13209592787322125</v>
      </c>
      <c r="CS47">
        <v>0.10842441465182721</v>
      </c>
      <c r="CT47">
        <v>0.10897252615327833</v>
      </c>
      <c r="CU47">
        <v>0.13986930091503136</v>
      </c>
      <c r="CV47">
        <v>0.16126018705463249</v>
      </c>
      <c r="CW47">
        <v>0.15286426970260064</v>
      </c>
      <c r="CX47">
        <v>0.30064835451801492</v>
      </c>
      <c r="CY47">
        <v>0.28758097312643821</v>
      </c>
      <c r="CZ47">
        <v>0.29586691800926906</v>
      </c>
      <c r="DA47">
        <v>0.31861426020946942</v>
      </c>
      <c r="DB47">
        <v>0.32649665667289673</v>
      </c>
      <c r="DC47">
        <v>0.31683007951401909</v>
      </c>
      <c r="DE47" t="s">
        <v>157</v>
      </c>
      <c r="DF47" t="s">
        <v>111</v>
      </c>
      <c r="DG47" t="s">
        <v>112</v>
      </c>
      <c r="DH47">
        <v>0.34125878115014896</v>
      </c>
    </row>
    <row r="48" spans="2:112" x14ac:dyDescent="0.45">
      <c r="B48" t="s">
        <v>158</v>
      </c>
      <c r="C48" t="s">
        <v>107</v>
      </c>
      <c r="D48">
        <v>0.45749243199206219</v>
      </c>
      <c r="E48">
        <v>0.47407985308593403</v>
      </c>
      <c r="F48">
        <v>0.47278964775106047</v>
      </c>
      <c r="G48">
        <v>0.45641051658177967</v>
      </c>
      <c r="H48">
        <v>0.4451736355877956</v>
      </c>
      <c r="I48">
        <v>0.45521554714370577</v>
      </c>
      <c r="J48">
        <v>0.40210600427466764</v>
      </c>
      <c r="K48">
        <v>0.429536372494009</v>
      </c>
      <c r="L48">
        <v>0.42564274004719505</v>
      </c>
      <c r="M48">
        <v>0.39788394492894319</v>
      </c>
      <c r="N48">
        <v>0.39592288758031957</v>
      </c>
      <c r="O48">
        <v>0.39027530235803759</v>
      </c>
      <c r="P48">
        <v>0.53599666320490613</v>
      </c>
      <c r="Q48">
        <v>0.52529521572426474</v>
      </c>
      <c r="R48">
        <v>0.47627129842961591</v>
      </c>
      <c r="S48">
        <v>0.42552636665840987</v>
      </c>
      <c r="T48">
        <v>0.43712855577579685</v>
      </c>
      <c r="U48">
        <v>0.48134310926681856</v>
      </c>
      <c r="V48">
        <v>0.42546990626052511</v>
      </c>
      <c r="W48">
        <v>0.44425445149368209</v>
      </c>
      <c r="X48">
        <v>0.44956567690832888</v>
      </c>
      <c r="Y48">
        <v>0.43743892344387481</v>
      </c>
      <c r="Z48">
        <v>0.43936757266799009</v>
      </c>
      <c r="AA48">
        <v>0.4293708466024016</v>
      </c>
      <c r="CE48" t="s">
        <v>158</v>
      </c>
      <c r="CF48">
        <v>0.27153356170472559</v>
      </c>
      <c r="CG48">
        <v>0.26114728547496874</v>
      </c>
      <c r="CH48">
        <v>0.27117566551099082</v>
      </c>
      <c r="CI48">
        <v>0.29540724929301415</v>
      </c>
      <c r="CJ48">
        <v>0.31311309670046383</v>
      </c>
      <c r="CK48">
        <v>0.28732411230922916</v>
      </c>
      <c r="CL48">
        <v>0.30521270761465014</v>
      </c>
      <c r="CM48">
        <v>0.30367934374795447</v>
      </c>
      <c r="CN48">
        <v>0.30007679501052381</v>
      </c>
      <c r="CO48">
        <v>0.30969449516176584</v>
      </c>
      <c r="CP48">
        <v>0.31612845936130424</v>
      </c>
      <c r="CQ48">
        <v>0.3078585562901065</v>
      </c>
      <c r="CR48">
        <v>0.10133714458361678</v>
      </c>
      <c r="CS48">
        <v>9.3436181944169847E-2</v>
      </c>
      <c r="CT48">
        <v>0.11890782325855875</v>
      </c>
      <c r="CU48">
        <v>0.13781747728437727</v>
      </c>
      <c r="CV48">
        <v>0.12128903090268832</v>
      </c>
      <c r="CW48">
        <v>0.10801791297643026</v>
      </c>
      <c r="CX48">
        <v>0.28539789889623784</v>
      </c>
      <c r="CY48">
        <v>0.2636374902411282</v>
      </c>
      <c r="CZ48">
        <v>0.2718417411328945</v>
      </c>
      <c r="DA48">
        <v>0.27702654453144571</v>
      </c>
      <c r="DB48">
        <v>0.28780628149116227</v>
      </c>
      <c r="DC48">
        <v>0.29865492858212689</v>
      </c>
      <c r="DE48" t="s">
        <v>159</v>
      </c>
      <c r="DF48" t="s">
        <v>111</v>
      </c>
      <c r="DG48" t="s">
        <v>112</v>
      </c>
      <c r="DH48">
        <v>0.40381757282976033</v>
      </c>
    </row>
    <row r="49" spans="2:112" x14ac:dyDescent="0.45">
      <c r="B49" t="s">
        <v>160</v>
      </c>
      <c r="C49" t="s">
        <v>107</v>
      </c>
      <c r="D49">
        <v>0.31805189961701968</v>
      </c>
      <c r="E49">
        <v>0.3270062912865469</v>
      </c>
      <c r="F49">
        <v>0.35094509500235166</v>
      </c>
      <c r="G49">
        <v>0.37915204819336085</v>
      </c>
      <c r="H49">
        <v>0.34320540321591209</v>
      </c>
      <c r="I49">
        <v>0.30141893040665868</v>
      </c>
      <c r="J49">
        <v>0.32332357516293447</v>
      </c>
      <c r="K49">
        <v>0.32353459929982803</v>
      </c>
      <c r="L49">
        <v>0.34720009139453961</v>
      </c>
      <c r="M49">
        <v>0.36063414090393286</v>
      </c>
      <c r="N49">
        <v>0.318726470248264</v>
      </c>
      <c r="O49">
        <v>0.31188193155234895</v>
      </c>
      <c r="P49">
        <v>0.31518017653922542</v>
      </c>
      <c r="Q49">
        <v>0.37769954105977999</v>
      </c>
      <c r="R49">
        <v>0.45428744712185948</v>
      </c>
      <c r="S49">
        <v>0.37180040027156819</v>
      </c>
      <c r="T49">
        <v>0.26152673107599289</v>
      </c>
      <c r="U49">
        <v>0.25790759671182861</v>
      </c>
      <c r="V49">
        <v>0.32986993669030318</v>
      </c>
      <c r="W49">
        <v>0.33794085762704529</v>
      </c>
      <c r="X49">
        <v>0.36055568864465992</v>
      </c>
      <c r="Y49">
        <v>0.36844087206504794</v>
      </c>
      <c r="Z49">
        <v>0.35723977682558405</v>
      </c>
      <c r="AA49">
        <v>0.35035163284612847</v>
      </c>
      <c r="CE49" t="s">
        <v>160</v>
      </c>
      <c r="CF49">
        <v>0.48208169424594005</v>
      </c>
      <c r="CG49">
        <v>0.47080943693420224</v>
      </c>
      <c r="CH49">
        <v>0.4328840384714136</v>
      </c>
      <c r="CI49">
        <v>0.41073674852783104</v>
      </c>
      <c r="CJ49">
        <v>0.416059037766007</v>
      </c>
      <c r="CK49">
        <v>0.45042146350740331</v>
      </c>
      <c r="CL49">
        <v>0.38135548840139111</v>
      </c>
      <c r="CM49">
        <v>0.3970791572273315</v>
      </c>
      <c r="CN49">
        <v>0.36516204870430746</v>
      </c>
      <c r="CO49">
        <v>0.3676804948972161</v>
      </c>
      <c r="CP49">
        <v>0.40561349799329205</v>
      </c>
      <c r="CQ49">
        <v>0.40546974993145274</v>
      </c>
      <c r="CR49">
        <v>0.2355351799477047</v>
      </c>
      <c r="CS49">
        <v>0.17120510981292483</v>
      </c>
      <c r="CT49">
        <v>0.15137873208388603</v>
      </c>
      <c r="CU49">
        <v>0.19471860757988421</v>
      </c>
      <c r="CV49">
        <v>0.30814277401726048</v>
      </c>
      <c r="CW49">
        <v>0.33198415872859427</v>
      </c>
      <c r="CX49">
        <v>0.40189365332467647</v>
      </c>
      <c r="CY49">
        <v>0.39598639280282211</v>
      </c>
      <c r="CZ49">
        <v>0.36349079502107379</v>
      </c>
      <c r="DA49">
        <v>0.36719192029348274</v>
      </c>
      <c r="DB49">
        <v>0.40700460897465512</v>
      </c>
      <c r="DC49">
        <v>0.42686301485262734</v>
      </c>
      <c r="DE49" t="s">
        <v>161</v>
      </c>
      <c r="DF49" t="s">
        <v>111</v>
      </c>
      <c r="DG49" t="s">
        <v>112</v>
      </c>
      <c r="DH49">
        <v>0.39029324670982618</v>
      </c>
    </row>
    <row r="50" spans="2:112" x14ac:dyDescent="0.45">
      <c r="B50" t="s">
        <v>162</v>
      </c>
      <c r="C50" t="s">
        <v>107</v>
      </c>
      <c r="D50">
        <v>0.42212816033906497</v>
      </c>
      <c r="E50">
        <v>0.43608069483280837</v>
      </c>
      <c r="F50">
        <v>0.45288693733918212</v>
      </c>
      <c r="G50">
        <v>0.47725894059671409</v>
      </c>
      <c r="H50">
        <v>0.46495997901198954</v>
      </c>
      <c r="I50">
        <v>0.43524551111185839</v>
      </c>
      <c r="J50">
        <v>0.44031587193680982</v>
      </c>
      <c r="K50">
        <v>0.44131434133187114</v>
      </c>
      <c r="L50">
        <v>0.442231773975993</v>
      </c>
      <c r="M50">
        <v>0.42918007148672921</v>
      </c>
      <c r="N50">
        <v>0.4030481194933796</v>
      </c>
      <c r="O50">
        <v>0.4274816309961188</v>
      </c>
      <c r="P50">
        <v>0.44259174632571313</v>
      </c>
      <c r="Q50">
        <v>0.54752090595610026</v>
      </c>
      <c r="R50">
        <v>0.56128382161321189</v>
      </c>
      <c r="S50">
        <v>0.41052110330317793</v>
      </c>
      <c r="T50">
        <v>0.29641990816432756</v>
      </c>
      <c r="U50">
        <v>0.35901636440894374</v>
      </c>
      <c r="V50">
        <v>0.46050080883574457</v>
      </c>
      <c r="W50">
        <v>0.44585001743155206</v>
      </c>
      <c r="X50">
        <v>0.49445080507719275</v>
      </c>
      <c r="Y50">
        <v>0.48600228860458772</v>
      </c>
      <c r="Z50">
        <v>0.45113506019128075</v>
      </c>
      <c r="AA50">
        <v>0.46363842576080383</v>
      </c>
      <c r="CE50" t="s">
        <v>162</v>
      </c>
      <c r="CF50">
        <v>0.34585864460322124</v>
      </c>
      <c r="CG50">
        <v>0.3400705381442094</v>
      </c>
      <c r="CH50">
        <v>0.31376315869856625</v>
      </c>
      <c r="CI50">
        <v>0.31297348416151688</v>
      </c>
      <c r="CJ50">
        <v>0.31085074022800352</v>
      </c>
      <c r="CK50">
        <v>0.29684178827684027</v>
      </c>
      <c r="CL50">
        <v>0.23909419433671839</v>
      </c>
      <c r="CM50">
        <v>0.27781293599369034</v>
      </c>
      <c r="CN50">
        <v>0.26087491147631808</v>
      </c>
      <c r="CO50">
        <v>0.27542078008865128</v>
      </c>
      <c r="CP50">
        <v>0.28377743374363967</v>
      </c>
      <c r="CQ50">
        <v>0.25838859567158867</v>
      </c>
      <c r="CR50">
        <v>9.1639444687208874E-2</v>
      </c>
      <c r="CS50">
        <v>8.6595197053216194E-2</v>
      </c>
      <c r="CT50">
        <v>9.9946296502636964E-2</v>
      </c>
      <c r="CU50">
        <v>0.13580884682217045</v>
      </c>
      <c r="CV50">
        <v>0.15776712056316866</v>
      </c>
      <c r="CW50">
        <v>0.1108991185471456</v>
      </c>
      <c r="CX50">
        <v>0.23324803617615944</v>
      </c>
      <c r="CY50">
        <v>0.22821500002544701</v>
      </c>
      <c r="CZ50">
        <v>0.21078005295900129</v>
      </c>
      <c r="DA50">
        <v>0.20767336631459848</v>
      </c>
      <c r="DB50">
        <v>0.22997534703105116</v>
      </c>
      <c r="DC50">
        <v>0.24909035463121484</v>
      </c>
      <c r="DE50" t="s">
        <v>163</v>
      </c>
      <c r="DF50" t="s">
        <v>111</v>
      </c>
      <c r="DG50" t="s">
        <v>112</v>
      </c>
      <c r="DH50">
        <v>0.32388438860737656</v>
      </c>
    </row>
    <row r="51" spans="2:112" x14ac:dyDescent="0.45">
      <c r="B51" t="s">
        <v>164</v>
      </c>
      <c r="C51" t="s">
        <v>107</v>
      </c>
      <c r="D51">
        <v>0.26717393113282073</v>
      </c>
      <c r="E51">
        <v>0.2903925692809422</v>
      </c>
      <c r="F51">
        <v>0.28581077224774593</v>
      </c>
      <c r="G51">
        <v>0.28589042639232931</v>
      </c>
      <c r="H51">
        <v>0.27373665690388554</v>
      </c>
      <c r="I51">
        <v>0.2482756826254873</v>
      </c>
      <c r="J51">
        <v>0.28428039843256797</v>
      </c>
      <c r="K51">
        <v>0.27684918963051763</v>
      </c>
      <c r="L51">
        <v>0.27946453018992062</v>
      </c>
      <c r="M51">
        <v>0.2845040125305982</v>
      </c>
      <c r="N51">
        <v>0.26931021978838698</v>
      </c>
      <c r="O51">
        <v>0.27038440645059941</v>
      </c>
      <c r="P51">
        <v>0.33457156834043589</v>
      </c>
      <c r="Q51">
        <v>0.35403617035337909</v>
      </c>
      <c r="R51">
        <v>0.39018572124683476</v>
      </c>
      <c r="S51">
        <v>0.38275626156359904</v>
      </c>
      <c r="T51">
        <v>0.35351470723887435</v>
      </c>
      <c r="U51">
        <v>0.31844556898472204</v>
      </c>
      <c r="V51">
        <v>0.29946313002697167</v>
      </c>
      <c r="W51">
        <v>0.30263540582107135</v>
      </c>
      <c r="X51">
        <v>0.31190646503742175</v>
      </c>
      <c r="Y51">
        <v>0.30760224142268822</v>
      </c>
      <c r="Z51">
        <v>0.30834573454909708</v>
      </c>
      <c r="AA51">
        <v>0.30938304185734089</v>
      </c>
      <c r="CE51" t="s">
        <v>164</v>
      </c>
      <c r="CF51">
        <v>0.58567005062171318</v>
      </c>
      <c r="CG51">
        <v>0.58433710579304909</v>
      </c>
      <c r="CH51">
        <v>0.55969425540552709</v>
      </c>
      <c r="CI51">
        <v>0.53320959020286096</v>
      </c>
      <c r="CJ51">
        <v>0.55304613381557477</v>
      </c>
      <c r="CK51">
        <v>0.59744361684880942</v>
      </c>
      <c r="CL51">
        <v>0.51533136913399025</v>
      </c>
      <c r="CM51">
        <v>0.52069923621631464</v>
      </c>
      <c r="CN51">
        <v>0.48442607580324637</v>
      </c>
      <c r="CO51">
        <v>0.46936651373398197</v>
      </c>
      <c r="CP51">
        <v>0.49046899067216659</v>
      </c>
      <c r="CQ51">
        <v>0.50397799574789304</v>
      </c>
      <c r="CR51">
        <v>0.35737232537994085</v>
      </c>
      <c r="CS51">
        <v>0.33044252130782853</v>
      </c>
      <c r="CT51">
        <v>0.28725231375752003</v>
      </c>
      <c r="CU51">
        <v>0.28174519325198966</v>
      </c>
      <c r="CV51">
        <v>0.30091460890840233</v>
      </c>
      <c r="CW51">
        <v>0.34109437381593649</v>
      </c>
      <c r="CX51">
        <v>0.50192089839661003</v>
      </c>
      <c r="CY51">
        <v>0.50873249665894571</v>
      </c>
      <c r="CZ51">
        <v>0.49806730610850886</v>
      </c>
      <c r="DA51">
        <v>0.49991877467909723</v>
      </c>
      <c r="DB51">
        <v>0.50661268223872613</v>
      </c>
      <c r="DC51">
        <v>0.50813270541170497</v>
      </c>
      <c r="DE51" t="s">
        <v>165</v>
      </c>
      <c r="DF51" t="s">
        <v>111</v>
      </c>
      <c r="DG51" t="s">
        <v>112</v>
      </c>
      <c r="DH51">
        <v>0.26827801372020765</v>
      </c>
    </row>
    <row r="52" spans="2:112" x14ac:dyDescent="0.45">
      <c r="B52" t="s">
        <v>166</v>
      </c>
      <c r="C52" t="s">
        <v>107</v>
      </c>
      <c r="D52">
        <v>0.28077166271214304</v>
      </c>
      <c r="E52">
        <v>0.30012899990674274</v>
      </c>
      <c r="F52">
        <v>0.31755223828957019</v>
      </c>
      <c r="G52">
        <v>0.32115723749549324</v>
      </c>
      <c r="H52">
        <v>0.30702484936841029</v>
      </c>
      <c r="I52">
        <v>0.2787941909373931</v>
      </c>
      <c r="J52">
        <v>0.30296717125969602</v>
      </c>
      <c r="K52">
        <v>0.30837665759278493</v>
      </c>
      <c r="L52">
        <v>0.31933891777186724</v>
      </c>
      <c r="M52">
        <v>0.33532314525781448</v>
      </c>
      <c r="N52">
        <v>0.30219327589289435</v>
      </c>
      <c r="O52">
        <v>0.28543988318714886</v>
      </c>
      <c r="P52">
        <v>0.32251161758121089</v>
      </c>
      <c r="Q52">
        <v>0.34891490702686773</v>
      </c>
      <c r="R52">
        <v>0.39202398462076049</v>
      </c>
      <c r="S52">
        <v>0.38062214219032242</v>
      </c>
      <c r="T52">
        <v>0.30525726028905736</v>
      </c>
      <c r="U52">
        <v>0.27426391941185452</v>
      </c>
      <c r="V52">
        <v>0.31836987674791084</v>
      </c>
      <c r="W52">
        <v>0.31143210002447674</v>
      </c>
      <c r="X52">
        <v>0.3428549721276854</v>
      </c>
      <c r="Y52">
        <v>0.33396256587928808</v>
      </c>
      <c r="Z52">
        <v>0.32849493631065491</v>
      </c>
      <c r="AA52">
        <v>0.32776400576949588</v>
      </c>
      <c r="CE52" t="s">
        <v>166</v>
      </c>
      <c r="CF52">
        <v>0.54955085679090998</v>
      </c>
      <c r="CG52">
        <v>0.54639553825359399</v>
      </c>
      <c r="CH52">
        <v>0.50757224313071803</v>
      </c>
      <c r="CI52">
        <v>0.47175961976433683</v>
      </c>
      <c r="CJ52">
        <v>0.48837558440533657</v>
      </c>
      <c r="CK52">
        <v>0.53732150605060702</v>
      </c>
      <c r="CL52">
        <v>0.45150841603235498</v>
      </c>
      <c r="CM52">
        <v>0.46432127613284635</v>
      </c>
      <c r="CN52">
        <v>0.41695385151017678</v>
      </c>
      <c r="CO52">
        <v>0.39829640142348954</v>
      </c>
      <c r="CP52">
        <v>0.42937548444203177</v>
      </c>
      <c r="CQ52">
        <v>0.45256197952133054</v>
      </c>
      <c r="CR52">
        <v>0.33439776873794846</v>
      </c>
      <c r="CS52">
        <v>0.2771502523685484</v>
      </c>
      <c r="CT52">
        <v>0.21898947892742965</v>
      </c>
      <c r="CU52">
        <v>0.23676624131187043</v>
      </c>
      <c r="CV52">
        <v>0.31713185931718368</v>
      </c>
      <c r="CW52">
        <v>0.36011216653323669</v>
      </c>
      <c r="CX52">
        <v>0.45391827310660748</v>
      </c>
      <c r="CY52">
        <v>0.46496912040790206</v>
      </c>
      <c r="CZ52">
        <v>0.44584324128910241</v>
      </c>
      <c r="DA52">
        <v>0.4561023494513638</v>
      </c>
      <c r="DB52">
        <v>0.48323014788215418</v>
      </c>
      <c r="DC52">
        <v>0.48170611714528039</v>
      </c>
      <c r="DE52" t="s">
        <v>167</v>
      </c>
      <c r="DF52" t="s">
        <v>111</v>
      </c>
      <c r="DG52" t="s">
        <v>112</v>
      </c>
      <c r="DH52">
        <v>0.40052456333975156</v>
      </c>
    </row>
    <row r="53" spans="2:112" x14ac:dyDescent="0.45">
      <c r="B53" t="s">
        <v>168</v>
      </c>
      <c r="C53" t="s">
        <v>107</v>
      </c>
      <c r="D53">
        <v>0.25621737642173575</v>
      </c>
      <c r="E53">
        <v>0.24208889152035845</v>
      </c>
      <c r="F53">
        <v>0.21962277177322861</v>
      </c>
      <c r="G53">
        <v>0.22348468652193745</v>
      </c>
      <c r="H53">
        <v>0.24092649480950717</v>
      </c>
      <c r="I53">
        <v>0.25574967200121984</v>
      </c>
      <c r="J53">
        <v>0.22036037475240172</v>
      </c>
      <c r="K53">
        <v>0.24738039642513632</v>
      </c>
      <c r="L53">
        <v>0.27941465673740706</v>
      </c>
      <c r="M53">
        <v>0.27219351810614073</v>
      </c>
      <c r="N53">
        <v>0.2407845645361541</v>
      </c>
      <c r="O53">
        <v>0.21793344361578224</v>
      </c>
      <c r="P53">
        <v>0.3344400577004229</v>
      </c>
      <c r="Q53">
        <v>0.35147549499740632</v>
      </c>
      <c r="R53">
        <v>0.36921399965396434</v>
      </c>
      <c r="S53">
        <v>0.36936697313498845</v>
      </c>
      <c r="T53">
        <v>0.32571981088627511</v>
      </c>
      <c r="U53">
        <v>0.3051169573267748</v>
      </c>
      <c r="V53">
        <v>0.27055754993582837</v>
      </c>
      <c r="W53">
        <v>0.29777226164145099</v>
      </c>
      <c r="X53">
        <v>0.29376536665047132</v>
      </c>
      <c r="Y53">
        <v>0.30696496265175682</v>
      </c>
      <c r="Z53">
        <v>0.28983718746119019</v>
      </c>
      <c r="AA53">
        <v>0.2807578401617809</v>
      </c>
      <c r="CE53" t="s">
        <v>168</v>
      </c>
      <c r="CF53">
        <v>0.61305411229273266</v>
      </c>
      <c r="CG53">
        <v>0.62241630860922359</v>
      </c>
      <c r="CH53">
        <v>0.62167258035414941</v>
      </c>
      <c r="CI53">
        <v>0.61082662480421279</v>
      </c>
      <c r="CJ53">
        <v>0.6146049057846058</v>
      </c>
      <c r="CK53">
        <v>0.61929059754657645</v>
      </c>
      <c r="CL53">
        <v>0.59612112759458369</v>
      </c>
      <c r="CM53">
        <v>0.56650650471021935</v>
      </c>
      <c r="CN53">
        <v>0.53785511460271906</v>
      </c>
      <c r="CO53">
        <v>0.54958544236993689</v>
      </c>
      <c r="CP53">
        <v>0.59063595164686211</v>
      </c>
      <c r="CQ53">
        <v>0.62328670907174655</v>
      </c>
      <c r="CR53">
        <v>0.43128358436899106</v>
      </c>
      <c r="CS53">
        <v>0.4127659647418081</v>
      </c>
      <c r="CT53">
        <v>0.38346389814377085</v>
      </c>
      <c r="CU53">
        <v>0.39602101600361261</v>
      </c>
      <c r="CV53">
        <v>0.44274493782163338</v>
      </c>
      <c r="CW53">
        <v>0.45325739463171055</v>
      </c>
      <c r="CX53">
        <v>0.55897578699332384</v>
      </c>
      <c r="CY53">
        <v>0.54072577116117371</v>
      </c>
      <c r="CZ53">
        <v>0.53650637851725513</v>
      </c>
      <c r="DA53">
        <v>0.52377287976826092</v>
      </c>
      <c r="DB53">
        <v>0.5485555255196275</v>
      </c>
      <c r="DC53">
        <v>0.56129763417950695</v>
      </c>
      <c r="DE53" t="s">
        <v>169</v>
      </c>
      <c r="DF53" t="s">
        <v>111</v>
      </c>
      <c r="DG53" t="s">
        <v>112</v>
      </c>
      <c r="DH53">
        <v>0.27793839217758393</v>
      </c>
    </row>
    <row r="54" spans="2:112" x14ac:dyDescent="0.45">
      <c r="B54" t="s">
        <v>170</v>
      </c>
      <c r="C54" t="s">
        <v>107</v>
      </c>
      <c r="D54">
        <v>0.25901718918316274</v>
      </c>
      <c r="E54">
        <v>0.24120301682589482</v>
      </c>
      <c r="F54">
        <v>0.25495658852890418</v>
      </c>
      <c r="G54">
        <v>0.25223630627040117</v>
      </c>
      <c r="H54">
        <v>0.25054418616403079</v>
      </c>
      <c r="I54">
        <v>0.24837718296184871</v>
      </c>
      <c r="J54">
        <v>0.25761314435897431</v>
      </c>
      <c r="K54">
        <v>0.27205732643219965</v>
      </c>
      <c r="L54">
        <v>0.29384489237338446</v>
      </c>
      <c r="M54">
        <v>0.30138100183395589</v>
      </c>
      <c r="N54">
        <v>0.29154854131228231</v>
      </c>
      <c r="O54">
        <v>0.26960084848300364</v>
      </c>
      <c r="P54">
        <v>0.31340676020595981</v>
      </c>
      <c r="Q54">
        <v>0.32939086214373975</v>
      </c>
      <c r="R54">
        <v>0.35402887482584988</v>
      </c>
      <c r="S54">
        <v>0.35805346430603074</v>
      </c>
      <c r="T54">
        <v>0.33968099805941504</v>
      </c>
      <c r="U54">
        <v>0.3127851177378726</v>
      </c>
      <c r="V54">
        <v>0.29630416962542244</v>
      </c>
      <c r="W54">
        <v>0.31556978544674591</v>
      </c>
      <c r="X54">
        <v>0.29554566913092206</v>
      </c>
      <c r="Y54">
        <v>0.29001178240329445</v>
      </c>
      <c r="Z54">
        <v>0.27157881453604577</v>
      </c>
      <c r="AA54">
        <v>0.26894677527442629</v>
      </c>
      <c r="CE54" t="s">
        <v>170</v>
      </c>
      <c r="CF54">
        <v>0.59525938879189821</v>
      </c>
      <c r="CG54">
        <v>0.60504892565368384</v>
      </c>
      <c r="CH54">
        <v>0.59132698185956589</v>
      </c>
      <c r="CI54">
        <v>0.5796637814219886</v>
      </c>
      <c r="CJ54">
        <v>0.58348882428685833</v>
      </c>
      <c r="CK54">
        <v>0.60094390775084217</v>
      </c>
      <c r="CL54">
        <v>0.56072853223670072</v>
      </c>
      <c r="CM54">
        <v>0.54673601138407557</v>
      </c>
      <c r="CN54">
        <v>0.51161191430533759</v>
      </c>
      <c r="CO54">
        <v>0.50591018882701555</v>
      </c>
      <c r="CP54">
        <v>0.52927318257283984</v>
      </c>
      <c r="CQ54">
        <v>0.55980663795822172</v>
      </c>
      <c r="CR54">
        <v>0.43917259008717102</v>
      </c>
      <c r="CS54">
        <v>0.40792787428751082</v>
      </c>
      <c r="CT54">
        <v>0.38414763422745046</v>
      </c>
      <c r="CU54">
        <v>0.39400514980358681</v>
      </c>
      <c r="CV54">
        <v>0.42162565142476749</v>
      </c>
      <c r="CW54">
        <v>0.45230437833748277</v>
      </c>
      <c r="CX54">
        <v>0.54366282586692782</v>
      </c>
      <c r="CY54">
        <v>0.52879010089450174</v>
      </c>
      <c r="CZ54">
        <v>0.54178317184247282</v>
      </c>
      <c r="DA54">
        <v>0.54001734331629581</v>
      </c>
      <c r="DB54">
        <v>0.56762846138774981</v>
      </c>
      <c r="DC54">
        <v>0.5770034304371352</v>
      </c>
      <c r="DE54" t="s">
        <v>171</v>
      </c>
      <c r="DF54" t="s">
        <v>111</v>
      </c>
      <c r="DG54" t="s">
        <v>112</v>
      </c>
      <c r="DH54">
        <v>0.13123313678467335</v>
      </c>
    </row>
    <row r="55" spans="2:112" x14ac:dyDescent="0.45">
      <c r="B55" t="s">
        <v>172</v>
      </c>
      <c r="C55" t="s">
        <v>107</v>
      </c>
      <c r="D55">
        <v>0.21557762614707124</v>
      </c>
      <c r="E55">
        <v>0.19746731721749977</v>
      </c>
      <c r="F55">
        <v>0.19790303182932867</v>
      </c>
      <c r="G55">
        <v>0.19547806645276353</v>
      </c>
      <c r="H55">
        <v>0.19499836881203356</v>
      </c>
      <c r="I55">
        <v>0.20757764225799558</v>
      </c>
      <c r="J55">
        <v>0.19445509986387083</v>
      </c>
      <c r="K55">
        <v>0.1975254849079775</v>
      </c>
      <c r="L55">
        <v>0.22385021970713151</v>
      </c>
      <c r="M55">
        <v>0.22630585352070307</v>
      </c>
      <c r="N55">
        <v>0.21050110724979476</v>
      </c>
      <c r="O55">
        <v>0.19337964720344897</v>
      </c>
      <c r="P55">
        <v>0.31246098639718128</v>
      </c>
      <c r="Q55">
        <v>0.3193326328542333</v>
      </c>
      <c r="R55">
        <v>0.34500888879655445</v>
      </c>
      <c r="S55">
        <v>0.33749259409161253</v>
      </c>
      <c r="T55">
        <v>0.30385406052262937</v>
      </c>
      <c r="U55">
        <v>0.2869121384875965</v>
      </c>
      <c r="V55">
        <v>0.27935835251727875</v>
      </c>
      <c r="W55">
        <v>0.2955586154878001</v>
      </c>
      <c r="X55">
        <v>0.29663917139955365</v>
      </c>
      <c r="Y55">
        <v>0.2915886783508353</v>
      </c>
      <c r="Z55">
        <v>0.27731179313822107</v>
      </c>
      <c r="AA55">
        <v>0.26749954823774258</v>
      </c>
      <c r="CE55" t="s">
        <v>172</v>
      </c>
      <c r="CF55">
        <v>0.67825785874928024</v>
      </c>
      <c r="CG55">
        <v>0.68577146135950029</v>
      </c>
      <c r="CH55">
        <v>0.67008025008546512</v>
      </c>
      <c r="CI55">
        <v>0.67347014740466749</v>
      </c>
      <c r="CJ55">
        <v>0.68269952610852491</v>
      </c>
      <c r="CK55">
        <v>0.6817230698058443</v>
      </c>
      <c r="CL55">
        <v>0.64736593321582758</v>
      </c>
      <c r="CM55">
        <v>0.64677522268800802</v>
      </c>
      <c r="CN55">
        <v>0.62562516386331246</v>
      </c>
      <c r="CO55">
        <v>0.63560676764052937</v>
      </c>
      <c r="CP55">
        <v>0.65675336168410825</v>
      </c>
      <c r="CQ55">
        <v>0.66695762948387538</v>
      </c>
      <c r="CR55">
        <v>0.45961814083623947</v>
      </c>
      <c r="CS55">
        <v>0.44137721783126632</v>
      </c>
      <c r="CT55">
        <v>0.41487699799509331</v>
      </c>
      <c r="CU55">
        <v>0.42466869781478428</v>
      </c>
      <c r="CV55">
        <v>0.47096695211629586</v>
      </c>
      <c r="CW55">
        <v>0.48841532893813372</v>
      </c>
      <c r="CX55">
        <v>0.54652481284523946</v>
      </c>
      <c r="CY55">
        <v>0.54002276497134338</v>
      </c>
      <c r="CZ55">
        <v>0.54143460971645041</v>
      </c>
      <c r="DA55">
        <v>0.53991082692501757</v>
      </c>
      <c r="DB55">
        <v>0.55305745676190154</v>
      </c>
      <c r="DC55">
        <v>0.56046029297602118</v>
      </c>
      <c r="DE55" t="s">
        <v>173</v>
      </c>
      <c r="DF55" t="s">
        <v>111</v>
      </c>
      <c r="DG55" t="s">
        <v>112</v>
      </c>
      <c r="DH55">
        <v>0.30609931905506227</v>
      </c>
    </row>
    <row r="56" spans="2:112" x14ac:dyDescent="0.45">
      <c r="B56" t="s">
        <v>174</v>
      </c>
      <c r="C56" t="s">
        <v>107</v>
      </c>
      <c r="D56">
        <v>0.23142143541047808</v>
      </c>
      <c r="E56">
        <v>0.23037562920674751</v>
      </c>
      <c r="F56">
        <v>0.22382267859693936</v>
      </c>
      <c r="G56">
        <v>0.22209960411635263</v>
      </c>
      <c r="H56">
        <v>0.22030266135639928</v>
      </c>
      <c r="I56">
        <v>0.22350826948574276</v>
      </c>
      <c r="J56">
        <v>0.23573567269729151</v>
      </c>
      <c r="K56">
        <v>0.21985976313577554</v>
      </c>
      <c r="L56">
        <v>0.23991272869463642</v>
      </c>
      <c r="M56">
        <v>0.25872688940814914</v>
      </c>
      <c r="N56">
        <v>0.24916747717070986</v>
      </c>
      <c r="O56">
        <v>0.24152943319517692</v>
      </c>
      <c r="P56">
        <v>0.32197636634862575</v>
      </c>
      <c r="Q56">
        <v>0.33530499422842525</v>
      </c>
      <c r="R56">
        <v>0.34967414335271302</v>
      </c>
      <c r="S56">
        <v>0.36426409319115505</v>
      </c>
      <c r="T56">
        <v>0.33838247749308853</v>
      </c>
      <c r="U56">
        <v>0.3103620796609089</v>
      </c>
      <c r="V56">
        <v>0.29593770307060019</v>
      </c>
      <c r="W56">
        <v>0.28878893729033794</v>
      </c>
      <c r="X56">
        <v>0.29184444510246521</v>
      </c>
      <c r="Y56">
        <v>0.29421704269424831</v>
      </c>
      <c r="Z56">
        <v>0.29094828794031324</v>
      </c>
      <c r="AA56">
        <v>0.29991618245006429</v>
      </c>
      <c r="CE56" t="s">
        <v>174</v>
      </c>
      <c r="CF56">
        <v>0.64604193059439285</v>
      </c>
      <c r="CG56">
        <v>0.65175523177271766</v>
      </c>
      <c r="CH56">
        <v>0.62687163792724299</v>
      </c>
      <c r="CI56">
        <v>0.629081701764034</v>
      </c>
      <c r="CJ56">
        <v>0.6427480311952869</v>
      </c>
      <c r="CK56">
        <v>0.65708751195665982</v>
      </c>
      <c r="CL56">
        <v>0.60464457972732422</v>
      </c>
      <c r="CM56">
        <v>0.60923510314733254</v>
      </c>
      <c r="CN56">
        <v>0.60463099753431826</v>
      </c>
      <c r="CO56">
        <v>0.60839362487801452</v>
      </c>
      <c r="CP56">
        <v>0.62382568972171148</v>
      </c>
      <c r="CQ56">
        <v>0.62393009003137434</v>
      </c>
      <c r="CR56">
        <v>0.43748152598054835</v>
      </c>
      <c r="CS56">
        <v>0.39941616179484923</v>
      </c>
      <c r="CT56">
        <v>0.34527849635723368</v>
      </c>
      <c r="CU56">
        <v>0.3472816074609783</v>
      </c>
      <c r="CV56">
        <v>0.39300417473683569</v>
      </c>
      <c r="CW56">
        <v>0.44647730946067182</v>
      </c>
      <c r="CX56">
        <v>0.5418602709529361</v>
      </c>
      <c r="CY56">
        <v>0.54798545961736878</v>
      </c>
      <c r="CZ56">
        <v>0.54523079170132094</v>
      </c>
      <c r="DA56">
        <v>0.53166018961473538</v>
      </c>
      <c r="DB56">
        <v>0.54084295231927015</v>
      </c>
      <c r="DC56">
        <v>0.53832119179083315</v>
      </c>
      <c r="DE56" t="s">
        <v>175</v>
      </c>
      <c r="DF56" t="s">
        <v>111</v>
      </c>
      <c r="DG56" t="s">
        <v>112</v>
      </c>
      <c r="DH56">
        <v>0.28191388437178599</v>
      </c>
    </row>
    <row r="57" spans="2:112" x14ac:dyDescent="0.45">
      <c r="B57" t="s">
        <v>176</v>
      </c>
      <c r="C57" t="s">
        <v>107</v>
      </c>
      <c r="D57">
        <v>0.26567038918410307</v>
      </c>
      <c r="E57">
        <v>0.27179524611579925</v>
      </c>
      <c r="F57">
        <v>0.27411484273218639</v>
      </c>
      <c r="G57">
        <v>0.27089429615195093</v>
      </c>
      <c r="H57">
        <v>0.24978663063856657</v>
      </c>
      <c r="I57">
        <v>0.24685727362142373</v>
      </c>
      <c r="J57">
        <v>0.25631513576931569</v>
      </c>
      <c r="K57">
        <v>0.25122641909370763</v>
      </c>
      <c r="L57">
        <v>0.26449023044402842</v>
      </c>
      <c r="M57">
        <v>0.29228220592719656</v>
      </c>
      <c r="N57">
        <v>0.2685955456456583</v>
      </c>
      <c r="O57">
        <v>0.25777430520428518</v>
      </c>
      <c r="P57">
        <v>0.29266535592478798</v>
      </c>
      <c r="Q57">
        <v>0.35994582445975082</v>
      </c>
      <c r="R57">
        <v>0.38606126152077164</v>
      </c>
      <c r="S57">
        <v>0.38733527460986372</v>
      </c>
      <c r="T57">
        <v>0.34702512928143098</v>
      </c>
      <c r="U57">
        <v>0.28771036596246935</v>
      </c>
      <c r="V57">
        <v>0.28602934270748503</v>
      </c>
      <c r="W57">
        <v>0.29879289522975633</v>
      </c>
      <c r="X57">
        <v>0.30548841621308848</v>
      </c>
      <c r="Y57">
        <v>0.29405022008071358</v>
      </c>
      <c r="Z57">
        <v>0.29848176879891608</v>
      </c>
      <c r="AA57">
        <v>0.30144701248500128</v>
      </c>
      <c r="CE57" t="s">
        <v>176</v>
      </c>
      <c r="CF57">
        <v>0.58531604634282941</v>
      </c>
      <c r="CG57">
        <v>0.58959468172697016</v>
      </c>
      <c r="CH57">
        <v>0.56526717780006241</v>
      </c>
      <c r="CI57">
        <v>0.54968819905564514</v>
      </c>
      <c r="CJ57">
        <v>0.57413919845817907</v>
      </c>
      <c r="CK57">
        <v>0.60283183480984825</v>
      </c>
      <c r="CL57">
        <v>0.55878428942682912</v>
      </c>
      <c r="CM57">
        <v>0.55060425760741727</v>
      </c>
      <c r="CN57">
        <v>0.51089310677016131</v>
      </c>
      <c r="CO57">
        <v>0.50359668089185394</v>
      </c>
      <c r="CP57">
        <v>0.53929788192674077</v>
      </c>
      <c r="CQ57">
        <v>0.56267839124255736</v>
      </c>
      <c r="CR57">
        <v>0.42031612108168087</v>
      </c>
      <c r="CS57">
        <v>0.37431964665380235</v>
      </c>
      <c r="CT57">
        <v>0.30429973805451138</v>
      </c>
      <c r="CU57">
        <v>0.29168720317509939</v>
      </c>
      <c r="CV57">
        <v>0.32894098859149729</v>
      </c>
      <c r="CW57">
        <v>0.40577412376022282</v>
      </c>
      <c r="CX57">
        <v>0.52437792527220528</v>
      </c>
      <c r="CY57">
        <v>0.52688701402009785</v>
      </c>
      <c r="CZ57">
        <v>0.51369727504395613</v>
      </c>
      <c r="DA57">
        <v>0.50258491793602278</v>
      </c>
      <c r="DB57">
        <v>0.51645282370900081</v>
      </c>
      <c r="DC57">
        <v>0.52529582423541665</v>
      </c>
      <c r="DE57" t="s">
        <v>177</v>
      </c>
      <c r="DF57" t="s">
        <v>111</v>
      </c>
      <c r="DG57" t="s">
        <v>112</v>
      </c>
      <c r="DH57">
        <v>0.34660685706212696</v>
      </c>
    </row>
    <row r="58" spans="2:112" x14ac:dyDescent="0.45">
      <c r="B58" t="s">
        <v>145</v>
      </c>
      <c r="C58" t="s">
        <v>107</v>
      </c>
      <c r="D58">
        <v>0.41710758491142413</v>
      </c>
      <c r="E58">
        <v>0.41729791739215921</v>
      </c>
      <c r="F58">
        <v>0.45841290051838718</v>
      </c>
      <c r="G58">
        <v>0.47154793263577005</v>
      </c>
      <c r="H58">
        <v>0.42697431144906844</v>
      </c>
      <c r="I58">
        <v>0.40085768562181678</v>
      </c>
      <c r="J58">
        <v>0.35015093753984783</v>
      </c>
      <c r="K58">
        <v>0.38192483773894276</v>
      </c>
      <c r="L58">
        <v>0.4633567971244093</v>
      </c>
      <c r="M58">
        <v>0.43112480665785535</v>
      </c>
      <c r="N58">
        <v>0.38705980256432759</v>
      </c>
      <c r="O58">
        <v>0.35488997225052826</v>
      </c>
      <c r="P58">
        <v>0.35885028298394439</v>
      </c>
      <c r="Q58">
        <v>0.40298113182522133</v>
      </c>
      <c r="R58">
        <v>0.43552090485405354</v>
      </c>
      <c r="S58">
        <v>0.41627990049075592</v>
      </c>
      <c r="T58">
        <v>0.37901516033533783</v>
      </c>
      <c r="U58">
        <v>0.35138455680906572</v>
      </c>
      <c r="V58">
        <v>0.41655548566097073</v>
      </c>
      <c r="W58">
        <v>0.44495213743259732</v>
      </c>
      <c r="X58">
        <v>0.47445468283433007</v>
      </c>
      <c r="Y58">
        <v>0.46701394710514715</v>
      </c>
      <c r="Z58">
        <v>0.44206651037559908</v>
      </c>
      <c r="AA58">
        <v>0.39953137715476389</v>
      </c>
      <c r="CE58" t="s">
        <v>145</v>
      </c>
      <c r="CF58">
        <v>0.19130452035724954</v>
      </c>
      <c r="CG58">
        <v>0.18444755777734284</v>
      </c>
      <c r="CH58">
        <v>0.17871277393115087</v>
      </c>
      <c r="CI58">
        <v>0.17025092178465487</v>
      </c>
      <c r="CJ58">
        <v>0.1811469662683399</v>
      </c>
      <c r="CK58">
        <v>0.19863315673528809</v>
      </c>
      <c r="CL58">
        <v>0.13654212637146518</v>
      </c>
      <c r="CM58">
        <v>0.13307405237040673</v>
      </c>
      <c r="CN58">
        <v>0.11863041597962957</v>
      </c>
      <c r="CO58">
        <v>0.11646379720971446</v>
      </c>
      <c r="CP58">
        <v>0.12831593872164621</v>
      </c>
      <c r="CQ58">
        <v>0.128496391042909</v>
      </c>
      <c r="CR58">
        <v>9.3545611273965976E-2</v>
      </c>
      <c r="CS58">
        <v>6.6593510858421107E-2</v>
      </c>
      <c r="CT58">
        <v>5.8359974516959345E-2</v>
      </c>
      <c r="CU58">
        <v>7.0942861609323213E-2</v>
      </c>
      <c r="CV58">
        <v>8.5341985731663197E-2</v>
      </c>
      <c r="CW58">
        <v>9.4034934770103204E-2</v>
      </c>
      <c r="CX58">
        <v>0.17997958541650205</v>
      </c>
      <c r="CY58">
        <v>0.17898102618174344</v>
      </c>
      <c r="CZ58">
        <v>0.15473473541696889</v>
      </c>
      <c r="DA58">
        <v>0.16200890142959401</v>
      </c>
      <c r="DB58">
        <v>0.17161702999899064</v>
      </c>
      <c r="DC58">
        <v>0.17487484929883487</v>
      </c>
      <c r="DE58" t="s">
        <v>178</v>
      </c>
      <c r="DF58" t="s">
        <v>111</v>
      </c>
      <c r="DG58" t="s">
        <v>112</v>
      </c>
      <c r="DH58">
        <v>0.36995006129163688</v>
      </c>
    </row>
    <row r="59" spans="2:112" x14ac:dyDescent="0.45">
      <c r="B59" t="s">
        <v>147</v>
      </c>
      <c r="C59" t="s">
        <v>107</v>
      </c>
      <c r="D59">
        <v>0.4422946617692291</v>
      </c>
      <c r="E59">
        <v>0.45717953261771255</v>
      </c>
      <c r="F59">
        <v>0.48097820069397218</v>
      </c>
      <c r="G59">
        <v>0.4811504128070343</v>
      </c>
      <c r="H59">
        <v>0.44605981032523578</v>
      </c>
      <c r="I59">
        <v>0.42039062659534987</v>
      </c>
      <c r="J59">
        <v>0.36886453815286557</v>
      </c>
      <c r="K59">
        <v>0.39468350454236117</v>
      </c>
      <c r="L59">
        <v>0.45836124707571224</v>
      </c>
      <c r="M59">
        <v>0.42893034751686276</v>
      </c>
      <c r="N59">
        <v>0.36799750083674226</v>
      </c>
      <c r="O59">
        <v>0.34415317821945868</v>
      </c>
      <c r="P59">
        <v>0.33544041326774393</v>
      </c>
      <c r="Q59">
        <v>0.4104889715569483</v>
      </c>
      <c r="R59">
        <v>0.45237857509580653</v>
      </c>
      <c r="S59">
        <v>0.40993164581214647</v>
      </c>
      <c r="T59">
        <v>0.35384539292688422</v>
      </c>
      <c r="U59">
        <v>0.31871807245458633</v>
      </c>
      <c r="V59">
        <v>0.38733177645020955</v>
      </c>
      <c r="W59">
        <v>0.41147064184584914</v>
      </c>
      <c r="X59">
        <v>0.44443123420690606</v>
      </c>
      <c r="Y59">
        <v>0.45968742159578285</v>
      </c>
      <c r="Z59">
        <v>0.43849763395837105</v>
      </c>
      <c r="AA59">
        <v>0.37944353236245126</v>
      </c>
      <c r="CE59" t="s">
        <v>147</v>
      </c>
      <c r="CF59">
        <v>0.2087990544323447</v>
      </c>
      <c r="CG59">
        <v>0.19913865808804587</v>
      </c>
      <c r="CH59">
        <v>0.18212686615126647</v>
      </c>
      <c r="CI59">
        <v>0.16308034836866492</v>
      </c>
      <c r="CJ59">
        <v>0.18195028821857043</v>
      </c>
      <c r="CK59">
        <v>0.21545138376917317</v>
      </c>
      <c r="CL59">
        <v>0.13843185296390917</v>
      </c>
      <c r="CM59">
        <v>0.12951742705956959</v>
      </c>
      <c r="CN59">
        <v>0.11533195177793622</v>
      </c>
      <c r="CO59">
        <v>0.11741106790644307</v>
      </c>
      <c r="CP59">
        <v>0.13240499322853969</v>
      </c>
      <c r="CQ59">
        <v>0.13243502906970828</v>
      </c>
      <c r="CR59">
        <v>0.10086661377336541</v>
      </c>
      <c r="CS59">
        <v>7.4612571151966844E-2</v>
      </c>
      <c r="CT59">
        <v>6.4333238653787386E-2</v>
      </c>
      <c r="CU59">
        <v>7.6458553998956152E-2</v>
      </c>
      <c r="CV59">
        <v>9.0385960151054809E-2</v>
      </c>
      <c r="CW59">
        <v>9.4624730439222801E-2</v>
      </c>
      <c r="CX59">
        <v>0.20372272940016531</v>
      </c>
      <c r="CY59">
        <v>0.2015882459182318</v>
      </c>
      <c r="CZ59">
        <v>0.18973679936620336</v>
      </c>
      <c r="DA59">
        <v>0.18925260658112494</v>
      </c>
      <c r="DB59">
        <v>0.19098176358464444</v>
      </c>
      <c r="DC59">
        <v>0.19140670483444461</v>
      </c>
      <c r="DE59" t="s">
        <v>179</v>
      </c>
      <c r="DF59" t="s">
        <v>111</v>
      </c>
      <c r="DG59" t="s">
        <v>112</v>
      </c>
      <c r="DH59">
        <v>0.29886550685084246</v>
      </c>
    </row>
    <row r="60" spans="2:112" x14ac:dyDescent="0.45">
      <c r="B60" t="s">
        <v>149</v>
      </c>
      <c r="C60" t="s">
        <v>107</v>
      </c>
      <c r="D60">
        <v>0.41456228000348833</v>
      </c>
      <c r="E60">
        <v>0.40494122172221458</v>
      </c>
      <c r="F60">
        <v>0.42171849369927455</v>
      </c>
      <c r="G60">
        <v>0.43050816129590608</v>
      </c>
      <c r="H60">
        <v>0.42023261067339857</v>
      </c>
      <c r="I60">
        <v>0.41175450164302357</v>
      </c>
      <c r="J60">
        <v>0.32955865423766628</v>
      </c>
      <c r="K60">
        <v>0.34073685877388726</v>
      </c>
      <c r="L60">
        <v>0.42230325150339904</v>
      </c>
      <c r="M60">
        <v>0.42810420621030115</v>
      </c>
      <c r="N60">
        <v>0.38946225516753763</v>
      </c>
      <c r="O60">
        <v>0.34959238043270768</v>
      </c>
      <c r="P60">
        <v>0.33177274198625767</v>
      </c>
      <c r="Q60">
        <v>0.38253767698568802</v>
      </c>
      <c r="R60">
        <v>0.43390615501048108</v>
      </c>
      <c r="S60">
        <v>0.41892740776131676</v>
      </c>
      <c r="T60">
        <v>0.38891930215759657</v>
      </c>
      <c r="U60">
        <v>0.32724534044171566</v>
      </c>
      <c r="V60">
        <v>0.3508478774808011</v>
      </c>
      <c r="W60">
        <v>0.38457501009944323</v>
      </c>
      <c r="X60">
        <v>0.43006186752056763</v>
      </c>
      <c r="Y60">
        <v>0.43163205667446308</v>
      </c>
      <c r="Z60">
        <v>0.39439361388776301</v>
      </c>
      <c r="AA60">
        <v>0.34677929518649436</v>
      </c>
      <c r="CE60" t="s">
        <v>149</v>
      </c>
      <c r="CF60">
        <v>0.26188687386235016</v>
      </c>
      <c r="CG60">
        <v>0.2580855926036868</v>
      </c>
      <c r="CH60">
        <v>0.23536941390251728</v>
      </c>
      <c r="CI60">
        <v>0.20753353277448941</v>
      </c>
      <c r="CJ60">
        <v>0.24093331740246021</v>
      </c>
      <c r="CK60">
        <v>0.27720998424370891</v>
      </c>
      <c r="CL60">
        <v>0.20691995764983356</v>
      </c>
      <c r="CM60">
        <v>0.19274162446590304</v>
      </c>
      <c r="CN60">
        <v>0.15374515720736606</v>
      </c>
      <c r="CO60">
        <v>0.15000655558111259</v>
      </c>
      <c r="CP60">
        <v>0.17055008899742771</v>
      </c>
      <c r="CQ60">
        <v>0.18501247721786696</v>
      </c>
      <c r="CR60">
        <v>0.15589733733211664</v>
      </c>
      <c r="CS60">
        <v>0.11987369545575899</v>
      </c>
      <c r="CT60">
        <v>9.1323654066180246E-2</v>
      </c>
      <c r="CU60">
        <v>0.1036214408688523</v>
      </c>
      <c r="CV60">
        <v>0.12721715610311565</v>
      </c>
      <c r="CW60">
        <v>0.13621007923679918</v>
      </c>
      <c r="CX60">
        <v>0.27879516848493491</v>
      </c>
      <c r="CY60">
        <v>0.26480458965713977</v>
      </c>
      <c r="CZ60">
        <v>0.24011694061510666</v>
      </c>
      <c r="DA60">
        <v>0.23992729601006749</v>
      </c>
      <c r="DB60">
        <v>0.23705736646190401</v>
      </c>
      <c r="DC60">
        <v>0.26102495680377596</v>
      </c>
      <c r="DE60" t="s">
        <v>180</v>
      </c>
      <c r="DF60" t="s">
        <v>111</v>
      </c>
      <c r="DG60" t="s">
        <v>112</v>
      </c>
      <c r="DH60">
        <v>0.22808367254435613</v>
      </c>
    </row>
    <row r="61" spans="2:112" x14ac:dyDescent="0.45">
      <c r="B61" t="s">
        <v>151</v>
      </c>
      <c r="C61" t="s">
        <v>107</v>
      </c>
      <c r="D61">
        <v>0.24465816320875061</v>
      </c>
      <c r="E61">
        <v>0.25297043602143521</v>
      </c>
      <c r="F61">
        <v>0.24678025547754334</v>
      </c>
      <c r="G61">
        <v>0.24081018050603178</v>
      </c>
      <c r="H61">
        <v>0.25067032380140153</v>
      </c>
      <c r="I61">
        <v>0.24378083444796497</v>
      </c>
      <c r="J61">
        <v>0.22346227401204813</v>
      </c>
      <c r="K61">
        <v>0.23975314121759328</v>
      </c>
      <c r="L61">
        <v>0.2647166168809939</v>
      </c>
      <c r="M61">
        <v>0.2720686348776884</v>
      </c>
      <c r="N61">
        <v>0.24593241434690838</v>
      </c>
      <c r="O61">
        <v>0.2276622693421376</v>
      </c>
      <c r="P61">
        <v>0.3043148149861637</v>
      </c>
      <c r="Q61">
        <v>0.33042521553264742</v>
      </c>
      <c r="R61">
        <v>0.34889854272896464</v>
      </c>
      <c r="S61">
        <v>0.33822880077398898</v>
      </c>
      <c r="T61">
        <v>0.30517668252943014</v>
      </c>
      <c r="U61">
        <v>0.2833617129560837</v>
      </c>
      <c r="V61">
        <v>0.28241129783111352</v>
      </c>
      <c r="W61">
        <v>0.29644226817298724</v>
      </c>
      <c r="X61">
        <v>0.2997873099740172</v>
      </c>
      <c r="Y61">
        <v>0.29704416227979819</v>
      </c>
      <c r="Z61">
        <v>0.29875131620290807</v>
      </c>
      <c r="AA61">
        <v>0.30054048163746849</v>
      </c>
      <c r="CE61" t="s">
        <v>151</v>
      </c>
      <c r="CF61">
        <v>0.53395099820428971</v>
      </c>
      <c r="CG61">
        <v>0.53036354845956724</v>
      </c>
      <c r="CH61">
        <v>0.51751736474407706</v>
      </c>
      <c r="CI61">
        <v>0.51140338358015003</v>
      </c>
      <c r="CJ61">
        <v>0.51509943047872242</v>
      </c>
      <c r="CK61">
        <v>0.53001456524804946</v>
      </c>
      <c r="CL61">
        <v>0.48621464654444563</v>
      </c>
      <c r="CM61">
        <v>0.47033287421376729</v>
      </c>
      <c r="CN61">
        <v>0.45710962476133421</v>
      </c>
      <c r="CO61">
        <v>0.45292929297575518</v>
      </c>
      <c r="CP61">
        <v>0.48590459986235329</v>
      </c>
      <c r="CQ61">
        <v>0.49958869778907017</v>
      </c>
      <c r="CR61">
        <v>0.36379289420252298</v>
      </c>
      <c r="CS61">
        <v>0.32687447583068979</v>
      </c>
      <c r="CT61">
        <v>0.30023525718918093</v>
      </c>
      <c r="CU61">
        <v>0.31643343655582362</v>
      </c>
      <c r="CV61">
        <v>0.36306198163874703</v>
      </c>
      <c r="CW61">
        <v>0.37836360171468836</v>
      </c>
      <c r="CX61">
        <v>0.47846385087745369</v>
      </c>
      <c r="CY61">
        <v>0.46639841155365602</v>
      </c>
      <c r="CZ61">
        <v>0.46111465783942296</v>
      </c>
      <c r="DA61">
        <v>0.46522405559364061</v>
      </c>
      <c r="DB61">
        <v>0.47162670681930396</v>
      </c>
      <c r="DC61">
        <v>0.47186604847527713</v>
      </c>
      <c r="DE61" t="s">
        <v>181</v>
      </c>
      <c r="DF61" t="s">
        <v>111</v>
      </c>
      <c r="DG61" t="s">
        <v>112</v>
      </c>
      <c r="DH61">
        <v>0.25905101784733048</v>
      </c>
    </row>
    <row r="62" spans="2:112" x14ac:dyDescent="0.45">
      <c r="B62" t="s">
        <v>153</v>
      </c>
      <c r="C62" t="s">
        <v>107</v>
      </c>
      <c r="D62">
        <v>0.29285782079296446</v>
      </c>
      <c r="E62">
        <v>0.30173481534078106</v>
      </c>
      <c r="F62">
        <v>0.32678707321022887</v>
      </c>
      <c r="G62">
        <v>0.34281094415449598</v>
      </c>
      <c r="H62">
        <v>0.32024933920319998</v>
      </c>
      <c r="I62">
        <v>0.28844034324242435</v>
      </c>
      <c r="J62">
        <v>0.26325901335306517</v>
      </c>
      <c r="K62">
        <v>0.25998618537380819</v>
      </c>
      <c r="L62">
        <v>0.30848382400159269</v>
      </c>
      <c r="M62">
        <v>0.32727411340832874</v>
      </c>
      <c r="N62">
        <v>0.3000676065206373</v>
      </c>
      <c r="O62">
        <v>0.26518130678672402</v>
      </c>
      <c r="P62">
        <v>0.25892204902427618</v>
      </c>
      <c r="Q62">
        <v>0.322594943971582</v>
      </c>
      <c r="R62">
        <v>0.39114665231639001</v>
      </c>
      <c r="S62">
        <v>0.36255603896024385</v>
      </c>
      <c r="T62">
        <v>0.33597336248490317</v>
      </c>
      <c r="U62">
        <v>0.28174566444674576</v>
      </c>
      <c r="V62">
        <v>0.31258608289151851</v>
      </c>
      <c r="W62">
        <v>0.31302319113072763</v>
      </c>
      <c r="X62">
        <v>0.33459221395869937</v>
      </c>
      <c r="Y62">
        <v>0.33005830034302613</v>
      </c>
      <c r="Z62">
        <v>0.32636430792230858</v>
      </c>
      <c r="AA62">
        <v>0.31887607178078026</v>
      </c>
      <c r="CE62" t="s">
        <v>153</v>
      </c>
      <c r="CF62">
        <v>0.40107735662826577</v>
      </c>
      <c r="CG62">
        <v>0.39780519438483503</v>
      </c>
      <c r="CH62">
        <v>0.37503322669076583</v>
      </c>
      <c r="CI62">
        <v>0.35588911669852508</v>
      </c>
      <c r="CJ62">
        <v>0.36696848964435386</v>
      </c>
      <c r="CK62">
        <v>0.38671061567198978</v>
      </c>
      <c r="CL62">
        <v>0.34055642812007997</v>
      </c>
      <c r="CM62">
        <v>0.32474108870901996</v>
      </c>
      <c r="CN62">
        <v>0.30234830602221591</v>
      </c>
      <c r="CO62">
        <v>0.30303178441828255</v>
      </c>
      <c r="CP62">
        <v>0.33928006322176185</v>
      </c>
      <c r="CQ62">
        <v>0.34125707468419869</v>
      </c>
      <c r="CR62">
        <v>0.25898182766438993</v>
      </c>
      <c r="CS62">
        <v>0.21700441079128396</v>
      </c>
      <c r="CT62">
        <v>0.17746085296070829</v>
      </c>
      <c r="CU62">
        <v>0.20714248142548938</v>
      </c>
      <c r="CV62">
        <v>0.24164759715831902</v>
      </c>
      <c r="CW62">
        <v>0.2516713314590816</v>
      </c>
      <c r="CX62">
        <v>0.35817513137331747</v>
      </c>
      <c r="CY62">
        <v>0.34036824002318716</v>
      </c>
      <c r="CZ62">
        <v>0.31511486526210875</v>
      </c>
      <c r="DA62">
        <v>0.33913130892262422</v>
      </c>
      <c r="DB62">
        <v>0.36086880699602852</v>
      </c>
      <c r="DC62">
        <v>0.35893879374357279</v>
      </c>
      <c r="DE62" t="s">
        <v>182</v>
      </c>
      <c r="DF62" t="s">
        <v>111</v>
      </c>
      <c r="DG62" t="s">
        <v>112</v>
      </c>
      <c r="DH62">
        <v>0.25106426361902789</v>
      </c>
    </row>
    <row r="63" spans="2:112" x14ac:dyDescent="0.45">
      <c r="B63" t="s">
        <v>155</v>
      </c>
      <c r="C63" t="s">
        <v>107</v>
      </c>
      <c r="D63">
        <v>0.3261034498443503</v>
      </c>
      <c r="E63">
        <v>0.33178587211145072</v>
      </c>
      <c r="F63">
        <v>0.34795978592000515</v>
      </c>
      <c r="G63">
        <v>0.37667299351780048</v>
      </c>
      <c r="H63">
        <v>0.36457161793525866</v>
      </c>
      <c r="I63">
        <v>0.32316192507945413</v>
      </c>
      <c r="J63">
        <v>0.27785000348943356</v>
      </c>
      <c r="K63">
        <v>0.30256523235671795</v>
      </c>
      <c r="L63">
        <v>0.37802190940410857</v>
      </c>
      <c r="M63">
        <v>0.38679199440228884</v>
      </c>
      <c r="N63">
        <v>0.35258906653528255</v>
      </c>
      <c r="O63">
        <v>0.31066914407993507</v>
      </c>
      <c r="P63">
        <v>0.2866637231656759</v>
      </c>
      <c r="Q63">
        <v>0.33123327424934623</v>
      </c>
      <c r="R63">
        <v>0.40908289648034185</v>
      </c>
      <c r="S63">
        <v>0.38324331224393893</v>
      </c>
      <c r="T63">
        <v>0.34964484291510922</v>
      </c>
      <c r="U63">
        <v>0.31753715316749886</v>
      </c>
      <c r="V63">
        <v>0.32688660571618816</v>
      </c>
      <c r="W63">
        <v>0.35305819560974738</v>
      </c>
      <c r="X63">
        <v>0.38406297872897949</v>
      </c>
      <c r="Y63">
        <v>0.39999796934842918</v>
      </c>
      <c r="Z63">
        <v>0.38603512420842695</v>
      </c>
      <c r="AA63">
        <v>0.35185045117914859</v>
      </c>
      <c r="CE63" t="s">
        <v>155</v>
      </c>
      <c r="CF63">
        <v>0.34360099208763317</v>
      </c>
      <c r="CG63">
        <v>0.33627461726933511</v>
      </c>
      <c r="CH63">
        <v>0.32020986276710833</v>
      </c>
      <c r="CI63">
        <v>0.30309444577928613</v>
      </c>
      <c r="CJ63">
        <v>0.31783496708213943</v>
      </c>
      <c r="CK63">
        <v>0.33265675312026288</v>
      </c>
      <c r="CL63">
        <v>0.25727332252646401</v>
      </c>
      <c r="CM63">
        <v>0.24944832975862971</v>
      </c>
      <c r="CN63">
        <v>0.21158120360244989</v>
      </c>
      <c r="CO63">
        <v>0.19867273030716934</v>
      </c>
      <c r="CP63">
        <v>0.23617404046304802</v>
      </c>
      <c r="CQ63">
        <v>0.24550764005693645</v>
      </c>
      <c r="CR63">
        <v>0.18648189173910409</v>
      </c>
      <c r="CS63">
        <v>0.14590336420688246</v>
      </c>
      <c r="CT63">
        <v>0.1127457506645401</v>
      </c>
      <c r="CU63">
        <v>0.14527412052741612</v>
      </c>
      <c r="CV63">
        <v>0.16610172456440242</v>
      </c>
      <c r="CW63">
        <v>0.16096132129405991</v>
      </c>
      <c r="CX63">
        <v>0.31119870080134032</v>
      </c>
      <c r="CY63">
        <v>0.29433132759604941</v>
      </c>
      <c r="CZ63">
        <v>0.26748389599653688</v>
      </c>
      <c r="DA63">
        <v>0.26799752437542429</v>
      </c>
      <c r="DB63">
        <v>0.28067659972393932</v>
      </c>
      <c r="DC63">
        <v>0.29647390995520573</v>
      </c>
      <c r="DE63" t="s">
        <v>183</v>
      </c>
      <c r="DF63" t="s">
        <v>111</v>
      </c>
      <c r="DG63" t="s">
        <v>112</v>
      </c>
      <c r="DH63">
        <v>0.20835416639994023</v>
      </c>
    </row>
    <row r="64" spans="2:112" x14ac:dyDescent="0.45">
      <c r="B64" t="s">
        <v>157</v>
      </c>
      <c r="C64" t="s">
        <v>107</v>
      </c>
      <c r="D64">
        <v>0.33976358563691378</v>
      </c>
      <c r="E64">
        <v>0.34679106790737035</v>
      </c>
      <c r="F64">
        <v>0.37374500149426104</v>
      </c>
      <c r="G64">
        <v>0.40559491936593495</v>
      </c>
      <c r="H64">
        <v>0.37840081917316076</v>
      </c>
      <c r="I64">
        <v>0.34095105766444528</v>
      </c>
      <c r="J64">
        <v>0.27584198835227702</v>
      </c>
      <c r="K64">
        <v>0.29020569082485842</v>
      </c>
      <c r="L64">
        <v>0.37028140362826661</v>
      </c>
      <c r="M64">
        <v>0.38014148425971694</v>
      </c>
      <c r="N64">
        <v>0.33999590104341976</v>
      </c>
      <c r="O64">
        <v>0.31632989578280152</v>
      </c>
      <c r="P64">
        <v>0.29237862342030996</v>
      </c>
      <c r="Q64">
        <v>0.33908267298421119</v>
      </c>
      <c r="R64">
        <v>0.4198490995762279</v>
      </c>
      <c r="S64">
        <v>0.40981074116849581</v>
      </c>
      <c r="T64">
        <v>0.38724218854967746</v>
      </c>
      <c r="U64">
        <v>0.32986479294652138</v>
      </c>
      <c r="V64">
        <v>0.34586469769457828</v>
      </c>
      <c r="W64">
        <v>0.36774333656005737</v>
      </c>
      <c r="X64">
        <v>0.39792315345875873</v>
      </c>
      <c r="Y64">
        <v>0.39428711557119317</v>
      </c>
      <c r="Z64">
        <v>0.3815134729133654</v>
      </c>
      <c r="AA64">
        <v>0.34576994258473909</v>
      </c>
      <c r="CE64" t="s">
        <v>157</v>
      </c>
      <c r="CF64">
        <v>0.35051927762129398</v>
      </c>
      <c r="CG64">
        <v>0.33870163511019397</v>
      </c>
      <c r="CH64">
        <v>0.31383190255151028</v>
      </c>
      <c r="CI64">
        <v>0.29000808896567515</v>
      </c>
      <c r="CJ64">
        <v>0.31774746586916452</v>
      </c>
      <c r="CK64">
        <v>0.34836467962735196</v>
      </c>
      <c r="CL64">
        <v>0.2848261217717965</v>
      </c>
      <c r="CM64">
        <v>0.26421171086931111</v>
      </c>
      <c r="CN64">
        <v>0.21904410427731158</v>
      </c>
      <c r="CO64">
        <v>0.21149919763122219</v>
      </c>
      <c r="CP64">
        <v>0.23960586888339092</v>
      </c>
      <c r="CQ64">
        <v>0.25242995517741101</v>
      </c>
      <c r="CR64">
        <v>0.22175237044117216</v>
      </c>
      <c r="CS64">
        <v>0.17330895349771805</v>
      </c>
      <c r="CT64">
        <v>0.12738323905382781</v>
      </c>
      <c r="CU64">
        <v>0.14330550026022634</v>
      </c>
      <c r="CV64">
        <v>0.17153749600973212</v>
      </c>
      <c r="CW64">
        <v>0.17821128369941203</v>
      </c>
      <c r="CX64">
        <v>0.33221640358413113</v>
      </c>
      <c r="CY64">
        <v>0.30585862495498772</v>
      </c>
      <c r="CZ64">
        <v>0.27852359169301588</v>
      </c>
      <c r="DA64">
        <v>0.27676390323145056</v>
      </c>
      <c r="DB64">
        <v>0.2971956534660527</v>
      </c>
      <c r="DC64">
        <v>0.32493288733852205</v>
      </c>
      <c r="DE64" t="s">
        <v>184</v>
      </c>
      <c r="DF64" t="s">
        <v>111</v>
      </c>
      <c r="DG64" t="s">
        <v>112</v>
      </c>
      <c r="DH64">
        <v>0.19326752177645481</v>
      </c>
    </row>
    <row r="65" spans="2:112" x14ac:dyDescent="0.45">
      <c r="B65" t="s">
        <v>159</v>
      </c>
      <c r="C65" t="s">
        <v>107</v>
      </c>
      <c r="D65">
        <v>0.29172047749701246</v>
      </c>
      <c r="E65">
        <v>0.30021927782353741</v>
      </c>
      <c r="F65">
        <v>0.31856673221767395</v>
      </c>
      <c r="G65">
        <v>0.36462404987902092</v>
      </c>
      <c r="H65">
        <v>0.34396960842177809</v>
      </c>
      <c r="I65">
        <v>0.29639881934011314</v>
      </c>
      <c r="J65">
        <v>0.26290875924275126</v>
      </c>
      <c r="K65">
        <v>0.26218698262028917</v>
      </c>
      <c r="L65">
        <v>0.31185161949647222</v>
      </c>
      <c r="M65">
        <v>0.32160724491615472</v>
      </c>
      <c r="N65">
        <v>0.30078939823618467</v>
      </c>
      <c r="O65">
        <v>0.28095052292171618</v>
      </c>
      <c r="P65">
        <v>0.27694863647525075</v>
      </c>
      <c r="Q65">
        <v>0.32379483839442003</v>
      </c>
      <c r="R65">
        <v>0.38233175973934425</v>
      </c>
      <c r="S65">
        <v>0.34251002547719811</v>
      </c>
      <c r="T65">
        <v>0.32094218510320482</v>
      </c>
      <c r="U65">
        <v>0.3052576365430581</v>
      </c>
      <c r="V65">
        <v>0.3190575628178961</v>
      </c>
      <c r="W65">
        <v>0.32643602734367017</v>
      </c>
      <c r="X65">
        <v>0.35605475116960361</v>
      </c>
      <c r="Y65">
        <v>0.35358140356907014</v>
      </c>
      <c r="Z65">
        <v>0.3406263520782305</v>
      </c>
      <c r="AA65">
        <v>0.31887851529817601</v>
      </c>
      <c r="CE65" t="s">
        <v>159</v>
      </c>
      <c r="CF65">
        <v>0.42622868268163383</v>
      </c>
      <c r="CG65">
        <v>0.40822507646734402</v>
      </c>
      <c r="CH65">
        <v>0.38971454846032544</v>
      </c>
      <c r="CI65">
        <v>0.36878469255955121</v>
      </c>
      <c r="CJ65">
        <v>0.38683289560318462</v>
      </c>
      <c r="CK65">
        <v>0.4163167826958275</v>
      </c>
      <c r="CL65">
        <v>0.33950108468322271</v>
      </c>
      <c r="CM65">
        <v>0.32795804981785315</v>
      </c>
      <c r="CN65">
        <v>0.29734589699416186</v>
      </c>
      <c r="CO65">
        <v>0.30161796990318079</v>
      </c>
      <c r="CP65">
        <v>0.32321717080861834</v>
      </c>
      <c r="CQ65">
        <v>0.31462537326208512</v>
      </c>
      <c r="CR65">
        <v>0.2752858765826296</v>
      </c>
      <c r="CS65">
        <v>0.2172140702695545</v>
      </c>
      <c r="CT65">
        <v>0.18125219952039071</v>
      </c>
      <c r="CU65">
        <v>0.20397520326012902</v>
      </c>
      <c r="CV65">
        <v>0.23665739725603566</v>
      </c>
      <c r="CW65">
        <v>0.24702806860417945</v>
      </c>
      <c r="CX65">
        <v>0.37550733449663198</v>
      </c>
      <c r="CY65">
        <v>0.35471409788136526</v>
      </c>
      <c r="CZ65">
        <v>0.32908824332564773</v>
      </c>
      <c r="DA65">
        <v>0.34657817184840517</v>
      </c>
      <c r="DB65">
        <v>0.36615993329297275</v>
      </c>
      <c r="DC65">
        <v>0.3788976580757033</v>
      </c>
      <c r="DE65" t="s">
        <v>185</v>
      </c>
      <c r="DF65" t="s">
        <v>111</v>
      </c>
      <c r="DG65" t="s">
        <v>112</v>
      </c>
      <c r="DH65">
        <v>0.27527382687297064</v>
      </c>
    </row>
    <row r="66" spans="2:112" x14ac:dyDescent="0.45">
      <c r="B66" t="s">
        <v>161</v>
      </c>
      <c r="C66" t="s">
        <v>107</v>
      </c>
      <c r="D66">
        <v>0.31401005346942129</v>
      </c>
      <c r="E66">
        <v>0.32556342167554242</v>
      </c>
      <c r="F66">
        <v>0.35004629110220181</v>
      </c>
      <c r="G66">
        <v>0.39267204623055935</v>
      </c>
      <c r="H66">
        <v>0.36643058040013621</v>
      </c>
      <c r="I66">
        <v>0.31039570931112109</v>
      </c>
      <c r="J66">
        <v>0.30209386013263884</v>
      </c>
      <c r="K66">
        <v>0.30781249779616809</v>
      </c>
      <c r="L66">
        <v>0.34890119632284083</v>
      </c>
      <c r="M66">
        <v>0.3298112967112764</v>
      </c>
      <c r="N66">
        <v>0.32535928256460434</v>
      </c>
      <c r="O66">
        <v>0.32181594168428607</v>
      </c>
      <c r="P66">
        <v>0.29974187113209511</v>
      </c>
      <c r="Q66">
        <v>0.31393288692658966</v>
      </c>
      <c r="R66">
        <v>0.39020997845181593</v>
      </c>
      <c r="S66">
        <v>0.39362882124158616</v>
      </c>
      <c r="T66">
        <v>0.36765164952045737</v>
      </c>
      <c r="U66">
        <v>0.33958168407936856</v>
      </c>
      <c r="V66">
        <v>0.31764987271253964</v>
      </c>
      <c r="W66">
        <v>0.3501923342947374</v>
      </c>
      <c r="X66">
        <v>0.39217364568318602</v>
      </c>
      <c r="Y66">
        <v>0.37366075916477587</v>
      </c>
      <c r="Z66">
        <v>0.35735997845884021</v>
      </c>
      <c r="AA66">
        <v>0.33083211058813305</v>
      </c>
      <c r="CE66" t="s">
        <v>161</v>
      </c>
      <c r="CF66">
        <v>0.40077796445000979</v>
      </c>
      <c r="CG66">
        <v>0.38425179222013867</v>
      </c>
      <c r="CH66">
        <v>0.35614149563018632</v>
      </c>
      <c r="CI66">
        <v>0.33861508457181055</v>
      </c>
      <c r="CJ66">
        <v>0.35384122520751582</v>
      </c>
      <c r="CK66">
        <v>0.39423450830607665</v>
      </c>
      <c r="CL66">
        <v>0.30956119698836615</v>
      </c>
      <c r="CM66">
        <v>0.30697518580495808</v>
      </c>
      <c r="CN66">
        <v>0.26480771681720844</v>
      </c>
      <c r="CO66">
        <v>0.25283178682512003</v>
      </c>
      <c r="CP66">
        <v>0.28206506093848316</v>
      </c>
      <c r="CQ66">
        <v>0.28875375709533652</v>
      </c>
      <c r="CR66">
        <v>0.24367694822633865</v>
      </c>
      <c r="CS66">
        <v>0.20293066535314228</v>
      </c>
      <c r="CT66">
        <v>0.15624678822602964</v>
      </c>
      <c r="CU66">
        <v>0.16322417455006138</v>
      </c>
      <c r="CV66">
        <v>0.18251475769905107</v>
      </c>
      <c r="CW66">
        <v>0.1924498917562153</v>
      </c>
      <c r="CX66">
        <v>0.36939519444271807</v>
      </c>
      <c r="CY66">
        <v>0.34097449431121513</v>
      </c>
      <c r="CZ66">
        <v>0.31252665166320714</v>
      </c>
      <c r="DA66">
        <v>0.31534460898180688</v>
      </c>
      <c r="DB66">
        <v>0.33768928451890301</v>
      </c>
      <c r="DC66">
        <v>0.37235067318955262</v>
      </c>
      <c r="DE66" t="s">
        <v>186</v>
      </c>
      <c r="DF66" t="s">
        <v>111</v>
      </c>
      <c r="DG66" t="s">
        <v>112</v>
      </c>
      <c r="DH66">
        <v>0.23801385003215766</v>
      </c>
    </row>
    <row r="67" spans="2:112" x14ac:dyDescent="0.45">
      <c r="B67" t="s">
        <v>163</v>
      </c>
      <c r="C67" t="s">
        <v>107</v>
      </c>
      <c r="D67">
        <v>0.35085466643258817</v>
      </c>
      <c r="E67">
        <v>0.35584313258543249</v>
      </c>
      <c r="F67">
        <v>0.38357671065126087</v>
      </c>
      <c r="G67">
        <v>0.40614922901644807</v>
      </c>
      <c r="H67">
        <v>0.37824256114696625</v>
      </c>
      <c r="I67">
        <v>0.34275357088019898</v>
      </c>
      <c r="J67">
        <v>0.29915077521388006</v>
      </c>
      <c r="K67">
        <v>0.31060271510642784</v>
      </c>
      <c r="L67">
        <v>0.38672082703907296</v>
      </c>
      <c r="M67">
        <v>0.40480406014985121</v>
      </c>
      <c r="N67">
        <v>0.36538177672443339</v>
      </c>
      <c r="O67">
        <v>0.32415778091067049</v>
      </c>
      <c r="P67">
        <v>0.30564889737507406</v>
      </c>
      <c r="Q67">
        <v>0.3456517646901886</v>
      </c>
      <c r="R67">
        <v>0.41259965847243335</v>
      </c>
      <c r="S67">
        <v>0.42309828721065901</v>
      </c>
      <c r="T67">
        <v>0.39511573700268465</v>
      </c>
      <c r="U67">
        <v>0.33043386068899105</v>
      </c>
      <c r="V67">
        <v>0.34061884937362952</v>
      </c>
      <c r="W67">
        <v>0.35998392456449768</v>
      </c>
      <c r="X67">
        <v>0.41198142830424622</v>
      </c>
      <c r="Y67">
        <v>0.40824030176782133</v>
      </c>
      <c r="Z67">
        <v>0.38654253734594551</v>
      </c>
      <c r="AA67">
        <v>0.34503620824219922</v>
      </c>
      <c r="CE67" t="s">
        <v>163</v>
      </c>
      <c r="CF67">
        <v>0.33439060197428233</v>
      </c>
      <c r="CG67">
        <v>0.33247253388340131</v>
      </c>
      <c r="CH67">
        <v>0.30670366980525238</v>
      </c>
      <c r="CI67">
        <v>0.27281118777263441</v>
      </c>
      <c r="CJ67">
        <v>0.29722197086182123</v>
      </c>
      <c r="CK67">
        <v>0.33390041141376769</v>
      </c>
      <c r="CL67">
        <v>0.26954049459222806</v>
      </c>
      <c r="CM67">
        <v>0.26920383439122814</v>
      </c>
      <c r="CN67">
        <v>0.22279135986543247</v>
      </c>
      <c r="CO67">
        <v>0.20713133760103891</v>
      </c>
      <c r="CP67">
        <v>0.2302894918030032</v>
      </c>
      <c r="CQ67">
        <v>0.23935499046329109</v>
      </c>
      <c r="CR67">
        <v>0.20032204792399938</v>
      </c>
      <c r="CS67">
        <v>0.16167062214119365</v>
      </c>
      <c r="CT67">
        <v>0.11731982906943182</v>
      </c>
      <c r="CU67">
        <v>0.12928857308304956</v>
      </c>
      <c r="CV67">
        <v>0.14305573027342566</v>
      </c>
      <c r="CW67">
        <v>0.15039536568635112</v>
      </c>
      <c r="CX67">
        <v>0.31861690505218759</v>
      </c>
      <c r="CY67">
        <v>0.29675985893393025</v>
      </c>
      <c r="CZ67">
        <v>0.26024584105391568</v>
      </c>
      <c r="DA67">
        <v>0.2538245304758654</v>
      </c>
      <c r="DB67">
        <v>0.27076866341917577</v>
      </c>
      <c r="DC67">
        <v>0.30364524187166769</v>
      </c>
      <c r="DE67" t="s">
        <v>187</v>
      </c>
      <c r="DF67" t="s">
        <v>111</v>
      </c>
      <c r="DG67" t="s">
        <v>112</v>
      </c>
      <c r="DH67">
        <v>0.19671293182428129</v>
      </c>
    </row>
    <row r="68" spans="2:112" x14ac:dyDescent="0.45">
      <c r="B68" t="s">
        <v>165</v>
      </c>
      <c r="C68" t="s">
        <v>107</v>
      </c>
      <c r="D68">
        <v>0.41604435013421992</v>
      </c>
      <c r="E68">
        <v>0.43416149897434292</v>
      </c>
      <c r="F68">
        <v>0.43755433241071678</v>
      </c>
      <c r="G68">
        <v>0.43672689474995396</v>
      </c>
      <c r="H68">
        <v>0.43334410489925673</v>
      </c>
      <c r="I68">
        <v>0.42326623736031271</v>
      </c>
      <c r="J68">
        <v>0.32267645461831573</v>
      </c>
      <c r="K68">
        <v>0.33301608418232576</v>
      </c>
      <c r="L68">
        <v>0.34363877200152054</v>
      </c>
      <c r="M68">
        <v>0.32347837446610944</v>
      </c>
      <c r="N68">
        <v>0.31450272366964371</v>
      </c>
      <c r="O68">
        <v>0.31861467116745329</v>
      </c>
      <c r="P68">
        <v>0.43774033863845579</v>
      </c>
      <c r="Q68">
        <v>0.47116899103037985</v>
      </c>
      <c r="R68">
        <v>0.43913141514527981</v>
      </c>
      <c r="S68">
        <v>0.37285821887491588</v>
      </c>
      <c r="T68">
        <v>0.34487919738324241</v>
      </c>
      <c r="U68">
        <v>0.36570421980196688</v>
      </c>
      <c r="V68">
        <v>0.38367569208436425</v>
      </c>
      <c r="W68">
        <v>0.40358228698617216</v>
      </c>
      <c r="X68">
        <v>0.40595986252136573</v>
      </c>
      <c r="Y68">
        <v>0.39099574702083573</v>
      </c>
      <c r="Z68">
        <v>0.36371966935491018</v>
      </c>
      <c r="AA68">
        <v>0.36518284061177753</v>
      </c>
      <c r="CE68" t="s">
        <v>165</v>
      </c>
      <c r="CF68">
        <v>0.18403785879144441</v>
      </c>
      <c r="CG68">
        <v>0.18443843240169583</v>
      </c>
      <c r="CH68">
        <v>0.19346468613824058</v>
      </c>
      <c r="CI68">
        <v>0.20673852399642639</v>
      </c>
      <c r="CJ68">
        <v>0.21047580138957644</v>
      </c>
      <c r="CK68">
        <v>0.19638363377477161</v>
      </c>
      <c r="CL68">
        <v>0.24300918592369708</v>
      </c>
      <c r="CM68">
        <v>0.23371246789678574</v>
      </c>
      <c r="CN68">
        <v>0.23783802393594897</v>
      </c>
      <c r="CO68">
        <v>0.25673257078397088</v>
      </c>
      <c r="CP68">
        <v>0.27456372036248317</v>
      </c>
      <c r="CQ68">
        <v>0.26043714519998173</v>
      </c>
      <c r="CR68">
        <v>8.1463057421750029E-2</v>
      </c>
      <c r="CS68">
        <v>7.183687170054591E-2</v>
      </c>
      <c r="CT68">
        <v>7.5562274669672844E-2</v>
      </c>
      <c r="CU68">
        <v>9.9037362912544294E-2</v>
      </c>
      <c r="CV68">
        <v>0.11495681275521941</v>
      </c>
      <c r="CW68">
        <v>9.5167907205015057E-2</v>
      </c>
      <c r="CX68">
        <v>0.2109896161524063</v>
      </c>
      <c r="CY68">
        <v>0.20410853421606154</v>
      </c>
      <c r="CZ68">
        <v>0.20316398068898214</v>
      </c>
      <c r="DA68">
        <v>0.21297203575612164</v>
      </c>
      <c r="DB68">
        <v>0.21836906739140857</v>
      </c>
      <c r="DC68">
        <v>0.21762474708196142</v>
      </c>
      <c r="DE68" t="s">
        <v>188</v>
      </c>
      <c r="DF68" t="s">
        <v>111</v>
      </c>
      <c r="DG68" t="s">
        <v>112</v>
      </c>
      <c r="DH68">
        <v>0.22753310295203288</v>
      </c>
    </row>
    <row r="69" spans="2:112" x14ac:dyDescent="0.45">
      <c r="B69" t="s">
        <v>167</v>
      </c>
      <c r="C69" t="s">
        <v>107</v>
      </c>
      <c r="D69">
        <v>0.44601208578245888</v>
      </c>
      <c r="E69">
        <v>0.46341764497955401</v>
      </c>
      <c r="F69">
        <v>0.48251949036554287</v>
      </c>
      <c r="G69">
        <v>0.49192044210722885</v>
      </c>
      <c r="H69">
        <v>0.45553265244478464</v>
      </c>
      <c r="I69">
        <v>0.43419536648695084</v>
      </c>
      <c r="J69">
        <v>0.40635918692435252</v>
      </c>
      <c r="K69">
        <v>0.45247633199905724</v>
      </c>
      <c r="L69">
        <v>0.42884046844206286</v>
      </c>
      <c r="M69">
        <v>0.36798420490121619</v>
      </c>
      <c r="N69">
        <v>0.32995655240894411</v>
      </c>
      <c r="O69">
        <v>0.32830069853689192</v>
      </c>
      <c r="P69">
        <v>0.51679143267752947</v>
      </c>
      <c r="Q69">
        <v>0.55160441797352899</v>
      </c>
      <c r="R69">
        <v>0.52829742324693041</v>
      </c>
      <c r="S69">
        <v>0.4887526102406699</v>
      </c>
      <c r="T69">
        <v>0.45140406667375654</v>
      </c>
      <c r="U69">
        <v>0.46667788727666182</v>
      </c>
      <c r="V69">
        <v>0.47505591681632869</v>
      </c>
      <c r="W69">
        <v>0.48218757802614043</v>
      </c>
      <c r="X69">
        <v>0.47629190833279961</v>
      </c>
      <c r="Y69">
        <v>0.47316095049843854</v>
      </c>
      <c r="Z69">
        <v>0.43591425466341571</v>
      </c>
      <c r="AA69">
        <v>0.44125839574822912</v>
      </c>
      <c r="CE69" t="s">
        <v>167</v>
      </c>
      <c r="CF69">
        <v>0.26046904611353366</v>
      </c>
      <c r="CG69">
        <v>0.27929842336163302</v>
      </c>
      <c r="CH69">
        <v>0.25788139189125014</v>
      </c>
      <c r="CI69">
        <v>0.26041875565945533</v>
      </c>
      <c r="CJ69">
        <v>0.28432649706705887</v>
      </c>
      <c r="CK69">
        <v>0.28746736972282283</v>
      </c>
      <c r="CL69">
        <v>0.30316115505749375</v>
      </c>
      <c r="CM69">
        <v>0.28165077119641746</v>
      </c>
      <c r="CN69">
        <v>0.29822445163341099</v>
      </c>
      <c r="CO69">
        <v>0.36215995048435518</v>
      </c>
      <c r="CP69">
        <v>0.40479124993016163</v>
      </c>
      <c r="CQ69">
        <v>0.38532334942237639</v>
      </c>
      <c r="CR69">
        <v>0.13920837840822867</v>
      </c>
      <c r="CS69">
        <v>9.2667875739734215E-2</v>
      </c>
      <c r="CT69">
        <v>0.10443658787007921</v>
      </c>
      <c r="CU69">
        <v>0.14438148784669688</v>
      </c>
      <c r="CV69">
        <v>0.18109582541767222</v>
      </c>
      <c r="CW69">
        <v>0.18437821383891215</v>
      </c>
      <c r="CX69">
        <v>0.29068363265832392</v>
      </c>
      <c r="CY69">
        <v>0.26065153884587589</v>
      </c>
      <c r="CZ69">
        <v>0.24963435625435915</v>
      </c>
      <c r="DA69">
        <v>0.27381009075232848</v>
      </c>
      <c r="DB69">
        <v>0.30946694762726612</v>
      </c>
      <c r="DC69">
        <v>0.31669593025575582</v>
      </c>
      <c r="DE69" t="s">
        <v>144</v>
      </c>
      <c r="DF69" t="s">
        <v>111</v>
      </c>
      <c r="DG69" t="s">
        <v>112</v>
      </c>
      <c r="DH69">
        <v>0.57123219220871957</v>
      </c>
    </row>
    <row r="70" spans="2:112" x14ac:dyDescent="0.45">
      <c r="B70" t="s">
        <v>169</v>
      </c>
      <c r="C70" t="s">
        <v>107</v>
      </c>
      <c r="D70">
        <v>0.56665974005090614</v>
      </c>
      <c r="E70">
        <v>0.58385116239091339</v>
      </c>
      <c r="F70">
        <v>0.6091131630453176</v>
      </c>
      <c r="G70">
        <v>0.59161338028961241</v>
      </c>
      <c r="H70">
        <v>0.53317688707880184</v>
      </c>
      <c r="I70">
        <v>0.54387495907985062</v>
      </c>
      <c r="J70">
        <v>0.4996572752730693</v>
      </c>
      <c r="K70">
        <v>0.51743727942233653</v>
      </c>
      <c r="L70">
        <v>0.49868989181111356</v>
      </c>
      <c r="M70">
        <v>0.45478825880414686</v>
      </c>
      <c r="N70">
        <v>0.43841707216495945</v>
      </c>
      <c r="O70">
        <v>0.43943567393957178</v>
      </c>
      <c r="P70">
        <v>0.59465239972997297</v>
      </c>
      <c r="Q70">
        <v>0.58017037272725802</v>
      </c>
      <c r="R70">
        <v>0.56961177185283629</v>
      </c>
      <c r="S70">
        <v>0.45030299280660613</v>
      </c>
      <c r="T70">
        <v>0.44591521135936463</v>
      </c>
      <c r="U70">
        <v>0.51341883434724922</v>
      </c>
      <c r="V70">
        <v>0.54709106187885881</v>
      </c>
      <c r="W70">
        <v>0.5390665173025776</v>
      </c>
      <c r="X70">
        <v>0.5268878531542136</v>
      </c>
      <c r="Y70">
        <v>0.5078788384546532</v>
      </c>
      <c r="Z70">
        <v>0.49451968341376068</v>
      </c>
      <c r="AA70">
        <v>0.51542963200479741</v>
      </c>
      <c r="CE70" t="s">
        <v>169</v>
      </c>
      <c r="CF70">
        <v>0.14483581702414611</v>
      </c>
      <c r="CG70">
        <v>0.16778055731710606</v>
      </c>
      <c r="CH70">
        <v>0.15499250288609812</v>
      </c>
      <c r="CI70">
        <v>0.16563971021597293</v>
      </c>
      <c r="CJ70">
        <v>0.17486340147137189</v>
      </c>
      <c r="CK70">
        <v>0.15955075380072947</v>
      </c>
      <c r="CL70">
        <v>0.21344686801881058</v>
      </c>
      <c r="CM70">
        <v>0.19567306138383439</v>
      </c>
      <c r="CN70">
        <v>0.20238673678349198</v>
      </c>
      <c r="CO70">
        <v>0.2476745116828529</v>
      </c>
      <c r="CP70">
        <v>0.28001973944160341</v>
      </c>
      <c r="CQ70">
        <v>0.27112737010531363</v>
      </c>
      <c r="CR70">
        <v>6.6532401791568149E-2</v>
      </c>
      <c r="CS70">
        <v>4.5490850644366879E-2</v>
      </c>
      <c r="CT70">
        <v>5.1489509508192061E-2</v>
      </c>
      <c r="CU70">
        <v>7.6550653516854389E-2</v>
      </c>
      <c r="CV70">
        <v>8.5092757113842607E-2</v>
      </c>
      <c r="CW70">
        <v>8.3357015390231076E-2</v>
      </c>
      <c r="CX70">
        <v>0.21210051886690845</v>
      </c>
      <c r="CY70">
        <v>0.16905468520036232</v>
      </c>
      <c r="CZ70">
        <v>0.16607291282303058</v>
      </c>
      <c r="DA70">
        <v>0.19600837443011565</v>
      </c>
      <c r="DB70">
        <v>0.2348741247057384</v>
      </c>
      <c r="DC70">
        <v>0.24726943409078883</v>
      </c>
      <c r="DE70" t="s">
        <v>146</v>
      </c>
      <c r="DF70" t="s">
        <v>111</v>
      </c>
      <c r="DG70" t="s">
        <v>112</v>
      </c>
      <c r="DH70">
        <v>0.3161698833496917</v>
      </c>
    </row>
    <row r="71" spans="2:112" x14ac:dyDescent="0.45">
      <c r="B71" t="s">
        <v>171</v>
      </c>
      <c r="C71" t="s">
        <v>107</v>
      </c>
      <c r="D71">
        <v>0.5621529813881877</v>
      </c>
      <c r="E71">
        <v>0.54911145949367213</v>
      </c>
      <c r="F71">
        <v>0.57110643133196048</v>
      </c>
      <c r="G71">
        <v>0.58097496477812727</v>
      </c>
      <c r="H71">
        <v>0.57763897602657599</v>
      </c>
      <c r="I71">
        <v>0.57040450095802253</v>
      </c>
      <c r="J71">
        <v>0.57391716551819061</v>
      </c>
      <c r="K71">
        <v>0.56048795167546384</v>
      </c>
      <c r="L71">
        <v>0.49559258452744037</v>
      </c>
      <c r="M71">
        <v>0.47324970456010823</v>
      </c>
      <c r="N71">
        <v>0.50314423428438559</v>
      </c>
      <c r="O71">
        <v>0.57144365554964938</v>
      </c>
      <c r="P71">
        <v>0.53838692651713826</v>
      </c>
      <c r="Q71">
        <v>0.55098627165820602</v>
      </c>
      <c r="R71">
        <v>0.49853963731530393</v>
      </c>
      <c r="S71">
        <v>0.39260706788112648</v>
      </c>
      <c r="T71">
        <v>0.31794163095383721</v>
      </c>
      <c r="U71">
        <v>0.35284722554613185</v>
      </c>
      <c r="V71">
        <v>0.53140977027788117</v>
      </c>
      <c r="W71">
        <v>0.52667118752988507</v>
      </c>
      <c r="X71">
        <v>0.49664375340981137</v>
      </c>
      <c r="Y71">
        <v>0.45850015460999322</v>
      </c>
      <c r="Z71">
        <v>0.45874358033084461</v>
      </c>
      <c r="AA71">
        <v>0.52120535355305908</v>
      </c>
      <c r="CE71" t="s">
        <v>171</v>
      </c>
      <c r="CF71">
        <v>0.12045736951533602</v>
      </c>
      <c r="CG71">
        <v>0.13265110055023493</v>
      </c>
      <c r="CH71">
        <v>0.13081125789494427</v>
      </c>
      <c r="CI71">
        <v>0.11694433386049544</v>
      </c>
      <c r="CJ71">
        <v>0.11998695450947033</v>
      </c>
      <c r="CK71">
        <v>0.12434926159222852</v>
      </c>
      <c r="CL71">
        <v>0.1096973044178689</v>
      </c>
      <c r="CM71">
        <v>0.10334982212130538</v>
      </c>
      <c r="CN71">
        <v>0.10055542507409658</v>
      </c>
      <c r="CO71">
        <v>0.11549456467922858</v>
      </c>
      <c r="CP71">
        <v>0.12165368774878806</v>
      </c>
      <c r="CQ71">
        <v>0.10812974413325403</v>
      </c>
      <c r="CR71">
        <v>2.8525192673164976E-2</v>
      </c>
      <c r="CS71">
        <v>3.5807658124489848E-2</v>
      </c>
      <c r="CT71">
        <v>2.9234366111821779E-2</v>
      </c>
      <c r="CU71">
        <v>3.9425252707324165E-2</v>
      </c>
      <c r="CV71">
        <v>2.6273344349844949E-2</v>
      </c>
      <c r="CW71">
        <v>1.9470743552369971E-2</v>
      </c>
      <c r="CX71">
        <v>0.11930369084798807</v>
      </c>
      <c r="CY71">
        <v>0.11154671877994878</v>
      </c>
      <c r="CZ71">
        <v>9.5766283117146009E-2</v>
      </c>
      <c r="DA71">
        <v>0.10216764358192983</v>
      </c>
      <c r="DB71">
        <v>0.10958821466789605</v>
      </c>
      <c r="DC71">
        <v>0.11342138146611457</v>
      </c>
      <c r="DE71" t="s">
        <v>148</v>
      </c>
      <c r="DF71" t="s">
        <v>111</v>
      </c>
      <c r="DG71" t="s">
        <v>112</v>
      </c>
      <c r="DH71">
        <v>0.35143445077885643</v>
      </c>
    </row>
    <row r="72" spans="2:112" x14ac:dyDescent="0.45">
      <c r="B72" t="s">
        <v>173</v>
      </c>
      <c r="C72" t="s">
        <v>107</v>
      </c>
      <c r="D72">
        <v>0.33734554864633121</v>
      </c>
      <c r="E72">
        <v>0.35586506995241113</v>
      </c>
      <c r="F72">
        <v>0.39050602563421027</v>
      </c>
      <c r="G72">
        <v>0.4111530679193709</v>
      </c>
      <c r="H72">
        <v>0.36141748695650638</v>
      </c>
      <c r="I72">
        <v>0.33275340119451025</v>
      </c>
      <c r="J72">
        <v>0.38505820484957121</v>
      </c>
      <c r="K72">
        <v>0.40308484284962037</v>
      </c>
      <c r="L72">
        <v>0.45716029420082632</v>
      </c>
      <c r="M72">
        <v>0.41115846291754293</v>
      </c>
      <c r="N72">
        <v>0.38518788800124792</v>
      </c>
      <c r="O72">
        <v>0.38233419854265505</v>
      </c>
      <c r="P72">
        <v>0.40441922655093338</v>
      </c>
      <c r="Q72">
        <v>0.4456873707422383</v>
      </c>
      <c r="R72">
        <v>0.46538164016590988</v>
      </c>
      <c r="S72">
        <v>0.4408753526770694</v>
      </c>
      <c r="T72">
        <v>0.42302297691989388</v>
      </c>
      <c r="U72">
        <v>0.38372626188389808</v>
      </c>
      <c r="V72">
        <v>0.34868607433947901</v>
      </c>
      <c r="W72">
        <v>0.36006923967599752</v>
      </c>
      <c r="X72">
        <v>0.40049700127962645</v>
      </c>
      <c r="Y72">
        <v>0.38083997445714907</v>
      </c>
      <c r="Z72">
        <v>0.36697546967387035</v>
      </c>
      <c r="AA72">
        <v>0.34373735905640856</v>
      </c>
      <c r="CE72" t="s">
        <v>173</v>
      </c>
      <c r="CF72">
        <v>0.29283940769324324</v>
      </c>
      <c r="CG72">
        <v>0.2849093458959065</v>
      </c>
      <c r="CH72">
        <v>0.26680810871190719</v>
      </c>
      <c r="CI72">
        <v>0.27589700088609109</v>
      </c>
      <c r="CJ72">
        <v>0.29765982534181007</v>
      </c>
      <c r="CK72">
        <v>0.3141243955682797</v>
      </c>
      <c r="CL72">
        <v>0.19510713266169047</v>
      </c>
      <c r="CM72">
        <v>0.18099513828773278</v>
      </c>
      <c r="CN72">
        <v>0.19952602532878666</v>
      </c>
      <c r="CO72">
        <v>0.23259264760504694</v>
      </c>
      <c r="CP72">
        <v>0.25616872826454717</v>
      </c>
      <c r="CQ72">
        <v>0.23733562412417561</v>
      </c>
      <c r="CR72">
        <v>0.19048318547496396</v>
      </c>
      <c r="CS72">
        <v>0.15959915954078718</v>
      </c>
      <c r="CT72">
        <v>0.171036589316062</v>
      </c>
      <c r="CU72">
        <v>0.19362217970392387</v>
      </c>
      <c r="CV72">
        <v>0.21558384488125126</v>
      </c>
      <c r="CW72">
        <v>0.20962715369880708</v>
      </c>
      <c r="CX72">
        <v>0.25090516463718365</v>
      </c>
      <c r="CY72">
        <v>0.23949786663195161</v>
      </c>
      <c r="CZ72">
        <v>0.22719113795963977</v>
      </c>
      <c r="DA72">
        <v>0.25154844656441655</v>
      </c>
      <c r="DB72">
        <v>0.26138100158021838</v>
      </c>
      <c r="DC72">
        <v>0.26178801637008109</v>
      </c>
      <c r="DE72" t="s">
        <v>150</v>
      </c>
      <c r="DF72" t="s">
        <v>111</v>
      </c>
      <c r="DG72" t="s">
        <v>112</v>
      </c>
      <c r="DH72">
        <v>0.37180093701949324</v>
      </c>
    </row>
    <row r="73" spans="2:112" x14ac:dyDescent="0.45">
      <c r="B73" t="s">
        <v>175</v>
      </c>
      <c r="C73" t="s">
        <v>107</v>
      </c>
      <c r="D73">
        <v>0.42378196496507958</v>
      </c>
      <c r="E73">
        <v>0.45866385145116267</v>
      </c>
      <c r="F73">
        <v>0.50652465918415102</v>
      </c>
      <c r="G73">
        <v>0.53399363084373108</v>
      </c>
      <c r="H73">
        <v>0.48678792738100241</v>
      </c>
      <c r="I73">
        <v>0.44662424772612547</v>
      </c>
      <c r="J73">
        <v>0.49337973875774371</v>
      </c>
      <c r="K73">
        <v>0.49698738079702298</v>
      </c>
      <c r="L73">
        <v>0.51389516701367233</v>
      </c>
      <c r="M73">
        <v>0.44458847178152355</v>
      </c>
      <c r="N73">
        <v>0.38495123309703261</v>
      </c>
      <c r="O73">
        <v>0.40794447737387018</v>
      </c>
      <c r="P73">
        <v>0.53238731088812341</v>
      </c>
      <c r="Q73">
        <v>0.55034698672275995</v>
      </c>
      <c r="R73">
        <v>0.56898199159754692</v>
      </c>
      <c r="S73">
        <v>0.46599696017108722</v>
      </c>
      <c r="T73">
        <v>0.40808800423875125</v>
      </c>
      <c r="U73">
        <v>0.40346195231322812</v>
      </c>
      <c r="V73">
        <v>0.44070878207559466</v>
      </c>
      <c r="W73">
        <v>0.45771689139553412</v>
      </c>
      <c r="X73">
        <v>0.46685894379028658</v>
      </c>
      <c r="Y73">
        <v>0.45906619605071874</v>
      </c>
      <c r="Z73">
        <v>0.41620354334271997</v>
      </c>
      <c r="AA73">
        <v>0.40252548523456533</v>
      </c>
      <c r="CE73" t="s">
        <v>175</v>
      </c>
      <c r="CF73">
        <v>0.21415728667916908</v>
      </c>
      <c r="CG73">
        <v>0.21120252129544859</v>
      </c>
      <c r="CH73">
        <v>0.1923324276949972</v>
      </c>
      <c r="CI73">
        <v>0.20724501650184582</v>
      </c>
      <c r="CJ73">
        <v>0.23668339810230671</v>
      </c>
      <c r="CK73">
        <v>0.23642884956278407</v>
      </c>
      <c r="CL73">
        <v>0.18603952157191117</v>
      </c>
      <c r="CM73">
        <v>0.1734377287891555</v>
      </c>
      <c r="CN73">
        <v>0.19449826586393398</v>
      </c>
      <c r="CO73">
        <v>0.25596305763051375</v>
      </c>
      <c r="CP73">
        <v>0.28650123314212911</v>
      </c>
      <c r="CQ73">
        <v>0.25205117821617512</v>
      </c>
      <c r="CR73">
        <v>0.11793197502628139</v>
      </c>
      <c r="CS73">
        <v>7.8889002392736024E-2</v>
      </c>
      <c r="CT73">
        <v>9.9467649912515568E-2</v>
      </c>
      <c r="CU73">
        <v>0.14306768282144391</v>
      </c>
      <c r="CV73">
        <v>0.18124164418223812</v>
      </c>
      <c r="CW73">
        <v>0.17506771822228817</v>
      </c>
      <c r="CX73">
        <v>0.17432387054897852</v>
      </c>
      <c r="CY73">
        <v>0.167502220198887</v>
      </c>
      <c r="CZ73">
        <v>0.15383585590917143</v>
      </c>
      <c r="DA73">
        <v>0.1831015980774941</v>
      </c>
      <c r="DB73">
        <v>0.20525945947832772</v>
      </c>
      <c r="DC73">
        <v>0.20111603172753725</v>
      </c>
      <c r="DE73" t="s">
        <v>152</v>
      </c>
      <c r="DF73" t="s">
        <v>111</v>
      </c>
      <c r="DG73" t="s">
        <v>112</v>
      </c>
      <c r="DH73">
        <v>0.52023758315878021</v>
      </c>
    </row>
    <row r="74" spans="2:112" x14ac:dyDescent="0.45">
      <c r="B74" t="s">
        <v>177</v>
      </c>
      <c r="C74" t="s">
        <v>107</v>
      </c>
      <c r="D74">
        <v>0.31140089551426392</v>
      </c>
      <c r="E74">
        <v>0.35095005536875618</v>
      </c>
      <c r="F74">
        <v>0.37912249478413096</v>
      </c>
      <c r="G74">
        <v>0.39450007187575953</v>
      </c>
      <c r="H74">
        <v>0.36754001381280038</v>
      </c>
      <c r="I74">
        <v>0.33255860823474814</v>
      </c>
      <c r="J74">
        <v>0.33506886226464339</v>
      </c>
      <c r="K74">
        <v>0.32601732015858548</v>
      </c>
      <c r="L74">
        <v>0.36086655671014134</v>
      </c>
      <c r="M74">
        <v>0.3451987667846757</v>
      </c>
      <c r="N74">
        <v>0.33346966422340529</v>
      </c>
      <c r="O74">
        <v>0.33328732164706032</v>
      </c>
      <c r="P74">
        <v>0.3888607992667929</v>
      </c>
      <c r="Q74">
        <v>0.41119055300173485</v>
      </c>
      <c r="R74">
        <v>0.46100278277627421</v>
      </c>
      <c r="S74">
        <v>0.44258446842572563</v>
      </c>
      <c r="T74">
        <v>0.39672975113406544</v>
      </c>
      <c r="U74">
        <v>0.38025866301020711</v>
      </c>
      <c r="V74">
        <v>0.32599486277350259</v>
      </c>
      <c r="W74">
        <v>0.33806991058278335</v>
      </c>
      <c r="X74">
        <v>0.37091555068523607</v>
      </c>
      <c r="Y74">
        <v>0.36468507222908064</v>
      </c>
      <c r="Z74">
        <v>0.33798115781866861</v>
      </c>
      <c r="AA74">
        <v>0.32762906049457796</v>
      </c>
      <c r="CE74" t="s">
        <v>177</v>
      </c>
      <c r="CF74">
        <v>0.33023897319892892</v>
      </c>
      <c r="CG74">
        <v>0.31443464186718917</v>
      </c>
      <c r="CH74">
        <v>0.30738843816233591</v>
      </c>
      <c r="CI74">
        <v>0.33403964385930962</v>
      </c>
      <c r="CJ74">
        <v>0.3513187488309506</v>
      </c>
      <c r="CK74">
        <v>0.34643320018186413</v>
      </c>
      <c r="CL74">
        <v>0.27405390697625959</v>
      </c>
      <c r="CM74">
        <v>0.27849858687012352</v>
      </c>
      <c r="CN74">
        <v>0.29643991859221813</v>
      </c>
      <c r="CO74">
        <v>0.31850646956150924</v>
      </c>
      <c r="CP74">
        <v>0.33455942262909505</v>
      </c>
      <c r="CQ74">
        <v>0.30814671525883247</v>
      </c>
      <c r="CR74">
        <v>0.19852375330374578</v>
      </c>
      <c r="CS74">
        <v>0.18604306556154607</v>
      </c>
      <c r="CT74">
        <v>0.19724623843913852</v>
      </c>
      <c r="CU74">
        <v>0.21657787214423244</v>
      </c>
      <c r="CV74">
        <v>0.24133010488870407</v>
      </c>
      <c r="CW74">
        <v>0.22513901691061655</v>
      </c>
      <c r="CX74">
        <v>0.31384359120314642</v>
      </c>
      <c r="CY74">
        <v>0.31263119535102779</v>
      </c>
      <c r="CZ74">
        <v>0.31205399935510064</v>
      </c>
      <c r="DA74">
        <v>0.33166927585822065</v>
      </c>
      <c r="DB74">
        <v>0.3423405497583627</v>
      </c>
      <c r="DC74">
        <v>0.33041675619120503</v>
      </c>
      <c r="DE74" t="s">
        <v>154</v>
      </c>
      <c r="DF74" t="s">
        <v>111</v>
      </c>
      <c r="DG74" t="s">
        <v>112</v>
      </c>
      <c r="DH74">
        <v>0.33296802283460408</v>
      </c>
    </row>
    <row r="75" spans="2:112" x14ac:dyDescent="0.45">
      <c r="B75" t="s">
        <v>178</v>
      </c>
      <c r="C75" t="s">
        <v>107</v>
      </c>
      <c r="D75">
        <v>0.28516747621005456</v>
      </c>
      <c r="E75">
        <v>0.28902770522681798</v>
      </c>
      <c r="F75">
        <v>0.34066547222509092</v>
      </c>
      <c r="G75">
        <v>0.3827307063523705</v>
      </c>
      <c r="H75">
        <v>0.35334923001030721</v>
      </c>
      <c r="I75">
        <v>0.31432053179413011</v>
      </c>
      <c r="J75">
        <v>0.28346920441669204</v>
      </c>
      <c r="K75">
        <v>0.31887759003115929</v>
      </c>
      <c r="L75">
        <v>0.35235509710409746</v>
      </c>
      <c r="M75">
        <v>0.35290114739825346</v>
      </c>
      <c r="N75">
        <v>0.33255944442547414</v>
      </c>
      <c r="O75">
        <v>0.30405242117364722</v>
      </c>
      <c r="P75">
        <v>0.28894136230024636</v>
      </c>
      <c r="Q75">
        <v>0.33250328125242273</v>
      </c>
      <c r="R75">
        <v>0.40977430564602058</v>
      </c>
      <c r="S75">
        <v>0.38236801372585971</v>
      </c>
      <c r="T75">
        <v>0.33517759245230216</v>
      </c>
      <c r="U75">
        <v>0.30430730384543164</v>
      </c>
      <c r="V75">
        <v>0.32354720784668606</v>
      </c>
      <c r="W75">
        <v>0.33011690021815737</v>
      </c>
      <c r="X75">
        <v>0.36986827791944515</v>
      </c>
      <c r="Y75">
        <v>0.37475111340694989</v>
      </c>
      <c r="Z75">
        <v>0.35941001990615623</v>
      </c>
      <c r="AA75">
        <v>0.33051163250112675</v>
      </c>
      <c r="CE75" t="s">
        <v>178</v>
      </c>
      <c r="CF75">
        <v>0.37251051485878389</v>
      </c>
      <c r="CG75">
        <v>0.37249448568094334</v>
      </c>
      <c r="CH75">
        <v>0.3463232762082078</v>
      </c>
      <c r="CI75">
        <v>0.31598621438891711</v>
      </c>
      <c r="CJ75">
        <v>0.32701449578136754</v>
      </c>
      <c r="CK75">
        <v>0.34899392817655767</v>
      </c>
      <c r="CL75">
        <v>0.28217928832121236</v>
      </c>
      <c r="CM75">
        <v>0.29075864952677916</v>
      </c>
      <c r="CN75">
        <v>0.23410936979398375</v>
      </c>
      <c r="CO75">
        <v>0.22540161048635882</v>
      </c>
      <c r="CP75">
        <v>0.27072328847771787</v>
      </c>
      <c r="CQ75">
        <v>0.27584812343341392</v>
      </c>
      <c r="CR75">
        <v>0.21288649257718886</v>
      </c>
      <c r="CS75">
        <v>0.1793654648385995</v>
      </c>
      <c r="CT75">
        <v>0.13370583976713279</v>
      </c>
      <c r="CU75">
        <v>0.15932423596243436</v>
      </c>
      <c r="CV75">
        <v>0.18428580438406475</v>
      </c>
      <c r="CW75">
        <v>0.18767132106702303</v>
      </c>
      <c r="CX75">
        <v>0.31125423886215359</v>
      </c>
      <c r="CY75">
        <v>0.29992543938747701</v>
      </c>
      <c r="CZ75">
        <v>0.28267286659191992</v>
      </c>
      <c r="DA75">
        <v>0.28499574168249153</v>
      </c>
      <c r="DB75">
        <v>0.30926884281760242</v>
      </c>
      <c r="DC75">
        <v>0.32102295016484966</v>
      </c>
      <c r="DE75" t="s">
        <v>156</v>
      </c>
      <c r="DF75" t="s">
        <v>111</v>
      </c>
      <c r="DG75" t="s">
        <v>112</v>
      </c>
      <c r="DH75">
        <v>0.38274683437883017</v>
      </c>
    </row>
    <row r="76" spans="2:112" x14ac:dyDescent="0.45">
      <c r="B76" t="s">
        <v>179</v>
      </c>
      <c r="C76" t="s">
        <v>107</v>
      </c>
      <c r="D76">
        <v>0.29633974020339299</v>
      </c>
      <c r="E76">
        <v>0.2842008043427488</v>
      </c>
      <c r="F76">
        <v>0.3378397906732214</v>
      </c>
      <c r="G76">
        <v>0.38433611823387215</v>
      </c>
      <c r="H76">
        <v>0.37865483159619895</v>
      </c>
      <c r="I76">
        <v>0.33477893267390868</v>
      </c>
      <c r="J76">
        <v>0.30072797894616787</v>
      </c>
      <c r="K76">
        <v>0.33014312039627003</v>
      </c>
      <c r="L76">
        <v>0.37352995756743185</v>
      </c>
      <c r="M76">
        <v>0.38514688596378766</v>
      </c>
      <c r="N76">
        <v>0.3734966605598114</v>
      </c>
      <c r="O76">
        <v>0.33972323472461741</v>
      </c>
      <c r="P76">
        <v>0.27133053011085273</v>
      </c>
      <c r="Q76">
        <v>0.31676802512962426</v>
      </c>
      <c r="R76">
        <v>0.37219757910021706</v>
      </c>
      <c r="S76">
        <v>0.39180021537135795</v>
      </c>
      <c r="T76">
        <v>0.35555896462992553</v>
      </c>
      <c r="U76">
        <v>0.27057699180818129</v>
      </c>
      <c r="V76">
        <v>0.31978622979340793</v>
      </c>
      <c r="W76">
        <v>0.31878357032592086</v>
      </c>
      <c r="X76">
        <v>0.39354281639195721</v>
      </c>
      <c r="Y76">
        <v>0.39840575082346191</v>
      </c>
      <c r="Z76">
        <v>0.37327954541936026</v>
      </c>
      <c r="AA76">
        <v>0.34362365708313153</v>
      </c>
      <c r="CE76" t="s">
        <v>179</v>
      </c>
      <c r="CF76">
        <v>0.30287789673791154</v>
      </c>
      <c r="CG76">
        <v>0.29855592726577379</v>
      </c>
      <c r="CH76">
        <v>0.26269795003039143</v>
      </c>
      <c r="CI76">
        <v>0.23170428082470682</v>
      </c>
      <c r="CJ76">
        <v>0.25168156384739154</v>
      </c>
      <c r="CK76">
        <v>0.27468322892214586</v>
      </c>
      <c r="CL76">
        <v>0.23403174356892975</v>
      </c>
      <c r="CM76">
        <v>0.2331309635194854</v>
      </c>
      <c r="CN76">
        <v>0.18552898453721575</v>
      </c>
      <c r="CO76">
        <v>0.20590392953453923</v>
      </c>
      <c r="CP76">
        <v>0.25574805334303902</v>
      </c>
      <c r="CQ76">
        <v>0.2479275033266396</v>
      </c>
      <c r="CR76">
        <v>0.17452583748762546</v>
      </c>
      <c r="CS76">
        <v>0.12625676131240213</v>
      </c>
      <c r="CT76">
        <v>8.7142191988281381E-2</v>
      </c>
      <c r="CU76">
        <v>0.10357060466352805</v>
      </c>
      <c r="CV76">
        <v>0.1351855196002438</v>
      </c>
      <c r="CW76">
        <v>0.15860764945802686</v>
      </c>
      <c r="CX76">
        <v>0.25460537440739089</v>
      </c>
      <c r="CY76">
        <v>0.24653466838798743</v>
      </c>
      <c r="CZ76">
        <v>0.21352013312100532</v>
      </c>
      <c r="DA76">
        <v>0.21054374694545386</v>
      </c>
      <c r="DB76">
        <v>0.24480681850851146</v>
      </c>
      <c r="DC76">
        <v>0.25712614646095466</v>
      </c>
      <c r="DE76" t="s">
        <v>158</v>
      </c>
      <c r="DF76" t="s">
        <v>111</v>
      </c>
      <c r="DG76" t="s">
        <v>112</v>
      </c>
      <c r="DH76">
        <v>0.31471484731688787</v>
      </c>
    </row>
    <row r="77" spans="2:112" x14ac:dyDescent="0.45">
      <c r="B77" t="s">
        <v>180</v>
      </c>
      <c r="C77" t="s">
        <v>107</v>
      </c>
      <c r="D77">
        <v>0.39308293964482643</v>
      </c>
      <c r="E77">
        <v>0.42096635667360566</v>
      </c>
      <c r="F77">
        <v>0.44615642461309885</v>
      </c>
      <c r="G77">
        <v>0.49597109445307636</v>
      </c>
      <c r="H77">
        <v>0.46145460608703393</v>
      </c>
      <c r="I77">
        <v>0.38645103314017337</v>
      </c>
      <c r="J77">
        <v>0.37547525078156163</v>
      </c>
      <c r="K77">
        <v>0.37886537639098705</v>
      </c>
      <c r="L77">
        <v>0.4581726492239378</v>
      </c>
      <c r="M77">
        <v>0.44623237531085208</v>
      </c>
      <c r="N77">
        <v>0.4269231035424928</v>
      </c>
      <c r="O77">
        <v>0.37717235397999049</v>
      </c>
      <c r="P77">
        <v>0.32784477347167135</v>
      </c>
      <c r="Q77">
        <v>0.41291724271902674</v>
      </c>
      <c r="R77">
        <v>0.53315249205556681</v>
      </c>
      <c r="S77">
        <v>0.50987062931705929</v>
      </c>
      <c r="T77">
        <v>0.43874163682349171</v>
      </c>
      <c r="U77">
        <v>0.37545651462506185</v>
      </c>
      <c r="V77">
        <v>0.38325010906345452</v>
      </c>
      <c r="W77">
        <v>0.39365794019511069</v>
      </c>
      <c r="X77">
        <v>0.45243651290325188</v>
      </c>
      <c r="Y77">
        <v>0.47882247319566745</v>
      </c>
      <c r="Z77">
        <v>0.44652370874802427</v>
      </c>
      <c r="AA77">
        <v>0.41289360782199874</v>
      </c>
      <c r="CE77" t="s">
        <v>180</v>
      </c>
      <c r="CF77">
        <v>0.21049114365575852</v>
      </c>
      <c r="CG77">
        <v>0.23333315721398565</v>
      </c>
      <c r="CH77">
        <v>0.20385631897854822</v>
      </c>
      <c r="CI77">
        <v>0.18727277595597597</v>
      </c>
      <c r="CJ77">
        <v>0.2059660134231768</v>
      </c>
      <c r="CK77">
        <v>0.21299993235186854</v>
      </c>
      <c r="CL77">
        <v>0.20091571657314788</v>
      </c>
      <c r="CM77">
        <v>0.18456494857940836</v>
      </c>
      <c r="CN77">
        <v>0.1588004575622336</v>
      </c>
      <c r="CO77">
        <v>0.19150028583361034</v>
      </c>
      <c r="CP77">
        <v>0.2279258583851663</v>
      </c>
      <c r="CQ77">
        <v>0.21787383410495248</v>
      </c>
      <c r="CR77">
        <v>0.10137748178057848</v>
      </c>
      <c r="CS77">
        <v>7.4647659930884014E-2</v>
      </c>
      <c r="CT77">
        <v>6.1623678518732496E-2</v>
      </c>
      <c r="CU77">
        <v>7.8763101645260042E-2</v>
      </c>
      <c r="CV77">
        <v>9.3527476260694242E-2</v>
      </c>
      <c r="CW77">
        <v>9.3457795921997239E-2</v>
      </c>
      <c r="CX77">
        <v>0.16044930034303348</v>
      </c>
      <c r="CY77">
        <v>0.14583143678366978</v>
      </c>
      <c r="CZ77">
        <v>0.12002350923113937</v>
      </c>
      <c r="DA77">
        <v>0.13511115700604498</v>
      </c>
      <c r="DB77">
        <v>0.15452951341293361</v>
      </c>
      <c r="DC77">
        <v>0.16662229548485724</v>
      </c>
      <c r="DE77" t="s">
        <v>160</v>
      </c>
      <c r="DF77" t="s">
        <v>111</v>
      </c>
      <c r="DG77" t="s">
        <v>112</v>
      </c>
      <c r="DH77">
        <v>0.48036696769836407</v>
      </c>
    </row>
    <row r="78" spans="2:112" x14ac:dyDescent="0.45">
      <c r="B78" t="s">
        <v>181</v>
      </c>
      <c r="C78" t="s">
        <v>107</v>
      </c>
      <c r="D78">
        <v>0.31941920467327345</v>
      </c>
      <c r="E78">
        <v>0.31310750638445872</v>
      </c>
      <c r="F78">
        <v>0.35882438787059234</v>
      </c>
      <c r="G78">
        <v>0.42482296716218726</v>
      </c>
      <c r="H78">
        <v>0.42274377089338677</v>
      </c>
      <c r="I78">
        <v>0.35128625993864909</v>
      </c>
      <c r="J78">
        <v>0.31806057525733888</v>
      </c>
      <c r="K78">
        <v>0.33728422004068442</v>
      </c>
      <c r="L78">
        <v>0.39575627261104812</v>
      </c>
      <c r="M78">
        <v>0.40770760778357212</v>
      </c>
      <c r="N78">
        <v>0.38831134316000526</v>
      </c>
      <c r="O78">
        <v>0.33841451380590232</v>
      </c>
      <c r="P78">
        <v>0.23412513205357555</v>
      </c>
      <c r="Q78">
        <v>0.3309445377657726</v>
      </c>
      <c r="R78">
        <v>0.4663667301241825</v>
      </c>
      <c r="S78">
        <v>0.46598147395387512</v>
      </c>
      <c r="T78">
        <v>0.36494808301459647</v>
      </c>
      <c r="U78">
        <v>0.26598088449418023</v>
      </c>
      <c r="V78">
        <v>0.31950877418513252</v>
      </c>
      <c r="W78">
        <v>0.32591510340704871</v>
      </c>
      <c r="X78">
        <v>0.40754818176824104</v>
      </c>
      <c r="Y78">
        <v>0.41590601895827534</v>
      </c>
      <c r="Z78">
        <v>0.37805780394367527</v>
      </c>
      <c r="AA78">
        <v>0.34170059407273784</v>
      </c>
      <c r="CE78" t="s">
        <v>181</v>
      </c>
      <c r="CF78">
        <v>0.26269102290392388</v>
      </c>
      <c r="CG78">
        <v>0.26226902069441949</v>
      </c>
      <c r="CH78">
        <v>0.22328434209332612</v>
      </c>
      <c r="CI78">
        <v>0.20123752497196087</v>
      </c>
      <c r="CJ78">
        <v>0.22352665325655244</v>
      </c>
      <c r="CK78">
        <v>0.24369281912813334</v>
      </c>
      <c r="CL78">
        <v>0.23917831283788429</v>
      </c>
      <c r="CM78">
        <v>0.22011840706321628</v>
      </c>
      <c r="CN78">
        <v>0.1752801255546633</v>
      </c>
      <c r="CO78">
        <v>0.21246577479450887</v>
      </c>
      <c r="CP78">
        <v>0.25729459532814225</v>
      </c>
      <c r="CQ78">
        <v>0.24650867068332821</v>
      </c>
      <c r="CR78">
        <v>0.14483610572328509</v>
      </c>
      <c r="CS78">
        <v>9.0273012261129534E-2</v>
      </c>
      <c r="CT78">
        <v>6.7268848804624901E-2</v>
      </c>
      <c r="CU78">
        <v>8.571858900022046E-2</v>
      </c>
      <c r="CV78">
        <v>0.11584958209856029</v>
      </c>
      <c r="CW78">
        <v>0.13353833182810018</v>
      </c>
      <c r="CX78">
        <v>0.22384836680079812</v>
      </c>
      <c r="CY78">
        <v>0.20996901132466342</v>
      </c>
      <c r="CZ78">
        <v>0.17578948478301959</v>
      </c>
      <c r="DA78">
        <v>0.1803677229433496</v>
      </c>
      <c r="DB78">
        <v>0.20070247282210088</v>
      </c>
      <c r="DC78">
        <v>0.21726274680013566</v>
      </c>
      <c r="DE78" t="s">
        <v>162</v>
      </c>
      <c r="DF78" t="s">
        <v>111</v>
      </c>
      <c r="DG78" t="s">
        <v>112</v>
      </c>
      <c r="DH78">
        <v>0.3446484259585203</v>
      </c>
    </row>
    <row r="79" spans="2:112" x14ac:dyDescent="0.45">
      <c r="B79" t="s">
        <v>182</v>
      </c>
      <c r="C79" t="s">
        <v>107</v>
      </c>
      <c r="D79">
        <v>0.3707547030304128</v>
      </c>
      <c r="E79">
        <v>0.38111155329073737</v>
      </c>
      <c r="F79">
        <v>0.39479064741074371</v>
      </c>
      <c r="G79">
        <v>0.41834285799879795</v>
      </c>
      <c r="H79">
        <v>0.38730780524893343</v>
      </c>
      <c r="I79">
        <v>0.33974947920953302</v>
      </c>
      <c r="J79">
        <v>0.32655291125992308</v>
      </c>
      <c r="K79">
        <v>0.3539178494449568</v>
      </c>
      <c r="L79">
        <v>0.39153305789133758</v>
      </c>
      <c r="M79">
        <v>0.38305464402009726</v>
      </c>
      <c r="N79">
        <v>0.38122299101708129</v>
      </c>
      <c r="O79">
        <v>0.361553093672425</v>
      </c>
      <c r="P79">
        <v>0.3145036623298913</v>
      </c>
      <c r="Q79">
        <v>0.38759603899402428</v>
      </c>
      <c r="R79">
        <v>0.48406273061906757</v>
      </c>
      <c r="S79">
        <v>0.48777246702844218</v>
      </c>
      <c r="T79">
        <v>0.45441021904289342</v>
      </c>
      <c r="U79">
        <v>0.34303334269702324</v>
      </c>
      <c r="V79">
        <v>0.36001637276739201</v>
      </c>
      <c r="W79">
        <v>0.37764471968509644</v>
      </c>
      <c r="X79">
        <v>0.42985015485612277</v>
      </c>
      <c r="Y79">
        <v>0.42888849248078897</v>
      </c>
      <c r="Z79">
        <v>0.38636601450418984</v>
      </c>
      <c r="AA79">
        <v>0.3563234319487138</v>
      </c>
      <c r="CE79" t="s">
        <v>182</v>
      </c>
      <c r="CF79">
        <v>0.24149347002407084</v>
      </c>
      <c r="CG79">
        <v>0.23959389895678843</v>
      </c>
      <c r="CH79">
        <v>0.22457006769742557</v>
      </c>
      <c r="CI79">
        <v>0.22420313010883972</v>
      </c>
      <c r="CJ79">
        <v>0.24648803177373321</v>
      </c>
      <c r="CK79">
        <v>0.25316977644450173</v>
      </c>
      <c r="CL79">
        <v>0.22742684047947376</v>
      </c>
      <c r="CM79">
        <v>0.21055392631286104</v>
      </c>
      <c r="CN79">
        <v>0.19686990472500934</v>
      </c>
      <c r="CO79">
        <v>0.21853899680669153</v>
      </c>
      <c r="CP79">
        <v>0.25609947127601901</v>
      </c>
      <c r="CQ79">
        <v>0.24533217084620743</v>
      </c>
      <c r="CR79">
        <v>0.15381798533739025</v>
      </c>
      <c r="CS79">
        <v>0.11875786876029802</v>
      </c>
      <c r="CT79">
        <v>0.1026867709990246</v>
      </c>
      <c r="CU79">
        <v>0.12110305744299188</v>
      </c>
      <c r="CV79">
        <v>0.13543199116148807</v>
      </c>
      <c r="CW79">
        <v>0.13599322487042517</v>
      </c>
      <c r="CX79">
        <v>0.24590024115109244</v>
      </c>
      <c r="CY79">
        <v>0.23489966790349229</v>
      </c>
      <c r="CZ79">
        <v>0.21972259981377881</v>
      </c>
      <c r="DA79">
        <v>0.23226828961317525</v>
      </c>
      <c r="DB79">
        <v>0.24175172375139176</v>
      </c>
      <c r="DC79">
        <v>0.2468262729045492</v>
      </c>
      <c r="DE79" t="s">
        <v>164</v>
      </c>
      <c r="DF79" t="s">
        <v>111</v>
      </c>
      <c r="DG79" t="s">
        <v>112</v>
      </c>
      <c r="DH79">
        <v>0.59348813521441179</v>
      </c>
    </row>
    <row r="80" spans="2:112" x14ac:dyDescent="0.45">
      <c r="B80" t="s">
        <v>183</v>
      </c>
      <c r="C80" t="s">
        <v>107</v>
      </c>
      <c r="D80">
        <v>0.41860948250842878</v>
      </c>
      <c r="E80">
        <v>0.41928051070702976</v>
      </c>
      <c r="F80">
        <v>0.43030480671712457</v>
      </c>
      <c r="G80">
        <v>0.41520903420394911</v>
      </c>
      <c r="H80">
        <v>0.4058494088972634</v>
      </c>
      <c r="I80">
        <v>0.43315864834201645</v>
      </c>
      <c r="J80">
        <v>0.40888245246278676</v>
      </c>
      <c r="K80">
        <v>0.41955465898244054</v>
      </c>
      <c r="L80">
        <v>0.40742154024992699</v>
      </c>
      <c r="M80">
        <v>0.38744596581636548</v>
      </c>
      <c r="N80">
        <v>0.38265363683198494</v>
      </c>
      <c r="O80">
        <v>0.40933560915205014</v>
      </c>
      <c r="P80">
        <v>0.3447682038152966</v>
      </c>
      <c r="Q80">
        <v>0.42441006357976158</v>
      </c>
      <c r="R80">
        <v>0.42338075682947035</v>
      </c>
      <c r="S80">
        <v>0.3883307115685653</v>
      </c>
      <c r="T80">
        <v>0.33481584477323428</v>
      </c>
      <c r="U80">
        <v>0.31088429350269425</v>
      </c>
      <c r="V80">
        <v>0.43297133330093551</v>
      </c>
      <c r="W80">
        <v>0.41169869134155496</v>
      </c>
      <c r="X80">
        <v>0.41611307531800895</v>
      </c>
      <c r="Y80">
        <v>0.37690196897527178</v>
      </c>
      <c r="Z80">
        <v>0.37596305311226852</v>
      </c>
      <c r="AA80">
        <v>0.41565000146693204</v>
      </c>
      <c r="CE80" t="s">
        <v>183</v>
      </c>
      <c r="CF80">
        <v>0.17836193023534549</v>
      </c>
      <c r="CG80">
        <v>0.19537491062197382</v>
      </c>
      <c r="CH80">
        <v>0.18410493881472664</v>
      </c>
      <c r="CI80">
        <v>0.18871252365822189</v>
      </c>
      <c r="CJ80">
        <v>0.20235511356873587</v>
      </c>
      <c r="CK80">
        <v>0.17981329239478197</v>
      </c>
      <c r="CL80">
        <v>0.12496746906603465</v>
      </c>
      <c r="CM80">
        <v>0.14298794712011823</v>
      </c>
      <c r="CN80">
        <v>0.16414442307026894</v>
      </c>
      <c r="CO80">
        <v>0.21050466726324207</v>
      </c>
      <c r="CP80">
        <v>0.20995872207336397</v>
      </c>
      <c r="CQ80">
        <v>0.16886247340148647</v>
      </c>
      <c r="CR80">
        <v>4.7904188435282359E-2</v>
      </c>
      <c r="CS80">
        <v>4.5655530692953659E-2</v>
      </c>
      <c r="CT80">
        <v>6.0635600813417082E-2</v>
      </c>
      <c r="CU80">
        <v>8.2217021999464054E-2</v>
      </c>
      <c r="CV80">
        <v>0.10353331368241182</v>
      </c>
      <c r="CW80">
        <v>8.7888512769017185E-2</v>
      </c>
      <c r="CX80">
        <v>0.16407286993711015</v>
      </c>
      <c r="CY80">
        <v>0.15966018727960213</v>
      </c>
      <c r="CZ80">
        <v>0.16108533273746201</v>
      </c>
      <c r="DA80">
        <v>0.18152994656738719</v>
      </c>
      <c r="DB80">
        <v>0.18645062232993012</v>
      </c>
      <c r="DC80">
        <v>0.16247122110785855</v>
      </c>
      <c r="DE80" t="s">
        <v>166</v>
      </c>
      <c r="DF80" t="s">
        <v>111</v>
      </c>
      <c r="DG80" t="s">
        <v>112</v>
      </c>
      <c r="DH80">
        <v>0.54818674755377617</v>
      </c>
    </row>
    <row r="81" spans="2:112" x14ac:dyDescent="0.45">
      <c r="B81" t="s">
        <v>184</v>
      </c>
      <c r="C81" t="s">
        <v>107</v>
      </c>
      <c r="D81">
        <v>0.39778474954927934</v>
      </c>
      <c r="E81">
        <v>0.43894994949962302</v>
      </c>
      <c r="F81">
        <v>0.44129608711876145</v>
      </c>
      <c r="G81">
        <v>0.44699801636370268</v>
      </c>
      <c r="H81">
        <v>0.42479207293029192</v>
      </c>
      <c r="I81">
        <v>0.38882959192425987</v>
      </c>
      <c r="J81">
        <v>0.39701334063321853</v>
      </c>
      <c r="K81">
        <v>0.40426334148135573</v>
      </c>
      <c r="L81">
        <v>0.44052450754023814</v>
      </c>
      <c r="M81">
        <v>0.41033298572023869</v>
      </c>
      <c r="N81">
        <v>0.39816417073879207</v>
      </c>
      <c r="O81">
        <v>0.40843524321772451</v>
      </c>
      <c r="P81">
        <v>0.38299837438020584</v>
      </c>
      <c r="Q81">
        <v>0.41666896493303412</v>
      </c>
      <c r="R81">
        <v>0.44800778465973179</v>
      </c>
      <c r="S81">
        <v>0.40954110290825474</v>
      </c>
      <c r="T81">
        <v>0.40569142728500401</v>
      </c>
      <c r="U81">
        <v>0.40373432123781305</v>
      </c>
      <c r="V81">
        <v>0.40169041500880509</v>
      </c>
      <c r="W81">
        <v>0.41590119869152992</v>
      </c>
      <c r="X81">
        <v>0.44482341289198768</v>
      </c>
      <c r="Y81">
        <v>0.43408482703095341</v>
      </c>
      <c r="Z81">
        <v>0.40707891758757364</v>
      </c>
      <c r="AA81">
        <v>0.4110802687579283</v>
      </c>
      <c r="CE81" t="s">
        <v>184</v>
      </c>
      <c r="CF81">
        <v>0.15426742585853404</v>
      </c>
      <c r="CG81">
        <v>0.17600954485963458</v>
      </c>
      <c r="CH81">
        <v>0.17808019500429131</v>
      </c>
      <c r="CI81">
        <v>0.19554754980397865</v>
      </c>
      <c r="CJ81">
        <v>0.19177916537856965</v>
      </c>
      <c r="CK81">
        <v>0.1657249368195246</v>
      </c>
      <c r="CL81">
        <v>0.13041347521733279</v>
      </c>
      <c r="CM81">
        <v>0.12200027201760678</v>
      </c>
      <c r="CN81">
        <v>0.1363276708819032</v>
      </c>
      <c r="CO81">
        <v>0.16684287274845702</v>
      </c>
      <c r="CP81">
        <v>0.18336452576545773</v>
      </c>
      <c r="CQ81">
        <v>0.15419694683466978</v>
      </c>
      <c r="CR81">
        <v>7.7540633902420358E-2</v>
      </c>
      <c r="CS81">
        <v>6.1904153960463969E-2</v>
      </c>
      <c r="CT81">
        <v>6.4015203463256579E-2</v>
      </c>
      <c r="CU81">
        <v>8.2917863685057699E-2</v>
      </c>
      <c r="CV81">
        <v>9.0207471854646809E-2</v>
      </c>
      <c r="CW81">
        <v>7.8714257965755888E-2</v>
      </c>
      <c r="CX81">
        <v>0.14539654101585953</v>
      </c>
      <c r="CY81">
        <v>0.14105713269456685</v>
      </c>
      <c r="CZ81">
        <v>0.13250470351327587</v>
      </c>
      <c r="DA81">
        <v>0.1517405457961741</v>
      </c>
      <c r="DB81">
        <v>0.16249187748612579</v>
      </c>
      <c r="DC81">
        <v>0.15383377640241244</v>
      </c>
      <c r="DE81" t="s">
        <v>168</v>
      </c>
      <c r="DF81" t="s">
        <v>111</v>
      </c>
      <c r="DG81" t="s">
        <v>112</v>
      </c>
      <c r="DH81">
        <v>0.61401947953576308</v>
      </c>
    </row>
    <row r="82" spans="2:112" x14ac:dyDescent="0.45">
      <c r="B82" t="s">
        <v>185</v>
      </c>
      <c r="C82" t="s">
        <v>107</v>
      </c>
      <c r="D82">
        <v>0.35434587553064339</v>
      </c>
      <c r="E82">
        <v>0.33609717646766329</v>
      </c>
      <c r="F82">
        <v>0.33389864803432612</v>
      </c>
      <c r="G82">
        <v>0.36078783773715423</v>
      </c>
      <c r="H82">
        <v>0.36533930061823677</v>
      </c>
      <c r="I82">
        <v>0.33677207396850339</v>
      </c>
      <c r="J82">
        <v>0.33943155586074752</v>
      </c>
      <c r="K82">
        <v>0.34945665058022352</v>
      </c>
      <c r="L82">
        <v>0.41203880504901486</v>
      </c>
      <c r="M82">
        <v>0.40960848235018216</v>
      </c>
      <c r="N82">
        <v>0.38438900576192142</v>
      </c>
      <c r="O82">
        <v>0.37230146935889563</v>
      </c>
      <c r="P82">
        <v>0.34256502482466528</v>
      </c>
      <c r="Q82">
        <v>0.35078739219448207</v>
      </c>
      <c r="R82">
        <v>0.43032942882942266</v>
      </c>
      <c r="S82">
        <v>0.42398903702302548</v>
      </c>
      <c r="T82">
        <v>0.37918736184017771</v>
      </c>
      <c r="U82">
        <v>0.32912622274285686</v>
      </c>
      <c r="V82">
        <v>0.3419882414161256</v>
      </c>
      <c r="W82">
        <v>0.37599776657027634</v>
      </c>
      <c r="X82">
        <v>0.39607723856488147</v>
      </c>
      <c r="Y82">
        <v>0.39765688237967345</v>
      </c>
      <c r="Z82">
        <v>0.37275266436706289</v>
      </c>
      <c r="AA82">
        <v>0.35301391741687971</v>
      </c>
      <c r="CE82" t="s">
        <v>185</v>
      </c>
      <c r="CF82">
        <v>0.2726437071361365</v>
      </c>
      <c r="CG82">
        <v>0.27571651712573797</v>
      </c>
      <c r="CH82">
        <v>0.25633538536464295</v>
      </c>
      <c r="CI82">
        <v>0.24088013506009573</v>
      </c>
      <c r="CJ82">
        <v>0.26504035355397249</v>
      </c>
      <c r="CK82">
        <v>0.27708650060796119</v>
      </c>
      <c r="CL82">
        <v>0.20569249270684745</v>
      </c>
      <c r="CM82">
        <v>0.21262390997876729</v>
      </c>
      <c r="CN82">
        <v>0.19809271385395028</v>
      </c>
      <c r="CO82">
        <v>0.20417479432306937</v>
      </c>
      <c r="CP82">
        <v>0.22678420641647379</v>
      </c>
      <c r="CQ82">
        <v>0.22221036727220195</v>
      </c>
      <c r="CR82">
        <v>0.15180523855536696</v>
      </c>
      <c r="CS82">
        <v>0.12677296062470725</v>
      </c>
      <c r="CT82">
        <v>9.9248836076460609E-2</v>
      </c>
      <c r="CU82">
        <v>0.11497958801285287</v>
      </c>
      <c r="CV82">
        <v>0.12735199877995901</v>
      </c>
      <c r="CW82">
        <v>0.13078798142697662</v>
      </c>
      <c r="CX82">
        <v>0.28102183343370185</v>
      </c>
      <c r="CY82">
        <v>0.27558817041361178</v>
      </c>
      <c r="CZ82">
        <v>0.26181359194002302</v>
      </c>
      <c r="DA82">
        <v>0.25182513346917546</v>
      </c>
      <c r="DB82">
        <v>0.25042926170786589</v>
      </c>
      <c r="DC82">
        <v>0.27038810000378954</v>
      </c>
      <c r="DE82" t="s">
        <v>170</v>
      </c>
      <c r="DF82" t="s">
        <v>111</v>
      </c>
      <c r="DG82" t="s">
        <v>112</v>
      </c>
      <c r="DH82">
        <v>0.58649895043489098</v>
      </c>
    </row>
    <row r="83" spans="2:112" x14ac:dyDescent="0.45">
      <c r="B83" t="s">
        <v>186</v>
      </c>
      <c r="C83" t="s">
        <v>107</v>
      </c>
      <c r="D83">
        <v>0.38394354851982304</v>
      </c>
      <c r="E83">
        <v>0.37310671149724611</v>
      </c>
      <c r="F83">
        <v>0.37087922205890378</v>
      </c>
      <c r="G83">
        <v>0.4071756097585516</v>
      </c>
      <c r="H83">
        <v>0.40089588871158066</v>
      </c>
      <c r="I83">
        <v>0.37394131955621013</v>
      </c>
      <c r="J83">
        <v>0.33501783487219888</v>
      </c>
      <c r="K83">
        <v>0.32986644275384847</v>
      </c>
      <c r="L83">
        <v>0.42495190766942104</v>
      </c>
      <c r="M83">
        <v>0.43601840694932004</v>
      </c>
      <c r="N83">
        <v>0.41605748825206823</v>
      </c>
      <c r="O83">
        <v>0.3674094408963553</v>
      </c>
      <c r="P83">
        <v>0.32100462496321497</v>
      </c>
      <c r="Q83">
        <v>0.3679465016582753</v>
      </c>
      <c r="R83">
        <v>0.43837673299703356</v>
      </c>
      <c r="S83">
        <v>0.40855994421888492</v>
      </c>
      <c r="T83">
        <v>0.37317971292030083</v>
      </c>
      <c r="U83">
        <v>0.30016976313058696</v>
      </c>
      <c r="V83">
        <v>0.36940234234734409</v>
      </c>
      <c r="W83">
        <v>0.40750222684575432</v>
      </c>
      <c r="X83">
        <v>0.45153810262751576</v>
      </c>
      <c r="Y83">
        <v>0.44985085482382697</v>
      </c>
      <c r="Z83">
        <v>0.41095193295279886</v>
      </c>
      <c r="AA83">
        <v>0.37115686054400143</v>
      </c>
      <c r="CE83" t="s">
        <v>186</v>
      </c>
      <c r="CF83">
        <v>0.23368678517931293</v>
      </c>
      <c r="CG83">
        <v>0.22921858175891066</v>
      </c>
      <c r="CH83">
        <v>0.22382470527781811</v>
      </c>
      <c r="CI83">
        <v>0.21635959309886008</v>
      </c>
      <c r="CJ83">
        <v>0.23797916587409396</v>
      </c>
      <c r="CK83">
        <v>0.24318331926900882</v>
      </c>
      <c r="CL83">
        <v>0.18742155332062932</v>
      </c>
      <c r="CM83">
        <v>0.17159284133405905</v>
      </c>
      <c r="CN83">
        <v>0.15203405585845614</v>
      </c>
      <c r="CO83">
        <v>0.16029630696222269</v>
      </c>
      <c r="CP83">
        <v>0.17785843980713187</v>
      </c>
      <c r="CQ83">
        <v>0.18892902978319132</v>
      </c>
      <c r="CR83">
        <v>0.12666278374977005</v>
      </c>
      <c r="CS83">
        <v>0.10275953404797648</v>
      </c>
      <c r="CT83">
        <v>8.2868409049093178E-2</v>
      </c>
      <c r="CU83">
        <v>0.10244437727079607</v>
      </c>
      <c r="CV83">
        <v>0.12618030166525085</v>
      </c>
      <c r="CW83">
        <v>0.12128296231304912</v>
      </c>
      <c r="CX83">
        <v>0.24246878789282136</v>
      </c>
      <c r="CY83">
        <v>0.24314562547168012</v>
      </c>
      <c r="CZ83">
        <v>0.21846539466054182</v>
      </c>
      <c r="DA83">
        <v>0.21093448444009533</v>
      </c>
      <c r="DB83">
        <v>0.20955999823837226</v>
      </c>
      <c r="DC83">
        <v>0.2302555194597084</v>
      </c>
      <c r="DE83" t="s">
        <v>172</v>
      </c>
      <c r="DF83" t="s">
        <v>111</v>
      </c>
      <c r="DG83" t="s">
        <v>112</v>
      </c>
      <c r="DH83">
        <v>0.67923689103411722</v>
      </c>
    </row>
    <row r="84" spans="2:112" x14ac:dyDescent="0.45">
      <c r="B84" t="s">
        <v>187</v>
      </c>
      <c r="C84" t="s">
        <v>107</v>
      </c>
      <c r="D84">
        <v>0.43768183464153521</v>
      </c>
      <c r="E84">
        <v>0.43806783106715197</v>
      </c>
      <c r="F84">
        <v>0.43190037526029423</v>
      </c>
      <c r="G84">
        <v>0.42659330923423344</v>
      </c>
      <c r="H84">
        <v>0.39945333038521591</v>
      </c>
      <c r="I84">
        <v>0.38556109502876496</v>
      </c>
      <c r="J84">
        <v>0.41196046379101414</v>
      </c>
      <c r="K84">
        <v>0.4383696677585312</v>
      </c>
      <c r="L84">
        <v>0.47191858132352621</v>
      </c>
      <c r="M84">
        <v>0.42456603054765274</v>
      </c>
      <c r="N84">
        <v>0.40730874816932722</v>
      </c>
      <c r="O84">
        <v>0.40031899069055821</v>
      </c>
      <c r="P84">
        <v>0.39361580741936608</v>
      </c>
      <c r="Q84">
        <v>0.44244567248814465</v>
      </c>
      <c r="R84">
        <v>0.49700220986806321</v>
      </c>
      <c r="S84">
        <v>0.47341304555943203</v>
      </c>
      <c r="T84">
        <v>0.43945325322882384</v>
      </c>
      <c r="U84">
        <v>0.39783273319406398</v>
      </c>
      <c r="V84">
        <v>0.3934606517339494</v>
      </c>
      <c r="W84">
        <v>0.42172105773921403</v>
      </c>
      <c r="X84">
        <v>0.45133402460075844</v>
      </c>
      <c r="Y84">
        <v>0.44312219031974903</v>
      </c>
      <c r="Z84">
        <v>0.42468426464744691</v>
      </c>
      <c r="AA84">
        <v>0.38740332433218588</v>
      </c>
      <c r="CE84" t="s">
        <v>187</v>
      </c>
      <c r="CF84">
        <v>0.17719281425812877</v>
      </c>
      <c r="CG84">
        <v>0.16946041370786394</v>
      </c>
      <c r="CH84">
        <v>0.1526079287192004</v>
      </c>
      <c r="CI84">
        <v>0.14778740716292035</v>
      </c>
      <c r="CJ84">
        <v>0.18644219414935254</v>
      </c>
      <c r="CK84">
        <v>0.20161236839454397</v>
      </c>
      <c r="CL84">
        <v>0.14258524730171268</v>
      </c>
      <c r="CM84">
        <v>0.11596869525456895</v>
      </c>
      <c r="CN84">
        <v>0.10298137030130547</v>
      </c>
      <c r="CO84">
        <v>0.12531168211593141</v>
      </c>
      <c r="CP84">
        <v>0.14527349017111113</v>
      </c>
      <c r="CQ84">
        <v>0.15618376545987947</v>
      </c>
      <c r="CR84">
        <v>0.11550420060734949</v>
      </c>
      <c r="CS84">
        <v>8.0215724274593253E-2</v>
      </c>
      <c r="CT84">
        <v>7.1462588477523459E-2</v>
      </c>
      <c r="CU84">
        <v>9.5556816071687672E-2</v>
      </c>
      <c r="CV84">
        <v>0.12752552332414127</v>
      </c>
      <c r="CW84">
        <v>0.1306448028890051</v>
      </c>
      <c r="CX84">
        <v>0.19894694980389821</v>
      </c>
      <c r="CY84">
        <v>0.19681882498335015</v>
      </c>
      <c r="CZ84">
        <v>0.17462776119694373</v>
      </c>
      <c r="DA84">
        <v>0.18707112130076967</v>
      </c>
      <c r="DB84">
        <v>0.18708604528889902</v>
      </c>
      <c r="DC84">
        <v>0.19573592685424618</v>
      </c>
      <c r="DE84" t="s">
        <v>174</v>
      </c>
      <c r="DF84" t="s">
        <v>111</v>
      </c>
      <c r="DG84" t="s">
        <v>112</v>
      </c>
      <c r="DH84">
        <v>0.6520898913073403</v>
      </c>
    </row>
    <row r="85" spans="2:112" x14ac:dyDescent="0.45">
      <c r="B85" t="s">
        <v>188</v>
      </c>
      <c r="C85" t="s">
        <v>107</v>
      </c>
      <c r="D85">
        <v>0.41870010734460467</v>
      </c>
      <c r="E85">
        <v>0.41423701656072892</v>
      </c>
      <c r="F85">
        <v>0.39983662870655828</v>
      </c>
      <c r="G85">
        <v>0.41456675781294144</v>
      </c>
      <c r="H85">
        <v>0.39373666267248691</v>
      </c>
      <c r="I85">
        <v>0.38488886943919065</v>
      </c>
      <c r="J85">
        <v>0.40019733985009176</v>
      </c>
      <c r="K85">
        <v>0.38732432419318275</v>
      </c>
      <c r="L85">
        <v>0.40514984175234714</v>
      </c>
      <c r="M85">
        <v>0.39709530804393151</v>
      </c>
      <c r="N85">
        <v>0.38420900172087202</v>
      </c>
      <c r="O85">
        <v>0.39201253946229853</v>
      </c>
      <c r="P85">
        <v>0.39485905553233874</v>
      </c>
      <c r="Q85">
        <v>0.45533520664864702</v>
      </c>
      <c r="R85">
        <v>0.48720756149446826</v>
      </c>
      <c r="S85">
        <v>0.46691809934519352</v>
      </c>
      <c r="T85">
        <v>0.41372638649516852</v>
      </c>
      <c r="U85">
        <v>0.34561438287648111</v>
      </c>
      <c r="V85">
        <v>0.40255713068709464</v>
      </c>
      <c r="W85">
        <v>0.43488991693564139</v>
      </c>
      <c r="X85">
        <v>0.44898669989218409</v>
      </c>
      <c r="Y85">
        <v>0.42451367660325268</v>
      </c>
      <c r="Z85">
        <v>0.39654245762026596</v>
      </c>
      <c r="AA85">
        <v>0.38175355817845846</v>
      </c>
      <c r="CE85" t="s">
        <v>188</v>
      </c>
      <c r="CF85">
        <v>0.20225262353699883</v>
      </c>
      <c r="CG85">
        <v>0.19799867305187699</v>
      </c>
      <c r="CH85">
        <v>0.19372365608641495</v>
      </c>
      <c r="CI85">
        <v>0.20076373177668175</v>
      </c>
      <c r="CJ85">
        <v>0.2292569425047353</v>
      </c>
      <c r="CK85">
        <v>0.22371418525802761</v>
      </c>
      <c r="CL85">
        <v>0.16404171245316174</v>
      </c>
      <c r="CM85">
        <v>0.15068650158259694</v>
      </c>
      <c r="CN85">
        <v>0.1621809636454658</v>
      </c>
      <c r="CO85">
        <v>0.19750484379376004</v>
      </c>
      <c r="CP85">
        <v>0.2186840627376275</v>
      </c>
      <c r="CQ85">
        <v>0.20104864813049986</v>
      </c>
      <c r="CR85">
        <v>0.11437385145816531</v>
      </c>
      <c r="CS85">
        <v>9.5146841984201661E-2</v>
      </c>
      <c r="CT85">
        <v>0.10668308917577825</v>
      </c>
      <c r="CU85">
        <v>0.13423043084609265</v>
      </c>
      <c r="CV85">
        <v>0.15015045304168453</v>
      </c>
      <c r="CW85">
        <v>0.13788221168509107</v>
      </c>
      <c r="CX85">
        <v>0.22233161975693883</v>
      </c>
      <c r="CY85">
        <v>0.21826306796239317</v>
      </c>
      <c r="CZ85">
        <v>0.21803402101352076</v>
      </c>
      <c r="DA85">
        <v>0.2302854683458613</v>
      </c>
      <c r="DB85">
        <v>0.23004655168056051</v>
      </c>
      <c r="DC85">
        <v>0.22589849320664424</v>
      </c>
      <c r="DE85" t="s">
        <v>176</v>
      </c>
      <c r="DF85" t="s">
        <v>111</v>
      </c>
      <c r="DG85" t="s">
        <v>112</v>
      </c>
      <c r="DH85">
        <v>0.59790337294936591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AAA3E-F7B2-48A1-9698-DEFCCFF149B4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region=FRA")</f>
        <v>~TFM_DINS-AT: region=FRA</v>
      </c>
      <c r="H9" t="str">
        <f>IF(A11="x","DeActivated","~TFM_DINS-AT: region=FRA")</f>
        <v>~TFM_DINS-AT: region=FRA</v>
      </c>
      <c r="L9" t="str">
        <f>IF(A11="x","DeActivated","~TFM_DINS-AT: region=FRA")</f>
        <v>~TFM_DINS-AT: region=FRA</v>
      </c>
      <c r="P9" t="str">
        <f>IF(A11="x","DeActivated","~TFM_INS-AT: region=FRA")</f>
        <v>~TFM_INS-AT: region=FRA</v>
      </c>
    </row>
    <row r="10" spans="1:19" x14ac:dyDescent="0.45">
      <c r="A10" t="s">
        <v>189</v>
      </c>
      <c r="C10" t="s">
        <v>190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191</v>
      </c>
      <c r="P10" t="s">
        <v>192</v>
      </c>
      <c r="Q10" t="s">
        <v>1</v>
      </c>
      <c r="R10" t="s">
        <v>193</v>
      </c>
      <c r="S10" t="s">
        <v>194</v>
      </c>
    </row>
    <row r="11" spans="1:19" x14ac:dyDescent="0.45">
      <c r="C11">
        <v>8.2191780821917804E-2</v>
      </c>
      <c r="D11">
        <v>2.291226412748925E-2</v>
      </c>
      <c r="E11" t="s">
        <v>5</v>
      </c>
      <c r="F11" t="s">
        <v>195</v>
      </c>
      <c r="H11" t="s">
        <v>196</v>
      </c>
      <c r="I11" t="s">
        <v>5</v>
      </c>
      <c r="L11" t="s">
        <v>197</v>
      </c>
      <c r="M11" t="s">
        <v>5</v>
      </c>
      <c r="N11">
        <v>0.21223821672695364</v>
      </c>
      <c r="P11">
        <v>2020</v>
      </c>
      <c r="Q11" t="s">
        <v>198</v>
      </c>
      <c r="R11">
        <v>0.31556666666666672</v>
      </c>
      <c r="S11" t="s">
        <v>199</v>
      </c>
    </row>
    <row r="12" spans="1:19" x14ac:dyDescent="0.45">
      <c r="C12">
        <v>4.1095890410958902E-2</v>
      </c>
      <c r="D12">
        <v>5.0687417646620103E-2</v>
      </c>
      <c r="E12" t="s">
        <v>9</v>
      </c>
      <c r="F12" t="s">
        <v>195</v>
      </c>
      <c r="H12" t="s">
        <v>196</v>
      </c>
      <c r="I12" t="s">
        <v>9</v>
      </c>
      <c r="L12" t="s">
        <v>197</v>
      </c>
      <c r="M12" t="s">
        <v>9</v>
      </c>
      <c r="N12">
        <v>0.22395928947503685</v>
      </c>
      <c r="P12">
        <v>2020</v>
      </c>
      <c r="Q12" t="s">
        <v>200</v>
      </c>
      <c r="R12">
        <v>0.32903333333333334</v>
      </c>
      <c r="S12" t="s">
        <v>199</v>
      </c>
    </row>
    <row r="13" spans="1:19" x14ac:dyDescent="0.45">
      <c r="C13">
        <v>3.0821917808219176E-2</v>
      </c>
      <c r="D13">
        <v>3.8336275265395424E-2</v>
      </c>
      <c r="E13" t="s">
        <v>10</v>
      </c>
      <c r="F13" t="s">
        <v>195</v>
      </c>
      <c r="H13" t="s">
        <v>196</v>
      </c>
      <c r="I13" t="s">
        <v>10</v>
      </c>
      <c r="L13" t="s">
        <v>197</v>
      </c>
      <c r="M13" t="s">
        <v>10</v>
      </c>
      <c r="N13">
        <v>8.4256936641752489E-2</v>
      </c>
      <c r="P13">
        <v>2020</v>
      </c>
      <c r="Q13" t="s">
        <v>201</v>
      </c>
      <c r="R13">
        <v>0.2475333333333333</v>
      </c>
      <c r="S13" t="s">
        <v>199</v>
      </c>
    </row>
    <row r="14" spans="1:19" x14ac:dyDescent="0.45">
      <c r="C14">
        <v>3.0821917808219176E-2</v>
      </c>
      <c r="D14">
        <v>3.9768291773363502E-2</v>
      </c>
      <c r="E14" t="s">
        <v>11</v>
      </c>
      <c r="F14" t="s">
        <v>195</v>
      </c>
      <c r="H14" t="s">
        <v>196</v>
      </c>
      <c r="I14" t="s">
        <v>11</v>
      </c>
      <c r="L14" t="s">
        <v>197</v>
      </c>
      <c r="M14" t="s">
        <v>11</v>
      </c>
      <c r="N14">
        <v>8.5886229147117632E-2</v>
      </c>
      <c r="P14">
        <v>2020</v>
      </c>
      <c r="Q14" t="s">
        <v>202</v>
      </c>
      <c r="R14">
        <v>0.21636666666666668</v>
      </c>
      <c r="S14" t="s">
        <v>199</v>
      </c>
    </row>
    <row r="15" spans="1:19" x14ac:dyDescent="0.45">
      <c r="C15">
        <v>3.0821917808219176E-2</v>
      </c>
      <c r="D15">
        <v>5.5490639683763034E-2</v>
      </c>
      <c r="E15" t="s">
        <v>12</v>
      </c>
      <c r="F15" t="s">
        <v>195</v>
      </c>
      <c r="H15" t="s">
        <v>196</v>
      </c>
      <c r="I15" t="s">
        <v>12</v>
      </c>
      <c r="L15" t="s">
        <v>197</v>
      </c>
      <c r="M15" t="s">
        <v>12</v>
      </c>
      <c r="N15">
        <v>8.819442192163196E-2</v>
      </c>
      <c r="P15">
        <v>2021</v>
      </c>
      <c r="Q15" t="s">
        <v>198</v>
      </c>
      <c r="R15">
        <v>0.33883333333333332</v>
      </c>
      <c r="S15" t="s">
        <v>199</v>
      </c>
    </row>
    <row r="16" spans="1:19" x14ac:dyDescent="0.45">
      <c r="C16">
        <v>3.0821917808219176E-2</v>
      </c>
      <c r="D16">
        <v>3.9380453969122146E-2</v>
      </c>
      <c r="E16" t="s">
        <v>13</v>
      </c>
      <c r="F16" t="s">
        <v>195</v>
      </c>
      <c r="H16" t="s">
        <v>196</v>
      </c>
      <c r="I16" t="s">
        <v>13</v>
      </c>
      <c r="L16" t="s">
        <v>197</v>
      </c>
      <c r="M16" t="s">
        <v>13</v>
      </c>
      <c r="N16">
        <v>8.5073259747869834E-2</v>
      </c>
      <c r="P16">
        <v>2021</v>
      </c>
      <c r="Q16" t="s">
        <v>200</v>
      </c>
      <c r="R16">
        <v>0.27746666666666664</v>
      </c>
      <c r="S16" t="s">
        <v>199</v>
      </c>
    </row>
    <row r="17" spans="3:19" x14ac:dyDescent="0.45">
      <c r="C17">
        <v>8.4018264840182655E-2</v>
      </c>
      <c r="D17">
        <v>2.3421425552544572E-2</v>
      </c>
      <c r="E17" t="s">
        <v>14</v>
      </c>
      <c r="F17" t="s">
        <v>195</v>
      </c>
      <c r="H17" t="s">
        <v>196</v>
      </c>
      <c r="I17" t="s">
        <v>14</v>
      </c>
      <c r="L17" t="s">
        <v>197</v>
      </c>
      <c r="M17" t="s">
        <v>14</v>
      </c>
      <c r="N17">
        <v>0.2500241762949067</v>
      </c>
      <c r="P17">
        <v>2021</v>
      </c>
      <c r="Q17" t="s">
        <v>201</v>
      </c>
      <c r="R17">
        <v>0.27649999999999997</v>
      </c>
      <c r="S17" t="s">
        <v>199</v>
      </c>
    </row>
    <row r="18" spans="3:19" x14ac:dyDescent="0.45">
      <c r="C18">
        <v>4.2009132420091327E-2</v>
      </c>
      <c r="D18">
        <v>5.1813804705433876E-2</v>
      </c>
      <c r="E18" t="s">
        <v>15</v>
      </c>
      <c r="F18" t="s">
        <v>195</v>
      </c>
      <c r="H18" t="s">
        <v>196</v>
      </c>
      <c r="I18" t="s">
        <v>15</v>
      </c>
      <c r="L18" t="s">
        <v>197</v>
      </c>
      <c r="M18" t="s">
        <v>15</v>
      </c>
      <c r="N18">
        <v>0.22219313052356271</v>
      </c>
      <c r="P18">
        <v>2021</v>
      </c>
      <c r="Q18" t="s">
        <v>202</v>
      </c>
      <c r="R18">
        <v>0.17016666666666666</v>
      </c>
      <c r="S18" t="s">
        <v>199</v>
      </c>
    </row>
    <row r="19" spans="3:19" x14ac:dyDescent="0.45">
      <c r="C19">
        <v>3.1506849315068496E-2</v>
      </c>
      <c r="D19">
        <v>3.9188192493515323E-2</v>
      </c>
      <c r="E19" t="s">
        <v>16</v>
      </c>
      <c r="F19" t="s">
        <v>195</v>
      </c>
      <c r="H19" t="s">
        <v>196</v>
      </c>
      <c r="I19" t="s">
        <v>16</v>
      </c>
      <c r="L19" t="s">
        <v>197</v>
      </c>
      <c r="M19" t="s">
        <v>16</v>
      </c>
      <c r="N19">
        <v>0.12160351684703419</v>
      </c>
      <c r="P19">
        <v>2022</v>
      </c>
      <c r="Q19" t="s">
        <v>198</v>
      </c>
      <c r="R19">
        <v>0.25390000000000001</v>
      </c>
      <c r="S19" t="s">
        <v>199</v>
      </c>
    </row>
    <row r="20" spans="3:19" x14ac:dyDescent="0.45">
      <c r="C20">
        <v>3.1506849315068496E-2</v>
      </c>
      <c r="D20">
        <v>4.0652031590549358E-2</v>
      </c>
      <c r="E20" t="s">
        <v>17</v>
      </c>
      <c r="F20" t="s">
        <v>195</v>
      </c>
      <c r="H20" t="s">
        <v>196</v>
      </c>
      <c r="I20" t="s">
        <v>17</v>
      </c>
      <c r="L20" t="s">
        <v>197</v>
      </c>
      <c r="M20" t="s">
        <v>17</v>
      </c>
      <c r="N20">
        <v>0.1315205829142323</v>
      </c>
      <c r="P20">
        <v>2022</v>
      </c>
      <c r="Q20" t="s">
        <v>200</v>
      </c>
      <c r="R20">
        <v>0.23780000000000001</v>
      </c>
      <c r="S20" t="s">
        <v>199</v>
      </c>
    </row>
    <row r="21" spans="3:19" x14ac:dyDescent="0.45">
      <c r="C21">
        <v>3.1506849315068496E-2</v>
      </c>
      <c r="D21">
        <v>5.6723765010068872E-2</v>
      </c>
      <c r="E21" t="s">
        <v>18</v>
      </c>
      <c r="F21" t="s">
        <v>195</v>
      </c>
      <c r="H21" t="s">
        <v>196</v>
      </c>
      <c r="I21" t="s">
        <v>18</v>
      </c>
      <c r="L21" t="s">
        <v>197</v>
      </c>
      <c r="M21" t="s">
        <v>18</v>
      </c>
      <c r="N21">
        <v>0.13938361950863709</v>
      </c>
      <c r="P21">
        <v>2022</v>
      </c>
      <c r="Q21" t="s">
        <v>201</v>
      </c>
      <c r="R21">
        <v>0.16893333333333335</v>
      </c>
      <c r="S21" t="s">
        <v>199</v>
      </c>
    </row>
    <row r="22" spans="3:19" x14ac:dyDescent="0.45">
      <c r="C22">
        <v>3.1506849315068496E-2</v>
      </c>
      <c r="D22">
        <v>4.0255575168435975E-2</v>
      </c>
      <c r="E22" t="s">
        <v>19</v>
      </c>
      <c r="F22" t="s">
        <v>195</v>
      </c>
      <c r="H22" t="s">
        <v>196</v>
      </c>
      <c r="I22" t="s">
        <v>19</v>
      </c>
      <c r="L22" t="s">
        <v>197</v>
      </c>
      <c r="M22" t="s">
        <v>19</v>
      </c>
      <c r="N22">
        <v>0.14090097594299267</v>
      </c>
      <c r="P22">
        <v>2022</v>
      </c>
      <c r="Q22" t="s">
        <v>202</v>
      </c>
      <c r="R22">
        <v>0.15003333333333335</v>
      </c>
      <c r="S22" t="s">
        <v>199</v>
      </c>
    </row>
    <row r="23" spans="3:19" x14ac:dyDescent="0.45">
      <c r="C23">
        <v>8.4018264840182655E-2</v>
      </c>
      <c r="D23">
        <v>2.3421425552544572E-2</v>
      </c>
      <c r="E23" t="s">
        <v>20</v>
      </c>
      <c r="F23" t="s">
        <v>195</v>
      </c>
      <c r="H23" t="s">
        <v>196</v>
      </c>
      <c r="I23" t="s">
        <v>20</v>
      </c>
      <c r="L23" t="s">
        <v>197</v>
      </c>
      <c r="M23" t="s">
        <v>20</v>
      </c>
      <c r="N23">
        <v>0.22881419383987822</v>
      </c>
      <c r="P23">
        <v>2025</v>
      </c>
      <c r="Q23" t="s">
        <v>198</v>
      </c>
      <c r="R23">
        <v>0.29619999999999996</v>
      </c>
      <c r="S23" t="s">
        <v>199</v>
      </c>
    </row>
    <row r="24" spans="3:19" x14ac:dyDescent="0.45">
      <c r="C24">
        <v>4.2009132420091327E-2</v>
      </c>
      <c r="D24">
        <v>5.1813804705433876E-2</v>
      </c>
      <c r="E24" t="s">
        <v>21</v>
      </c>
      <c r="F24" t="s">
        <v>195</v>
      </c>
      <c r="H24" t="s">
        <v>196</v>
      </c>
      <c r="I24" t="s">
        <v>21</v>
      </c>
      <c r="L24" t="s">
        <v>197</v>
      </c>
      <c r="M24" t="s">
        <v>21</v>
      </c>
      <c r="N24">
        <v>0.20921312381206647</v>
      </c>
      <c r="P24">
        <v>2025</v>
      </c>
      <c r="Q24" t="s">
        <v>200</v>
      </c>
      <c r="R24">
        <v>0.27356666666666668</v>
      </c>
      <c r="S24" t="s">
        <v>199</v>
      </c>
    </row>
    <row r="25" spans="3:19" x14ac:dyDescent="0.45">
      <c r="C25">
        <v>3.1506849315068496E-2</v>
      </c>
      <c r="D25">
        <v>3.9188192493515323E-2</v>
      </c>
      <c r="E25" t="s">
        <v>22</v>
      </c>
      <c r="F25" t="s">
        <v>195</v>
      </c>
      <c r="H25" t="s">
        <v>196</v>
      </c>
      <c r="I25" t="s">
        <v>22</v>
      </c>
      <c r="L25" t="s">
        <v>197</v>
      </c>
      <c r="M25" t="s">
        <v>22</v>
      </c>
      <c r="N25">
        <v>9.240911368981064E-2</v>
      </c>
      <c r="P25">
        <v>2025</v>
      </c>
      <c r="Q25" t="s">
        <v>201</v>
      </c>
      <c r="R25">
        <v>0.23003333333333331</v>
      </c>
      <c r="S25" t="s">
        <v>199</v>
      </c>
    </row>
    <row r="26" spans="3:19" x14ac:dyDescent="0.45">
      <c r="C26">
        <v>3.1506849315068496E-2</v>
      </c>
      <c r="D26">
        <v>4.0652031590549358E-2</v>
      </c>
      <c r="E26" t="s">
        <v>23</v>
      </c>
      <c r="F26" t="s">
        <v>195</v>
      </c>
      <c r="H26" t="s">
        <v>196</v>
      </c>
      <c r="I26" t="s">
        <v>23</v>
      </c>
      <c r="L26" t="s">
        <v>197</v>
      </c>
      <c r="M26" t="s">
        <v>23</v>
      </c>
      <c r="N26">
        <v>9.4680272290762924E-2</v>
      </c>
      <c r="P26">
        <v>2025</v>
      </c>
      <c r="Q26" t="s">
        <v>202</v>
      </c>
      <c r="R26">
        <v>0.2056</v>
      </c>
      <c r="S26" t="s">
        <v>199</v>
      </c>
    </row>
    <row r="27" spans="3:19" x14ac:dyDescent="0.45">
      <c r="C27">
        <v>3.1506849315068496E-2</v>
      </c>
      <c r="D27">
        <v>5.6723765010068872E-2</v>
      </c>
      <c r="E27" t="s">
        <v>24</v>
      </c>
      <c r="F27" t="s">
        <v>195</v>
      </c>
      <c r="H27" t="s">
        <v>196</v>
      </c>
      <c r="I27" t="s">
        <v>24</v>
      </c>
      <c r="L27" t="s">
        <v>197</v>
      </c>
      <c r="M27" t="s">
        <v>24</v>
      </c>
      <c r="N27">
        <v>8.6113415647036451E-2</v>
      </c>
      <c r="P27">
        <v>2026</v>
      </c>
      <c r="Q27" t="s">
        <v>198</v>
      </c>
      <c r="R27">
        <v>0.30990000000000001</v>
      </c>
      <c r="S27" t="s">
        <v>199</v>
      </c>
    </row>
    <row r="28" spans="3:19" x14ac:dyDescent="0.45">
      <c r="C28">
        <v>3.1506849315068496E-2</v>
      </c>
      <c r="D28">
        <v>4.0255575168435975E-2</v>
      </c>
      <c r="E28" t="s">
        <v>25</v>
      </c>
      <c r="F28" t="s">
        <v>195</v>
      </c>
      <c r="H28" t="s">
        <v>196</v>
      </c>
      <c r="I28" t="s">
        <v>25</v>
      </c>
      <c r="L28" t="s">
        <v>197</v>
      </c>
      <c r="M28" t="s">
        <v>25</v>
      </c>
      <c r="N28">
        <v>8.7112261755481368E-2</v>
      </c>
      <c r="P28">
        <v>2026</v>
      </c>
      <c r="Q28" t="s">
        <v>200</v>
      </c>
      <c r="R28">
        <v>0.24750000000000003</v>
      </c>
      <c r="S28" t="s">
        <v>199</v>
      </c>
    </row>
    <row r="29" spans="3:19" x14ac:dyDescent="0.45">
      <c r="C29">
        <v>8.3105022831050229E-2</v>
      </c>
      <c r="D29">
        <v>2.3166844840016909E-2</v>
      </c>
      <c r="E29" t="s">
        <v>26</v>
      </c>
      <c r="F29" t="s">
        <v>195</v>
      </c>
      <c r="H29" t="s">
        <v>196</v>
      </c>
      <c r="I29" t="s">
        <v>26</v>
      </c>
      <c r="L29" t="s">
        <v>197</v>
      </c>
      <c r="M29" t="s">
        <v>26</v>
      </c>
      <c r="N29">
        <v>0.28051647941972835</v>
      </c>
      <c r="P29">
        <v>2026</v>
      </c>
      <c r="Q29" t="s">
        <v>201</v>
      </c>
      <c r="R29">
        <v>0.23356666666666667</v>
      </c>
      <c r="S29" t="s">
        <v>199</v>
      </c>
    </row>
    <row r="30" spans="3:19" x14ac:dyDescent="0.45">
      <c r="C30">
        <v>4.1552511415525115E-2</v>
      </c>
      <c r="D30">
        <v>5.1250611176026986E-2</v>
      </c>
      <c r="E30" t="s">
        <v>27</v>
      </c>
      <c r="F30" t="s">
        <v>195</v>
      </c>
      <c r="H30" t="s">
        <v>196</v>
      </c>
      <c r="I30" t="s">
        <v>27</v>
      </c>
      <c r="L30" t="s">
        <v>197</v>
      </c>
      <c r="M30" t="s">
        <v>27</v>
      </c>
      <c r="N30">
        <v>0.30856833718314758</v>
      </c>
      <c r="P30">
        <v>2026</v>
      </c>
      <c r="Q30" t="s">
        <v>202</v>
      </c>
      <c r="R30">
        <v>0.18826666666666667</v>
      </c>
      <c r="S30" t="s">
        <v>199</v>
      </c>
    </row>
    <row r="31" spans="3:19" x14ac:dyDescent="0.45">
      <c r="C31">
        <v>3.1164383561643836E-2</v>
      </c>
      <c r="D31">
        <v>3.8762233879455377E-2</v>
      </c>
      <c r="E31" t="s">
        <v>28</v>
      </c>
      <c r="F31" t="s">
        <v>195</v>
      </c>
      <c r="H31" t="s">
        <v>196</v>
      </c>
      <c r="I31" t="s">
        <v>28</v>
      </c>
      <c r="L31" t="s">
        <v>197</v>
      </c>
      <c r="M31" t="s">
        <v>28</v>
      </c>
      <c r="N31">
        <v>0.15805180962448762</v>
      </c>
      <c r="P31">
        <v>2027</v>
      </c>
      <c r="Q31" t="s">
        <v>198</v>
      </c>
      <c r="R31">
        <v>0.30763333333333337</v>
      </c>
      <c r="S31" t="s">
        <v>199</v>
      </c>
    </row>
    <row r="32" spans="3:19" x14ac:dyDescent="0.45">
      <c r="C32">
        <v>3.1164383561643836E-2</v>
      </c>
      <c r="D32">
        <v>4.021016168195643E-2</v>
      </c>
      <c r="E32" t="s">
        <v>29</v>
      </c>
      <c r="F32" t="s">
        <v>195</v>
      </c>
      <c r="H32" t="s">
        <v>196</v>
      </c>
      <c r="I32" t="s">
        <v>29</v>
      </c>
      <c r="L32" t="s">
        <v>197</v>
      </c>
      <c r="M32" t="s">
        <v>29</v>
      </c>
      <c r="N32">
        <v>0.15438446688973273</v>
      </c>
      <c r="P32">
        <v>2027</v>
      </c>
      <c r="Q32" t="s">
        <v>200</v>
      </c>
      <c r="R32">
        <v>0.32896666666666668</v>
      </c>
      <c r="S32" t="s">
        <v>199</v>
      </c>
    </row>
    <row r="33" spans="3:19" x14ac:dyDescent="0.45">
      <c r="C33">
        <v>3.1164383561643836E-2</v>
      </c>
      <c r="D33">
        <v>5.6107202346915949E-2</v>
      </c>
      <c r="E33" t="s">
        <v>30</v>
      </c>
      <c r="F33" t="s">
        <v>195</v>
      </c>
      <c r="H33" t="s">
        <v>196</v>
      </c>
      <c r="I33" t="s">
        <v>30</v>
      </c>
      <c r="L33" t="s">
        <v>197</v>
      </c>
      <c r="M33" t="s">
        <v>30</v>
      </c>
      <c r="N33">
        <v>0.1727061919554318</v>
      </c>
      <c r="P33">
        <v>2027</v>
      </c>
      <c r="Q33" t="s">
        <v>201</v>
      </c>
      <c r="R33">
        <v>0.23676666666666665</v>
      </c>
      <c r="S33" t="s">
        <v>199</v>
      </c>
    </row>
    <row r="34" spans="3:19" x14ac:dyDescent="0.45">
      <c r="C34">
        <v>3.1164383561643836E-2</v>
      </c>
      <c r="D34">
        <v>3.9818014568779057E-2</v>
      </c>
      <c r="E34" t="s">
        <v>31</v>
      </c>
      <c r="F34" t="s">
        <v>195</v>
      </c>
      <c r="H34" t="s">
        <v>196</v>
      </c>
      <c r="I34" t="s">
        <v>31</v>
      </c>
      <c r="L34" t="s">
        <v>197</v>
      </c>
      <c r="M34" t="s">
        <v>31</v>
      </c>
      <c r="N34">
        <v>0.17628298012634835</v>
      </c>
      <c r="P34">
        <v>2027</v>
      </c>
      <c r="Q34" t="s">
        <v>202</v>
      </c>
      <c r="R34">
        <v>0.20086666666666667</v>
      </c>
      <c r="S34" t="s">
        <v>199</v>
      </c>
    </row>
    <row r="35" spans="3:19" x14ac:dyDescent="0.45">
      <c r="H35" t="s">
        <v>203</v>
      </c>
      <c r="I35" t="s">
        <v>5</v>
      </c>
      <c r="P35">
        <v>2028</v>
      </c>
      <c r="Q35" t="s">
        <v>198</v>
      </c>
      <c r="R35">
        <v>0.3652333333333333</v>
      </c>
      <c r="S35" t="s">
        <v>199</v>
      </c>
    </row>
    <row r="36" spans="3:19" x14ac:dyDescent="0.45">
      <c r="H36" t="s">
        <v>203</v>
      </c>
      <c r="I36" t="s">
        <v>9</v>
      </c>
      <c r="P36">
        <v>2028</v>
      </c>
      <c r="Q36" t="s">
        <v>200</v>
      </c>
      <c r="R36">
        <v>0.3464666666666667</v>
      </c>
      <c r="S36" t="s">
        <v>199</v>
      </c>
    </row>
    <row r="37" spans="3:19" x14ac:dyDescent="0.45">
      <c r="H37" t="s">
        <v>203</v>
      </c>
      <c r="I37" t="s">
        <v>10</v>
      </c>
      <c r="P37">
        <v>2028</v>
      </c>
      <c r="Q37" t="s">
        <v>201</v>
      </c>
      <c r="R37">
        <v>0.25796666666666668</v>
      </c>
      <c r="S37" t="s">
        <v>199</v>
      </c>
    </row>
    <row r="38" spans="3:19" x14ac:dyDescent="0.45">
      <c r="H38" t="s">
        <v>203</v>
      </c>
      <c r="I38" t="s">
        <v>11</v>
      </c>
      <c r="P38">
        <v>2028</v>
      </c>
      <c r="Q38" t="s">
        <v>202</v>
      </c>
      <c r="R38">
        <v>0.19089999999999999</v>
      </c>
      <c r="S38" t="s">
        <v>199</v>
      </c>
    </row>
    <row r="39" spans="3:19" x14ac:dyDescent="0.45">
      <c r="H39" t="s">
        <v>203</v>
      </c>
      <c r="I39" t="s">
        <v>12</v>
      </c>
      <c r="P39">
        <v>2029</v>
      </c>
      <c r="Q39" t="s">
        <v>198</v>
      </c>
      <c r="R39">
        <v>0.31886666666666663</v>
      </c>
      <c r="S39" t="s">
        <v>199</v>
      </c>
    </row>
    <row r="40" spans="3:19" x14ac:dyDescent="0.45">
      <c r="H40" t="s">
        <v>203</v>
      </c>
      <c r="I40" t="s">
        <v>13</v>
      </c>
      <c r="P40">
        <v>2029</v>
      </c>
      <c r="Q40" t="s">
        <v>200</v>
      </c>
      <c r="R40">
        <v>0.34953333333333331</v>
      </c>
      <c r="S40" t="s">
        <v>199</v>
      </c>
    </row>
    <row r="41" spans="3:19" x14ac:dyDescent="0.45">
      <c r="H41" t="s">
        <v>203</v>
      </c>
      <c r="I41" t="s">
        <v>14</v>
      </c>
      <c r="P41">
        <v>2029</v>
      </c>
      <c r="Q41" t="s">
        <v>201</v>
      </c>
      <c r="R41">
        <v>0.24443333333333331</v>
      </c>
      <c r="S41" t="s">
        <v>199</v>
      </c>
    </row>
    <row r="42" spans="3:19" x14ac:dyDescent="0.45">
      <c r="H42" t="s">
        <v>203</v>
      </c>
      <c r="I42" t="s">
        <v>15</v>
      </c>
      <c r="P42">
        <v>2029</v>
      </c>
      <c r="Q42" t="s">
        <v>202</v>
      </c>
      <c r="R42">
        <v>0.16983333333333336</v>
      </c>
      <c r="S42" t="s">
        <v>199</v>
      </c>
    </row>
    <row r="43" spans="3:19" x14ac:dyDescent="0.45">
      <c r="H43" t="s">
        <v>203</v>
      </c>
      <c r="I43" t="s">
        <v>16</v>
      </c>
      <c r="P43">
        <v>2030</v>
      </c>
      <c r="Q43" t="s">
        <v>198</v>
      </c>
      <c r="R43">
        <v>0.31743333333333335</v>
      </c>
      <c r="S43" t="s">
        <v>199</v>
      </c>
    </row>
    <row r="44" spans="3:19" x14ac:dyDescent="0.45">
      <c r="H44" t="s">
        <v>203</v>
      </c>
      <c r="I44" t="s">
        <v>17</v>
      </c>
      <c r="P44">
        <v>2030</v>
      </c>
      <c r="Q44" t="s">
        <v>200</v>
      </c>
      <c r="R44">
        <v>0.36359999999999998</v>
      </c>
      <c r="S44" t="s">
        <v>199</v>
      </c>
    </row>
    <row r="45" spans="3:19" x14ac:dyDescent="0.45">
      <c r="H45" t="s">
        <v>203</v>
      </c>
      <c r="I45" t="s">
        <v>18</v>
      </c>
      <c r="P45">
        <v>2030</v>
      </c>
      <c r="Q45" t="s">
        <v>201</v>
      </c>
      <c r="R45">
        <v>0.24803333333333333</v>
      </c>
      <c r="S45" t="s">
        <v>199</v>
      </c>
    </row>
    <row r="46" spans="3:19" x14ac:dyDescent="0.45">
      <c r="H46" t="s">
        <v>203</v>
      </c>
      <c r="I46" t="s">
        <v>19</v>
      </c>
      <c r="P46">
        <v>2030</v>
      </c>
      <c r="Q46" t="s">
        <v>202</v>
      </c>
      <c r="R46">
        <v>0.20230000000000001</v>
      </c>
      <c r="S46" t="s">
        <v>199</v>
      </c>
    </row>
    <row r="47" spans="3:19" x14ac:dyDescent="0.45">
      <c r="H47" t="s">
        <v>203</v>
      </c>
      <c r="I47" t="s">
        <v>20</v>
      </c>
      <c r="P47">
        <v>2031</v>
      </c>
      <c r="Q47" t="s">
        <v>198</v>
      </c>
      <c r="R47">
        <v>0.33770000000000006</v>
      </c>
      <c r="S47" t="s">
        <v>199</v>
      </c>
    </row>
    <row r="48" spans="3:19" x14ac:dyDescent="0.45">
      <c r="H48" t="s">
        <v>203</v>
      </c>
      <c r="I48" t="s">
        <v>21</v>
      </c>
      <c r="P48">
        <v>2031</v>
      </c>
      <c r="Q48" t="s">
        <v>200</v>
      </c>
      <c r="R48">
        <v>0.34693333333333332</v>
      </c>
      <c r="S48" t="s">
        <v>199</v>
      </c>
    </row>
    <row r="49" spans="8:19" x14ac:dyDescent="0.45">
      <c r="H49" t="s">
        <v>203</v>
      </c>
      <c r="I49" t="s">
        <v>22</v>
      </c>
      <c r="P49">
        <v>2031</v>
      </c>
      <c r="Q49" t="s">
        <v>201</v>
      </c>
      <c r="R49">
        <v>0.2714333333333333</v>
      </c>
      <c r="S49" t="s">
        <v>199</v>
      </c>
    </row>
    <row r="50" spans="8:19" x14ac:dyDescent="0.45">
      <c r="H50" t="s">
        <v>203</v>
      </c>
      <c r="I50" t="s">
        <v>23</v>
      </c>
      <c r="P50">
        <v>2031</v>
      </c>
      <c r="Q50" t="s">
        <v>202</v>
      </c>
      <c r="R50">
        <v>0.20003333333333337</v>
      </c>
      <c r="S50" t="s">
        <v>199</v>
      </c>
    </row>
    <row r="51" spans="8:19" x14ac:dyDescent="0.45">
      <c r="H51" t="s">
        <v>203</v>
      </c>
      <c r="I51" t="s">
        <v>24</v>
      </c>
      <c r="P51">
        <v>2032</v>
      </c>
      <c r="Q51" t="s">
        <v>198</v>
      </c>
      <c r="R51">
        <v>0.2742</v>
      </c>
      <c r="S51" t="s">
        <v>199</v>
      </c>
    </row>
    <row r="52" spans="8:19" x14ac:dyDescent="0.45">
      <c r="H52" t="s">
        <v>203</v>
      </c>
      <c r="I52" t="s">
        <v>25</v>
      </c>
      <c r="P52">
        <v>2032</v>
      </c>
      <c r="Q52" t="s">
        <v>200</v>
      </c>
      <c r="R52">
        <v>0.25089999999999996</v>
      </c>
      <c r="S52" t="s">
        <v>199</v>
      </c>
    </row>
    <row r="53" spans="8:19" x14ac:dyDescent="0.45">
      <c r="H53" t="s">
        <v>203</v>
      </c>
      <c r="I53" t="s">
        <v>26</v>
      </c>
      <c r="P53">
        <v>2032</v>
      </c>
      <c r="Q53" t="s">
        <v>201</v>
      </c>
      <c r="R53">
        <v>0.23026666666666665</v>
      </c>
      <c r="S53" t="s">
        <v>199</v>
      </c>
    </row>
    <row r="54" spans="8:19" x14ac:dyDescent="0.45">
      <c r="H54" t="s">
        <v>203</v>
      </c>
      <c r="I54" t="s">
        <v>27</v>
      </c>
      <c r="P54">
        <v>2032</v>
      </c>
      <c r="Q54" t="s">
        <v>202</v>
      </c>
      <c r="R54">
        <v>0.18776666666666664</v>
      </c>
      <c r="S54" t="s">
        <v>199</v>
      </c>
    </row>
    <row r="55" spans="8:19" x14ac:dyDescent="0.45">
      <c r="H55" t="s">
        <v>203</v>
      </c>
      <c r="I55" t="s">
        <v>28</v>
      </c>
      <c r="P55">
        <v>2033</v>
      </c>
      <c r="Q55" t="s">
        <v>198</v>
      </c>
      <c r="R55">
        <v>0.30149999999999993</v>
      </c>
      <c r="S55" t="s">
        <v>199</v>
      </c>
    </row>
    <row r="56" spans="8:19" x14ac:dyDescent="0.45">
      <c r="H56" t="s">
        <v>203</v>
      </c>
      <c r="I56" t="s">
        <v>29</v>
      </c>
      <c r="P56">
        <v>2033</v>
      </c>
      <c r="Q56" t="s">
        <v>200</v>
      </c>
      <c r="R56">
        <v>0.33426666666666666</v>
      </c>
      <c r="S56" t="s">
        <v>199</v>
      </c>
    </row>
    <row r="57" spans="8:19" x14ac:dyDescent="0.45">
      <c r="H57" t="s">
        <v>203</v>
      </c>
      <c r="I57" t="s">
        <v>30</v>
      </c>
      <c r="P57">
        <v>2033</v>
      </c>
      <c r="Q57" t="s">
        <v>201</v>
      </c>
      <c r="R57">
        <v>0.25666666666666665</v>
      </c>
      <c r="S57" t="s">
        <v>199</v>
      </c>
    </row>
    <row r="58" spans="8:19" x14ac:dyDescent="0.45">
      <c r="H58" t="s">
        <v>203</v>
      </c>
      <c r="I58" t="s">
        <v>31</v>
      </c>
      <c r="P58">
        <v>2033</v>
      </c>
      <c r="Q58" t="s">
        <v>202</v>
      </c>
      <c r="R58">
        <v>0.17489999999999997</v>
      </c>
      <c r="S58" t="s">
        <v>199</v>
      </c>
    </row>
    <row r="59" spans="8:19" x14ac:dyDescent="0.45">
      <c r="P59">
        <v>2034</v>
      </c>
      <c r="Q59" t="s">
        <v>198</v>
      </c>
      <c r="R59">
        <v>0.27499999999999997</v>
      </c>
      <c r="S59" t="s">
        <v>199</v>
      </c>
    </row>
    <row r="60" spans="8:19" x14ac:dyDescent="0.45">
      <c r="P60">
        <v>2034</v>
      </c>
      <c r="Q60" t="s">
        <v>200</v>
      </c>
      <c r="R60">
        <v>0.27550000000000002</v>
      </c>
      <c r="S60" t="s">
        <v>199</v>
      </c>
    </row>
    <row r="61" spans="8:19" x14ac:dyDescent="0.45">
      <c r="P61">
        <v>2034</v>
      </c>
      <c r="Q61" t="s">
        <v>201</v>
      </c>
      <c r="R61">
        <v>0.23386666666666667</v>
      </c>
      <c r="S61" t="s">
        <v>199</v>
      </c>
    </row>
    <row r="62" spans="8:19" x14ac:dyDescent="0.45">
      <c r="P62">
        <v>2034</v>
      </c>
      <c r="Q62" t="s">
        <v>202</v>
      </c>
      <c r="R62">
        <v>0.15140000000000001</v>
      </c>
      <c r="S62" t="s">
        <v>199</v>
      </c>
    </row>
    <row r="63" spans="8:19" x14ac:dyDescent="0.45">
      <c r="P63">
        <v>2035</v>
      </c>
      <c r="Q63" t="s">
        <v>198</v>
      </c>
      <c r="R63">
        <v>0.28456666666666669</v>
      </c>
      <c r="S63" t="s">
        <v>199</v>
      </c>
    </row>
    <row r="64" spans="8:19" x14ac:dyDescent="0.45">
      <c r="P64">
        <v>2035</v>
      </c>
      <c r="Q64" t="s">
        <v>200</v>
      </c>
      <c r="R64">
        <v>0.33493333333333331</v>
      </c>
      <c r="S64" t="s">
        <v>199</v>
      </c>
    </row>
    <row r="65" spans="16:19" x14ac:dyDescent="0.45">
      <c r="P65">
        <v>2035</v>
      </c>
      <c r="Q65" t="s">
        <v>201</v>
      </c>
      <c r="R65">
        <v>0.25253333333333333</v>
      </c>
      <c r="S65" t="s">
        <v>199</v>
      </c>
    </row>
    <row r="66" spans="16:19" x14ac:dyDescent="0.45">
      <c r="P66">
        <v>2035</v>
      </c>
      <c r="Q66" t="s">
        <v>202</v>
      </c>
      <c r="R66">
        <v>0.17956666666666665</v>
      </c>
      <c r="S66" t="s">
        <v>199</v>
      </c>
    </row>
    <row r="67" spans="16:19" x14ac:dyDescent="0.45">
      <c r="P67">
        <v>2036</v>
      </c>
      <c r="Q67" t="s">
        <v>198</v>
      </c>
      <c r="R67">
        <v>0.28899999999999998</v>
      </c>
      <c r="S67" t="s">
        <v>199</v>
      </c>
    </row>
    <row r="68" spans="16:19" x14ac:dyDescent="0.45">
      <c r="P68">
        <v>2036</v>
      </c>
      <c r="Q68" t="s">
        <v>200</v>
      </c>
      <c r="R68">
        <v>0.29876666666666668</v>
      </c>
      <c r="S68" t="s">
        <v>199</v>
      </c>
    </row>
    <row r="69" spans="16:19" x14ac:dyDescent="0.45">
      <c r="P69">
        <v>2036</v>
      </c>
      <c r="Q69" t="s">
        <v>201</v>
      </c>
      <c r="R69">
        <v>0.24546666666666669</v>
      </c>
      <c r="S69" t="s">
        <v>199</v>
      </c>
    </row>
    <row r="70" spans="16:19" x14ac:dyDescent="0.45">
      <c r="P70">
        <v>2036</v>
      </c>
      <c r="Q70" t="s">
        <v>202</v>
      </c>
      <c r="R70">
        <v>0.1855</v>
      </c>
      <c r="S70" t="s">
        <v>199</v>
      </c>
    </row>
    <row r="71" spans="16:19" x14ac:dyDescent="0.45">
      <c r="P71">
        <v>2037</v>
      </c>
      <c r="Q71" t="s">
        <v>198</v>
      </c>
      <c r="R71">
        <v>0.27283333333333332</v>
      </c>
      <c r="S71" t="s">
        <v>199</v>
      </c>
    </row>
    <row r="72" spans="16:19" x14ac:dyDescent="0.45">
      <c r="P72">
        <v>2037</v>
      </c>
      <c r="Q72" t="s">
        <v>200</v>
      </c>
      <c r="R72">
        <v>0.27016666666666667</v>
      </c>
      <c r="S72" t="s">
        <v>199</v>
      </c>
    </row>
    <row r="73" spans="16:19" x14ac:dyDescent="0.45">
      <c r="P73">
        <v>2037</v>
      </c>
      <c r="Q73" t="s">
        <v>201</v>
      </c>
      <c r="R73">
        <v>0.20276666666666668</v>
      </c>
      <c r="S73" t="s">
        <v>199</v>
      </c>
    </row>
    <row r="74" spans="16:19" x14ac:dyDescent="0.45">
      <c r="P74">
        <v>2037</v>
      </c>
      <c r="Q74" t="s">
        <v>202</v>
      </c>
      <c r="R74">
        <v>0.1724</v>
      </c>
      <c r="S74" t="s">
        <v>199</v>
      </c>
    </row>
    <row r="75" spans="16:19" x14ac:dyDescent="0.45">
      <c r="P75">
        <v>2038</v>
      </c>
      <c r="Q75" t="s">
        <v>198</v>
      </c>
      <c r="R75">
        <v>0.31776666666666664</v>
      </c>
      <c r="S75" t="s">
        <v>199</v>
      </c>
    </row>
    <row r="76" spans="16:19" x14ac:dyDescent="0.45">
      <c r="P76">
        <v>2038</v>
      </c>
      <c r="Q76" t="s">
        <v>200</v>
      </c>
      <c r="R76">
        <v>0.29699999999999999</v>
      </c>
      <c r="S76" t="s">
        <v>199</v>
      </c>
    </row>
    <row r="77" spans="16:19" x14ac:dyDescent="0.45">
      <c r="P77">
        <v>2038</v>
      </c>
      <c r="Q77" t="s">
        <v>201</v>
      </c>
      <c r="R77">
        <v>0.23066666666666669</v>
      </c>
      <c r="S77" t="s">
        <v>199</v>
      </c>
    </row>
    <row r="78" spans="16:19" x14ac:dyDescent="0.45">
      <c r="P78">
        <v>2038</v>
      </c>
      <c r="Q78" t="s">
        <v>202</v>
      </c>
      <c r="R78">
        <v>0.17943333333333333</v>
      </c>
      <c r="S78" t="s">
        <v>199</v>
      </c>
    </row>
    <row r="79" spans="16:19" x14ac:dyDescent="0.45">
      <c r="P79">
        <v>2039</v>
      </c>
      <c r="Q79" t="s">
        <v>198</v>
      </c>
      <c r="R79">
        <v>0.3617333333333333</v>
      </c>
      <c r="S79" t="s">
        <v>199</v>
      </c>
    </row>
    <row r="80" spans="16:19" x14ac:dyDescent="0.45">
      <c r="P80">
        <v>2039</v>
      </c>
      <c r="Q80" t="s">
        <v>200</v>
      </c>
      <c r="R80">
        <v>0.29273333333333335</v>
      </c>
      <c r="S80" t="s">
        <v>199</v>
      </c>
    </row>
    <row r="81" spans="16:19" x14ac:dyDescent="0.45">
      <c r="P81">
        <v>2039</v>
      </c>
      <c r="Q81" t="s">
        <v>201</v>
      </c>
      <c r="R81">
        <v>0.25616666666666665</v>
      </c>
      <c r="S81" t="s">
        <v>199</v>
      </c>
    </row>
    <row r="82" spans="16:19" x14ac:dyDescent="0.45">
      <c r="P82">
        <v>2039</v>
      </c>
      <c r="Q82" t="s">
        <v>202</v>
      </c>
      <c r="R82">
        <v>0.20813333333333331</v>
      </c>
      <c r="S82" t="s">
        <v>199</v>
      </c>
    </row>
    <row r="83" spans="16:19" x14ac:dyDescent="0.45">
      <c r="P83">
        <v>2040</v>
      </c>
      <c r="Q83" t="s">
        <v>198</v>
      </c>
      <c r="R83">
        <v>0.38593333333333329</v>
      </c>
      <c r="S83" t="s">
        <v>199</v>
      </c>
    </row>
    <row r="84" spans="16:19" x14ac:dyDescent="0.45">
      <c r="P84">
        <v>2040</v>
      </c>
      <c r="Q84" t="s">
        <v>200</v>
      </c>
      <c r="R84">
        <v>0.36663333333333337</v>
      </c>
      <c r="S84" t="s">
        <v>199</v>
      </c>
    </row>
    <row r="85" spans="16:19" x14ac:dyDescent="0.45">
      <c r="P85">
        <v>2040</v>
      </c>
      <c r="Q85" t="s">
        <v>201</v>
      </c>
      <c r="R85">
        <v>0.28786666666666666</v>
      </c>
      <c r="S85" t="s">
        <v>199</v>
      </c>
    </row>
    <row r="86" spans="16:19" x14ac:dyDescent="0.45">
      <c r="P86">
        <v>2040</v>
      </c>
      <c r="Q86" t="s">
        <v>202</v>
      </c>
      <c r="R86">
        <v>0.23529999999999998</v>
      </c>
      <c r="S86" t="s">
        <v>199</v>
      </c>
    </row>
    <row r="87" spans="16:19" x14ac:dyDescent="0.45">
      <c r="P87">
        <v>2041</v>
      </c>
      <c r="Q87" t="s">
        <v>198</v>
      </c>
      <c r="R87">
        <v>0.37480000000000002</v>
      </c>
      <c r="S87" t="s">
        <v>199</v>
      </c>
    </row>
    <row r="88" spans="16:19" x14ac:dyDescent="0.45">
      <c r="P88">
        <v>2041</v>
      </c>
      <c r="Q88" t="s">
        <v>200</v>
      </c>
      <c r="R88">
        <v>0.34139999999999998</v>
      </c>
      <c r="S88" t="s">
        <v>199</v>
      </c>
    </row>
    <row r="89" spans="16:19" x14ac:dyDescent="0.45">
      <c r="P89">
        <v>2041</v>
      </c>
      <c r="Q89" t="s">
        <v>201</v>
      </c>
      <c r="R89">
        <v>0.2883</v>
      </c>
      <c r="S89" t="s">
        <v>199</v>
      </c>
    </row>
    <row r="90" spans="16:19" x14ac:dyDescent="0.45">
      <c r="P90">
        <v>2041</v>
      </c>
      <c r="Q90" t="s">
        <v>202</v>
      </c>
      <c r="R90">
        <v>0.28793333333333332</v>
      </c>
      <c r="S90" t="s">
        <v>199</v>
      </c>
    </row>
    <row r="91" spans="16:19" x14ac:dyDescent="0.45">
      <c r="P91">
        <v>2042</v>
      </c>
      <c r="Q91" t="s">
        <v>198</v>
      </c>
      <c r="R91">
        <v>0.41136666666666666</v>
      </c>
      <c r="S91" t="s">
        <v>199</v>
      </c>
    </row>
    <row r="92" spans="16:19" x14ac:dyDescent="0.45">
      <c r="P92">
        <v>2042</v>
      </c>
      <c r="Q92" t="s">
        <v>200</v>
      </c>
      <c r="R92">
        <v>0.40083333333333332</v>
      </c>
      <c r="S92" t="s">
        <v>199</v>
      </c>
    </row>
    <row r="93" spans="16:19" x14ac:dyDescent="0.45">
      <c r="P93">
        <v>2042</v>
      </c>
      <c r="Q93" t="s">
        <v>201</v>
      </c>
      <c r="R93">
        <v>0.31986666666666669</v>
      </c>
      <c r="S93" t="s">
        <v>199</v>
      </c>
    </row>
    <row r="94" spans="16:19" x14ac:dyDescent="0.45">
      <c r="P94">
        <v>2042</v>
      </c>
      <c r="Q94" t="s">
        <v>202</v>
      </c>
      <c r="R94">
        <v>0.24186666666666667</v>
      </c>
      <c r="S94" t="s">
        <v>199</v>
      </c>
    </row>
    <row r="95" spans="16:19" x14ac:dyDescent="0.45">
      <c r="P95">
        <v>2043</v>
      </c>
      <c r="Q95" t="s">
        <v>198</v>
      </c>
      <c r="R95">
        <v>0.36306666666666665</v>
      </c>
      <c r="S95" t="s">
        <v>199</v>
      </c>
    </row>
    <row r="96" spans="16:19" x14ac:dyDescent="0.45">
      <c r="P96">
        <v>2043</v>
      </c>
      <c r="Q96" t="s">
        <v>200</v>
      </c>
      <c r="R96">
        <v>0.34923333333333334</v>
      </c>
      <c r="S96" t="s">
        <v>199</v>
      </c>
    </row>
    <row r="97" spans="16:19" x14ac:dyDescent="0.45">
      <c r="P97">
        <v>2043</v>
      </c>
      <c r="Q97" t="s">
        <v>201</v>
      </c>
      <c r="R97">
        <v>0.25130000000000002</v>
      </c>
      <c r="S97" t="s">
        <v>199</v>
      </c>
    </row>
    <row r="98" spans="16:19" x14ac:dyDescent="0.45">
      <c r="P98">
        <v>2043</v>
      </c>
      <c r="Q98" t="s">
        <v>202</v>
      </c>
      <c r="R98">
        <v>0.28016666666666667</v>
      </c>
      <c r="S98" t="s">
        <v>199</v>
      </c>
    </row>
    <row r="99" spans="16:19" x14ac:dyDescent="0.45">
      <c r="P99">
        <v>2044</v>
      </c>
      <c r="Q99" t="s">
        <v>198</v>
      </c>
      <c r="R99">
        <v>0.37040000000000001</v>
      </c>
      <c r="S99" t="s">
        <v>199</v>
      </c>
    </row>
    <row r="100" spans="16:19" x14ac:dyDescent="0.45">
      <c r="P100">
        <v>2044</v>
      </c>
      <c r="Q100" t="s">
        <v>200</v>
      </c>
      <c r="R100">
        <v>0.32103333333333334</v>
      </c>
      <c r="S100" t="s">
        <v>199</v>
      </c>
    </row>
    <row r="101" spans="16:19" x14ac:dyDescent="0.45">
      <c r="P101">
        <v>2044</v>
      </c>
      <c r="Q101" t="s">
        <v>201</v>
      </c>
      <c r="R101">
        <v>0.29316666666666663</v>
      </c>
      <c r="S101" t="s">
        <v>199</v>
      </c>
    </row>
    <row r="102" spans="16:19" x14ac:dyDescent="0.45">
      <c r="P102">
        <v>2044</v>
      </c>
      <c r="Q102" t="s">
        <v>202</v>
      </c>
      <c r="R102">
        <v>0.2056</v>
      </c>
      <c r="S102" t="s">
        <v>199</v>
      </c>
    </row>
    <row r="103" spans="16:19" x14ac:dyDescent="0.45">
      <c r="P103">
        <v>2045</v>
      </c>
      <c r="Q103" t="s">
        <v>198</v>
      </c>
      <c r="R103">
        <v>0.37253333333333333</v>
      </c>
      <c r="S103" t="s">
        <v>199</v>
      </c>
    </row>
    <row r="104" spans="16:19" x14ac:dyDescent="0.45">
      <c r="P104">
        <v>2045</v>
      </c>
      <c r="Q104" t="s">
        <v>200</v>
      </c>
      <c r="R104">
        <v>0.35886666666666667</v>
      </c>
      <c r="S104" t="s">
        <v>199</v>
      </c>
    </row>
    <row r="105" spans="16:19" x14ac:dyDescent="0.45">
      <c r="P105">
        <v>2045</v>
      </c>
      <c r="Q105" t="s">
        <v>201</v>
      </c>
      <c r="R105">
        <v>0.30459999999999998</v>
      </c>
      <c r="S105" t="s">
        <v>199</v>
      </c>
    </row>
    <row r="106" spans="16:19" x14ac:dyDescent="0.45">
      <c r="P106">
        <v>2045</v>
      </c>
      <c r="Q106" t="s">
        <v>202</v>
      </c>
      <c r="R106">
        <v>0.21410000000000004</v>
      </c>
      <c r="S106" t="s">
        <v>199</v>
      </c>
    </row>
    <row r="107" spans="16:19" x14ac:dyDescent="0.45">
      <c r="P107">
        <v>2046</v>
      </c>
      <c r="Q107" t="s">
        <v>198</v>
      </c>
      <c r="R107">
        <v>0.38046666666666668</v>
      </c>
      <c r="S107" t="s">
        <v>199</v>
      </c>
    </row>
    <row r="108" spans="16:19" x14ac:dyDescent="0.45">
      <c r="P108">
        <v>2046</v>
      </c>
      <c r="Q108" t="s">
        <v>200</v>
      </c>
      <c r="R108">
        <v>0.40293333333333337</v>
      </c>
      <c r="S108" t="s">
        <v>199</v>
      </c>
    </row>
    <row r="109" spans="16:19" x14ac:dyDescent="0.45">
      <c r="P109">
        <v>2046</v>
      </c>
      <c r="Q109" t="s">
        <v>201</v>
      </c>
      <c r="R109">
        <v>0.31109999999999999</v>
      </c>
      <c r="S109" t="s">
        <v>199</v>
      </c>
    </row>
    <row r="110" spans="16:19" x14ac:dyDescent="0.45">
      <c r="P110">
        <v>2046</v>
      </c>
      <c r="Q110" t="s">
        <v>202</v>
      </c>
      <c r="R110">
        <v>0.26540000000000002</v>
      </c>
      <c r="S110" t="s">
        <v>199</v>
      </c>
    </row>
    <row r="111" spans="16:19" x14ac:dyDescent="0.45">
      <c r="P111">
        <v>2047</v>
      </c>
      <c r="Q111" t="s">
        <v>198</v>
      </c>
      <c r="R111">
        <v>0.32696666666666668</v>
      </c>
      <c r="S111" t="s">
        <v>199</v>
      </c>
    </row>
    <row r="112" spans="16:19" x14ac:dyDescent="0.45">
      <c r="P112">
        <v>2047</v>
      </c>
      <c r="Q112" t="s">
        <v>200</v>
      </c>
      <c r="R112">
        <v>0.32516666666666666</v>
      </c>
      <c r="S112" t="s">
        <v>199</v>
      </c>
    </row>
    <row r="113" spans="16:19" x14ac:dyDescent="0.45">
      <c r="P113">
        <v>2047</v>
      </c>
      <c r="Q113" t="s">
        <v>201</v>
      </c>
      <c r="R113">
        <v>0.29059999999999997</v>
      </c>
      <c r="S113" t="s">
        <v>199</v>
      </c>
    </row>
    <row r="114" spans="16:19" x14ac:dyDescent="0.45">
      <c r="P114">
        <v>2047</v>
      </c>
      <c r="Q114" t="s">
        <v>202</v>
      </c>
      <c r="R114">
        <v>0.18203333333333335</v>
      </c>
      <c r="S114" t="s">
        <v>199</v>
      </c>
    </row>
    <row r="115" spans="16:19" x14ac:dyDescent="0.45">
      <c r="P115">
        <v>2048</v>
      </c>
      <c r="Q115" t="s">
        <v>198</v>
      </c>
      <c r="R115">
        <v>0.29153333333333337</v>
      </c>
      <c r="S115" t="s">
        <v>199</v>
      </c>
    </row>
    <row r="116" spans="16:19" x14ac:dyDescent="0.45">
      <c r="P116">
        <v>2048</v>
      </c>
      <c r="Q116" t="s">
        <v>200</v>
      </c>
      <c r="R116">
        <v>0.29143333333333338</v>
      </c>
      <c r="S116" t="s">
        <v>199</v>
      </c>
    </row>
    <row r="117" spans="16:19" x14ac:dyDescent="0.45">
      <c r="P117">
        <v>2048</v>
      </c>
      <c r="Q117" t="s">
        <v>201</v>
      </c>
      <c r="R117">
        <v>0.20753333333333335</v>
      </c>
      <c r="S117" t="s">
        <v>199</v>
      </c>
    </row>
    <row r="118" spans="16:19" x14ac:dyDescent="0.45">
      <c r="P118">
        <v>2048</v>
      </c>
      <c r="Q118" t="s">
        <v>202</v>
      </c>
      <c r="R118">
        <v>0.22473333333333334</v>
      </c>
      <c r="S118" t="s">
        <v>199</v>
      </c>
    </row>
    <row r="119" spans="16:19" x14ac:dyDescent="0.45">
      <c r="P119">
        <v>2049</v>
      </c>
      <c r="Q119" t="s">
        <v>198</v>
      </c>
      <c r="R119">
        <v>0.27843333333333331</v>
      </c>
      <c r="S119" t="s">
        <v>199</v>
      </c>
    </row>
    <row r="120" spans="16:19" x14ac:dyDescent="0.45">
      <c r="P120">
        <v>2049</v>
      </c>
      <c r="Q120" t="s">
        <v>200</v>
      </c>
      <c r="R120">
        <v>0.30353333333333338</v>
      </c>
      <c r="S120" t="s">
        <v>199</v>
      </c>
    </row>
    <row r="121" spans="16:19" x14ac:dyDescent="0.45">
      <c r="P121">
        <v>2049</v>
      </c>
      <c r="Q121" t="s">
        <v>201</v>
      </c>
      <c r="R121">
        <v>0.25676666666666664</v>
      </c>
      <c r="S121" t="s">
        <v>199</v>
      </c>
    </row>
    <row r="122" spans="16:19" x14ac:dyDescent="0.45">
      <c r="P122">
        <v>2049</v>
      </c>
      <c r="Q122" t="s">
        <v>202</v>
      </c>
      <c r="R122">
        <v>0.21706666666666666</v>
      </c>
      <c r="S122" t="s">
        <v>199</v>
      </c>
    </row>
    <row r="123" spans="16:19" x14ac:dyDescent="0.45">
      <c r="P123">
        <v>2050</v>
      </c>
      <c r="Q123" t="s">
        <v>198</v>
      </c>
      <c r="R123">
        <v>0.31180000000000002</v>
      </c>
      <c r="S123" t="s">
        <v>199</v>
      </c>
    </row>
    <row r="124" spans="16:19" x14ac:dyDescent="0.45">
      <c r="P124">
        <v>2050</v>
      </c>
      <c r="Q124" t="s">
        <v>200</v>
      </c>
      <c r="R124">
        <v>0.29099999999999998</v>
      </c>
      <c r="S124" t="s">
        <v>199</v>
      </c>
    </row>
    <row r="125" spans="16:19" x14ac:dyDescent="0.45">
      <c r="P125">
        <v>2050</v>
      </c>
      <c r="Q125" t="s">
        <v>201</v>
      </c>
      <c r="R125">
        <v>0.31703333333333333</v>
      </c>
      <c r="S125" t="s">
        <v>199</v>
      </c>
    </row>
    <row r="126" spans="16:19" x14ac:dyDescent="0.45">
      <c r="P126">
        <v>2050</v>
      </c>
      <c r="Q126" t="s">
        <v>202</v>
      </c>
      <c r="R126">
        <v>0.19446666666666668</v>
      </c>
      <c r="S126" t="s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FA4C-B0EB-4736-B3B0-172E7232F520}">
  <dimension ref="B9:O826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region=GBR")</f>
        <v>~TFM_DINS-AT: region=GBR</v>
      </c>
      <c r="G9" t="str">
        <f>IF(A11="x","DeActivated","~TFM_DINS-AT: region=GBR")</f>
        <v>~TFM_DINS-AT: region=GBR</v>
      </c>
      <c r="L9" t="str">
        <f>IF(A11="x","DeActivated","~TFM_DINS-AT: region=GBR")</f>
        <v>~TFM_DINS-AT: region=GBR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204</v>
      </c>
      <c r="C11" t="s">
        <v>5</v>
      </c>
      <c r="D11">
        <v>0</v>
      </c>
      <c r="E11" t="s">
        <v>6</v>
      </c>
      <c r="G11" t="s">
        <v>205</v>
      </c>
      <c r="H11" t="s">
        <v>5</v>
      </c>
      <c r="I11">
        <v>0.10054401612738957</v>
      </c>
      <c r="J11" t="s">
        <v>6</v>
      </c>
      <c r="L11" t="s">
        <v>206</v>
      </c>
      <c r="M11" t="s">
        <v>5</v>
      </c>
      <c r="N11">
        <v>9.3187305677535762E-2</v>
      </c>
      <c r="O11" t="s">
        <v>6</v>
      </c>
    </row>
    <row r="12" spans="2:15" x14ac:dyDescent="0.45">
      <c r="B12" t="s">
        <v>204</v>
      </c>
      <c r="C12" t="s">
        <v>9</v>
      </c>
      <c r="D12">
        <v>1.9014844620307846E-4</v>
      </c>
      <c r="E12" t="s">
        <v>6</v>
      </c>
      <c r="G12" t="s">
        <v>205</v>
      </c>
      <c r="H12" t="s">
        <v>9</v>
      </c>
      <c r="I12">
        <v>4.9213871715547072E-2</v>
      </c>
      <c r="J12" t="s">
        <v>6</v>
      </c>
      <c r="L12" t="s">
        <v>206</v>
      </c>
      <c r="M12" t="s">
        <v>9</v>
      </c>
      <c r="N12">
        <v>4.7494171012663462E-2</v>
      </c>
      <c r="O12" t="s">
        <v>6</v>
      </c>
    </row>
    <row r="13" spans="2:15" x14ac:dyDescent="0.45">
      <c r="B13" t="s">
        <v>204</v>
      </c>
      <c r="C13" t="s">
        <v>10</v>
      </c>
      <c r="D13">
        <v>3.0949965413317342E-2</v>
      </c>
      <c r="E13" t="s">
        <v>6</v>
      </c>
      <c r="G13" t="s">
        <v>205</v>
      </c>
      <c r="H13" t="s">
        <v>10</v>
      </c>
      <c r="I13">
        <v>3.5971795793958802E-2</v>
      </c>
      <c r="J13" t="s">
        <v>6</v>
      </c>
      <c r="L13" t="s">
        <v>206</v>
      </c>
      <c r="M13" t="s">
        <v>10</v>
      </c>
      <c r="N13">
        <v>3.5127094042822472E-2</v>
      </c>
      <c r="O13" t="s">
        <v>6</v>
      </c>
    </row>
    <row r="14" spans="2:15" x14ac:dyDescent="0.45">
      <c r="B14" t="s">
        <v>204</v>
      </c>
      <c r="C14" t="s">
        <v>11</v>
      </c>
      <c r="D14">
        <v>6.153548322955639E-2</v>
      </c>
      <c r="E14" t="s">
        <v>6</v>
      </c>
      <c r="G14" t="s">
        <v>205</v>
      </c>
      <c r="H14" t="s">
        <v>11</v>
      </c>
      <c r="I14">
        <v>3.5839356737177606E-2</v>
      </c>
      <c r="J14" t="s">
        <v>6</v>
      </c>
      <c r="L14" t="s">
        <v>206</v>
      </c>
      <c r="M14" t="s">
        <v>11</v>
      </c>
      <c r="N14">
        <v>3.4642994195479733E-2</v>
      </c>
      <c r="O14" t="s">
        <v>6</v>
      </c>
    </row>
    <row r="15" spans="2:15" x14ac:dyDescent="0.45">
      <c r="B15" t="s">
        <v>204</v>
      </c>
      <c r="C15" t="s">
        <v>12</v>
      </c>
      <c r="D15">
        <v>2.6093516785617679E-2</v>
      </c>
      <c r="E15" t="s">
        <v>6</v>
      </c>
      <c r="G15" t="s">
        <v>205</v>
      </c>
      <c r="H15" t="s">
        <v>12</v>
      </c>
      <c r="I15">
        <v>3.5909212786128276E-2</v>
      </c>
      <c r="J15" t="s">
        <v>6</v>
      </c>
      <c r="L15" t="s">
        <v>206</v>
      </c>
      <c r="M15" t="s">
        <v>12</v>
      </c>
      <c r="N15">
        <v>3.4621638987938068E-2</v>
      </c>
      <c r="O15" t="s">
        <v>6</v>
      </c>
    </row>
    <row r="16" spans="2:15" x14ac:dyDescent="0.45">
      <c r="B16" t="s">
        <v>204</v>
      </c>
      <c r="C16" t="s">
        <v>13</v>
      </c>
      <c r="D16">
        <v>1.957536047664547E-4</v>
      </c>
      <c r="E16" t="s">
        <v>6</v>
      </c>
      <c r="G16" t="s">
        <v>205</v>
      </c>
      <c r="H16" t="s">
        <v>13</v>
      </c>
      <c r="I16">
        <v>3.7616147529754104E-2</v>
      </c>
      <c r="J16" t="s">
        <v>6</v>
      </c>
      <c r="L16" t="s">
        <v>206</v>
      </c>
      <c r="M16" t="s">
        <v>13</v>
      </c>
      <c r="N16">
        <v>3.5070685171883421E-2</v>
      </c>
      <c r="O16" t="s">
        <v>6</v>
      </c>
    </row>
    <row r="17" spans="2:15" x14ac:dyDescent="0.45">
      <c r="B17" t="s">
        <v>204</v>
      </c>
      <c r="C17" t="s">
        <v>14</v>
      </c>
      <c r="D17">
        <v>0</v>
      </c>
      <c r="E17" t="s">
        <v>6</v>
      </c>
      <c r="G17" t="s">
        <v>205</v>
      </c>
      <c r="H17" t="s">
        <v>14</v>
      </c>
      <c r="I17">
        <v>9.0145089516124516E-2</v>
      </c>
      <c r="J17" t="s">
        <v>6</v>
      </c>
      <c r="L17" t="s">
        <v>206</v>
      </c>
      <c r="M17" t="s">
        <v>14</v>
      </c>
      <c r="N17">
        <v>9.0501382954432011E-2</v>
      </c>
      <c r="O17" t="s">
        <v>6</v>
      </c>
    </row>
    <row r="18" spans="2:15" x14ac:dyDescent="0.45">
      <c r="B18" t="s">
        <v>204</v>
      </c>
      <c r="C18" t="s">
        <v>15</v>
      </c>
      <c r="D18">
        <v>1.7818186216476125E-2</v>
      </c>
      <c r="E18" t="s">
        <v>6</v>
      </c>
      <c r="G18" t="s">
        <v>205</v>
      </c>
      <c r="H18" t="s">
        <v>15</v>
      </c>
      <c r="I18">
        <v>4.538131655707793E-2</v>
      </c>
      <c r="J18" t="s">
        <v>6</v>
      </c>
      <c r="L18" t="s">
        <v>206</v>
      </c>
      <c r="M18" t="s">
        <v>15</v>
      </c>
      <c r="N18">
        <v>4.3920955913301696E-2</v>
      </c>
      <c r="O18" t="s">
        <v>6</v>
      </c>
    </row>
    <row r="19" spans="2:15" x14ac:dyDescent="0.45">
      <c r="B19" t="s">
        <v>204</v>
      </c>
      <c r="C19" t="s">
        <v>16</v>
      </c>
      <c r="D19">
        <v>9.4659958459851909E-2</v>
      </c>
      <c r="E19" t="s">
        <v>6</v>
      </c>
      <c r="G19" t="s">
        <v>205</v>
      </c>
      <c r="H19" t="s">
        <v>16</v>
      </c>
      <c r="I19">
        <v>3.4281527762741043E-2</v>
      </c>
      <c r="J19" t="s">
        <v>6</v>
      </c>
      <c r="L19" t="s">
        <v>206</v>
      </c>
      <c r="M19" t="s">
        <v>16</v>
      </c>
      <c r="N19">
        <v>3.1471906112774159E-2</v>
      </c>
      <c r="O19" t="s">
        <v>6</v>
      </c>
    </row>
    <row r="20" spans="2:15" x14ac:dyDescent="0.45">
      <c r="B20" t="s">
        <v>204</v>
      </c>
      <c r="C20" t="s">
        <v>17</v>
      </c>
      <c r="D20">
        <v>0.12387827216847601</v>
      </c>
      <c r="E20" t="s">
        <v>6</v>
      </c>
      <c r="G20" t="s">
        <v>205</v>
      </c>
      <c r="H20" t="s">
        <v>17</v>
      </c>
      <c r="I20">
        <v>3.3879401538569179E-2</v>
      </c>
      <c r="J20" t="s">
        <v>6</v>
      </c>
      <c r="L20" t="s">
        <v>206</v>
      </c>
      <c r="M20" t="s">
        <v>17</v>
      </c>
      <c r="N20">
        <v>3.1782905740340546E-2</v>
      </c>
      <c r="O20" t="s">
        <v>6</v>
      </c>
    </row>
    <row r="21" spans="2:15" x14ac:dyDescent="0.45">
      <c r="B21" t="s">
        <v>204</v>
      </c>
      <c r="C21" t="s">
        <v>18</v>
      </c>
      <c r="D21">
        <v>8.3705285676606692E-2</v>
      </c>
      <c r="E21" t="s">
        <v>6</v>
      </c>
      <c r="G21" t="s">
        <v>205</v>
      </c>
      <c r="H21" t="s">
        <v>18</v>
      </c>
      <c r="I21">
        <v>3.3597141997289859E-2</v>
      </c>
      <c r="J21" t="s">
        <v>6</v>
      </c>
      <c r="L21" t="s">
        <v>206</v>
      </c>
      <c r="M21" t="s">
        <v>18</v>
      </c>
      <c r="N21">
        <v>3.3459676659359304E-2</v>
      </c>
      <c r="O21" t="s">
        <v>6</v>
      </c>
    </row>
    <row r="22" spans="2:15" x14ac:dyDescent="0.45">
      <c r="B22" t="s">
        <v>204</v>
      </c>
      <c r="C22" t="s">
        <v>19</v>
      </c>
      <c r="D22">
        <v>1.0874135526014154E-2</v>
      </c>
      <c r="E22" t="s">
        <v>6</v>
      </c>
      <c r="G22" t="s">
        <v>205</v>
      </c>
      <c r="H22" t="s">
        <v>19</v>
      </c>
      <c r="I22">
        <v>3.3800547726981635E-2</v>
      </c>
      <c r="J22" t="s">
        <v>6</v>
      </c>
      <c r="L22" t="s">
        <v>206</v>
      </c>
      <c r="M22" t="s">
        <v>19</v>
      </c>
      <c r="N22">
        <v>3.4874552077625805E-2</v>
      </c>
      <c r="O22" t="s">
        <v>6</v>
      </c>
    </row>
    <row r="23" spans="2:15" x14ac:dyDescent="0.45">
      <c r="B23" t="s">
        <v>204</v>
      </c>
      <c r="C23" t="s">
        <v>20</v>
      </c>
      <c r="D23">
        <v>3.4659526249256834E-6</v>
      </c>
      <c r="E23" t="s">
        <v>6</v>
      </c>
      <c r="G23" t="s">
        <v>205</v>
      </c>
      <c r="H23" t="s">
        <v>20</v>
      </c>
      <c r="I23">
        <v>5.6493895065833161E-2</v>
      </c>
      <c r="J23" t="s">
        <v>6</v>
      </c>
      <c r="L23" t="s">
        <v>206</v>
      </c>
      <c r="M23" t="s">
        <v>20</v>
      </c>
      <c r="N23">
        <v>6.7690337848025847E-2</v>
      </c>
      <c r="O23" t="s">
        <v>6</v>
      </c>
    </row>
    <row r="24" spans="2:15" x14ac:dyDescent="0.45">
      <c r="B24" t="s">
        <v>204</v>
      </c>
      <c r="C24" t="s">
        <v>21</v>
      </c>
      <c r="D24">
        <v>2.437302895833561E-2</v>
      </c>
      <c r="E24" t="s">
        <v>6</v>
      </c>
      <c r="G24" t="s">
        <v>205</v>
      </c>
      <c r="H24" t="s">
        <v>21</v>
      </c>
      <c r="I24">
        <v>2.6175173653624258E-2</v>
      </c>
      <c r="J24" t="s">
        <v>6</v>
      </c>
      <c r="L24" t="s">
        <v>206</v>
      </c>
      <c r="M24" t="s">
        <v>21</v>
      </c>
      <c r="N24">
        <v>3.2533211803635963E-2</v>
      </c>
      <c r="O24" t="s">
        <v>6</v>
      </c>
    </row>
    <row r="25" spans="2:15" x14ac:dyDescent="0.45">
      <c r="B25" t="s">
        <v>204</v>
      </c>
      <c r="C25" t="s">
        <v>22</v>
      </c>
      <c r="D25">
        <v>0.10180509444307687</v>
      </c>
      <c r="E25" t="s">
        <v>6</v>
      </c>
      <c r="G25" t="s">
        <v>205</v>
      </c>
      <c r="H25" t="s">
        <v>22</v>
      </c>
      <c r="I25">
        <v>1.8761274290500049E-2</v>
      </c>
      <c r="J25" t="s">
        <v>6</v>
      </c>
      <c r="L25" t="s">
        <v>206</v>
      </c>
      <c r="M25" t="s">
        <v>22</v>
      </c>
      <c r="N25">
        <v>2.2858132653308067E-2</v>
      </c>
      <c r="O25" t="s">
        <v>6</v>
      </c>
    </row>
    <row r="26" spans="2:15" x14ac:dyDescent="0.45">
      <c r="B26" t="s">
        <v>204</v>
      </c>
      <c r="C26" t="s">
        <v>23</v>
      </c>
      <c r="D26">
        <v>0.13448174026186588</v>
      </c>
      <c r="E26" t="s">
        <v>6</v>
      </c>
      <c r="G26" t="s">
        <v>205</v>
      </c>
      <c r="H26" t="s">
        <v>23</v>
      </c>
      <c r="I26">
        <v>1.9997704899854286E-2</v>
      </c>
      <c r="J26" t="s">
        <v>6</v>
      </c>
      <c r="L26" t="s">
        <v>206</v>
      </c>
      <c r="M26" t="s">
        <v>23</v>
      </c>
      <c r="N26">
        <v>2.3235779460656712E-2</v>
      </c>
      <c r="O26" t="s">
        <v>6</v>
      </c>
    </row>
    <row r="27" spans="2:15" x14ac:dyDescent="0.45">
      <c r="B27" t="s">
        <v>204</v>
      </c>
      <c r="C27" t="s">
        <v>24</v>
      </c>
      <c r="D27">
        <v>9.5529896105004633E-2</v>
      </c>
      <c r="E27" t="s">
        <v>6</v>
      </c>
      <c r="G27" t="s">
        <v>205</v>
      </c>
      <c r="H27" t="s">
        <v>24</v>
      </c>
      <c r="I27">
        <v>2.1366508496506929E-2</v>
      </c>
      <c r="J27" t="s">
        <v>6</v>
      </c>
      <c r="L27" t="s">
        <v>206</v>
      </c>
      <c r="M27" t="s">
        <v>24</v>
      </c>
      <c r="N27">
        <v>2.5272905070011092E-2</v>
      </c>
      <c r="O27" t="s">
        <v>6</v>
      </c>
    </row>
    <row r="28" spans="2:15" x14ac:dyDescent="0.45">
      <c r="B28" t="s">
        <v>204</v>
      </c>
      <c r="C28" t="s">
        <v>25</v>
      </c>
      <c r="D28">
        <v>1.8025780327967752E-2</v>
      </c>
      <c r="E28" t="s">
        <v>6</v>
      </c>
      <c r="G28" t="s">
        <v>205</v>
      </c>
      <c r="H28" t="s">
        <v>25</v>
      </c>
      <c r="I28">
        <v>2.2004810781453332E-2</v>
      </c>
      <c r="J28" t="s">
        <v>6</v>
      </c>
      <c r="L28" t="s">
        <v>206</v>
      </c>
      <c r="M28" t="s">
        <v>25</v>
      </c>
      <c r="N28">
        <v>2.6430495274751786E-2</v>
      </c>
      <c r="O28" t="s">
        <v>6</v>
      </c>
    </row>
    <row r="29" spans="2:15" x14ac:dyDescent="0.45">
      <c r="B29" t="s">
        <v>204</v>
      </c>
      <c r="C29" t="s">
        <v>26</v>
      </c>
      <c r="D29">
        <v>0</v>
      </c>
      <c r="E29" t="s">
        <v>6</v>
      </c>
      <c r="G29" t="s">
        <v>205</v>
      </c>
      <c r="H29" t="s">
        <v>26</v>
      </c>
      <c r="I29">
        <v>9.149110040170684E-2</v>
      </c>
      <c r="J29" t="s">
        <v>6</v>
      </c>
      <c r="L29" t="s">
        <v>206</v>
      </c>
      <c r="M29" t="s">
        <v>26</v>
      </c>
      <c r="N29">
        <v>8.5210220532044689E-2</v>
      </c>
      <c r="O29" t="s">
        <v>6</v>
      </c>
    </row>
    <row r="30" spans="2:15" x14ac:dyDescent="0.45">
      <c r="B30" t="s">
        <v>204</v>
      </c>
      <c r="C30" t="s">
        <v>27</v>
      </c>
      <c r="D30">
        <v>3.8890418954868073E-3</v>
      </c>
      <c r="E30" t="s">
        <v>6</v>
      </c>
      <c r="G30" t="s">
        <v>205</v>
      </c>
      <c r="H30" t="s">
        <v>27</v>
      </c>
      <c r="I30">
        <v>4.3946918201751548E-2</v>
      </c>
      <c r="J30" t="s">
        <v>6</v>
      </c>
      <c r="L30" t="s">
        <v>206</v>
      </c>
      <c r="M30" t="s">
        <v>27</v>
      </c>
      <c r="N30">
        <v>4.137838934496875E-2</v>
      </c>
      <c r="O30" t="s">
        <v>6</v>
      </c>
    </row>
    <row r="31" spans="2:15" x14ac:dyDescent="0.45">
      <c r="B31" t="s">
        <v>204</v>
      </c>
      <c r="C31" t="s">
        <v>28</v>
      </c>
      <c r="D31">
        <v>5.0910900169350765E-2</v>
      </c>
      <c r="E31" t="s">
        <v>6</v>
      </c>
      <c r="G31" t="s">
        <v>205</v>
      </c>
      <c r="H31" t="s">
        <v>28</v>
      </c>
      <c r="I31">
        <v>3.3165858591481058E-2</v>
      </c>
      <c r="J31" t="s">
        <v>6</v>
      </c>
      <c r="L31" t="s">
        <v>206</v>
      </c>
      <c r="M31" t="s">
        <v>28</v>
      </c>
      <c r="N31">
        <v>3.1146032262604425E-2</v>
      </c>
      <c r="O31" t="s">
        <v>6</v>
      </c>
    </row>
    <row r="32" spans="2:15" x14ac:dyDescent="0.45">
      <c r="B32" t="s">
        <v>204</v>
      </c>
      <c r="C32" t="s">
        <v>29</v>
      </c>
      <c r="D32">
        <v>8.1663256933033904E-2</v>
      </c>
      <c r="E32" t="s">
        <v>6</v>
      </c>
      <c r="G32" t="s">
        <v>205</v>
      </c>
      <c r="H32" t="s">
        <v>29</v>
      </c>
      <c r="I32">
        <v>3.3054167535159246E-2</v>
      </c>
      <c r="J32" t="s">
        <v>6</v>
      </c>
      <c r="L32" t="s">
        <v>206</v>
      </c>
      <c r="M32" t="s">
        <v>29</v>
      </c>
      <c r="N32">
        <v>3.1271837131875112E-2</v>
      </c>
      <c r="O32" t="s">
        <v>6</v>
      </c>
    </row>
    <row r="33" spans="2:15" x14ac:dyDescent="0.45">
      <c r="B33" t="s">
        <v>204</v>
      </c>
      <c r="C33" t="s">
        <v>30</v>
      </c>
      <c r="D33">
        <v>3.8097471203767594E-2</v>
      </c>
      <c r="E33" t="s">
        <v>6</v>
      </c>
      <c r="G33" t="s">
        <v>205</v>
      </c>
      <c r="H33" t="s">
        <v>30</v>
      </c>
      <c r="I33">
        <v>3.3154933633014326E-2</v>
      </c>
      <c r="J33" t="s">
        <v>6</v>
      </c>
      <c r="L33" t="s">
        <v>206</v>
      </c>
      <c r="M33" t="s">
        <v>30</v>
      </c>
      <c r="N33">
        <v>3.3290669487359988E-2</v>
      </c>
      <c r="O33" t="s">
        <v>6</v>
      </c>
    </row>
    <row r="34" spans="2:15" x14ac:dyDescent="0.45">
      <c r="B34" t="s">
        <v>204</v>
      </c>
      <c r="C34" t="s">
        <v>31</v>
      </c>
      <c r="D34">
        <v>1.3196182225982886E-3</v>
      </c>
      <c r="E34" t="s">
        <v>6</v>
      </c>
      <c r="G34" t="s">
        <v>205</v>
      </c>
      <c r="H34" t="s">
        <v>31</v>
      </c>
      <c r="I34">
        <v>3.4208228660375595E-2</v>
      </c>
      <c r="J34" t="s">
        <v>6</v>
      </c>
      <c r="L34" t="s">
        <v>206</v>
      </c>
      <c r="M34" t="s">
        <v>31</v>
      </c>
      <c r="N34">
        <v>3.3526720584600704E-2</v>
      </c>
      <c r="O34" t="s">
        <v>6</v>
      </c>
    </row>
    <row r="35" spans="2:15" x14ac:dyDescent="0.45">
      <c r="B35" t="s">
        <v>207</v>
      </c>
      <c r="C35" t="s">
        <v>5</v>
      </c>
      <c r="D35">
        <v>0</v>
      </c>
      <c r="E35" t="s">
        <v>6</v>
      </c>
      <c r="G35" t="s">
        <v>208</v>
      </c>
      <c r="H35" t="s">
        <v>5</v>
      </c>
      <c r="I35">
        <v>0.10506655724654315</v>
      </c>
      <c r="J35" t="s">
        <v>6</v>
      </c>
      <c r="L35" t="s">
        <v>209</v>
      </c>
      <c r="M35" t="s">
        <v>5</v>
      </c>
      <c r="N35">
        <v>9.3265329632275587E-2</v>
      </c>
      <c r="O35" t="s">
        <v>6</v>
      </c>
    </row>
    <row r="36" spans="2:15" x14ac:dyDescent="0.45">
      <c r="B36" t="s">
        <v>207</v>
      </c>
      <c r="C36" t="s">
        <v>9</v>
      </c>
      <c r="D36">
        <v>2.8688347540494505E-4</v>
      </c>
      <c r="E36" t="s">
        <v>6</v>
      </c>
      <c r="G36" t="s">
        <v>208</v>
      </c>
      <c r="H36" t="s">
        <v>9</v>
      </c>
      <c r="I36">
        <v>5.101420433023577E-2</v>
      </c>
      <c r="J36" t="s">
        <v>6</v>
      </c>
      <c r="L36" t="s">
        <v>209</v>
      </c>
      <c r="M36" t="s">
        <v>9</v>
      </c>
      <c r="N36">
        <v>4.6303116971564855E-2</v>
      </c>
      <c r="O36" t="s">
        <v>6</v>
      </c>
    </row>
    <row r="37" spans="2:15" x14ac:dyDescent="0.45">
      <c r="B37" t="s">
        <v>207</v>
      </c>
      <c r="C37" t="s">
        <v>10</v>
      </c>
      <c r="D37">
        <v>3.5146473532476866E-2</v>
      </c>
      <c r="E37" t="s">
        <v>6</v>
      </c>
      <c r="G37" t="s">
        <v>208</v>
      </c>
      <c r="H37" t="s">
        <v>10</v>
      </c>
      <c r="I37">
        <v>3.7683643252181924E-2</v>
      </c>
      <c r="J37" t="s">
        <v>6</v>
      </c>
      <c r="L37" t="s">
        <v>209</v>
      </c>
      <c r="M37" t="s">
        <v>10</v>
      </c>
      <c r="N37">
        <v>3.4567011493960839E-2</v>
      </c>
      <c r="O37" t="s">
        <v>6</v>
      </c>
    </row>
    <row r="38" spans="2:15" x14ac:dyDescent="0.45">
      <c r="B38" t="s">
        <v>207</v>
      </c>
      <c r="C38" t="s">
        <v>11</v>
      </c>
      <c r="D38">
        <v>6.5831436371884614E-2</v>
      </c>
      <c r="E38" t="s">
        <v>6</v>
      </c>
      <c r="G38" t="s">
        <v>208</v>
      </c>
      <c r="H38" t="s">
        <v>11</v>
      </c>
      <c r="I38">
        <v>3.8395222968223543E-2</v>
      </c>
      <c r="J38" t="s">
        <v>6</v>
      </c>
      <c r="L38" t="s">
        <v>209</v>
      </c>
      <c r="M38" t="s">
        <v>11</v>
      </c>
      <c r="N38">
        <v>3.3891833768359636E-2</v>
      </c>
      <c r="O38" t="s">
        <v>6</v>
      </c>
    </row>
    <row r="39" spans="2:15" x14ac:dyDescent="0.45">
      <c r="B39" t="s">
        <v>207</v>
      </c>
      <c r="C39" t="s">
        <v>12</v>
      </c>
      <c r="D39">
        <v>2.6859380801437661E-2</v>
      </c>
      <c r="E39" t="s">
        <v>6</v>
      </c>
      <c r="G39" t="s">
        <v>208</v>
      </c>
      <c r="H39" t="s">
        <v>12</v>
      </c>
      <c r="I39">
        <v>3.7816895568550488E-2</v>
      </c>
      <c r="J39" t="s">
        <v>6</v>
      </c>
      <c r="L39" t="s">
        <v>209</v>
      </c>
      <c r="M39" t="s">
        <v>12</v>
      </c>
      <c r="N39">
        <v>3.3912398426289896E-2</v>
      </c>
      <c r="O39" t="s">
        <v>6</v>
      </c>
    </row>
    <row r="40" spans="2:15" x14ac:dyDescent="0.45">
      <c r="B40" t="s">
        <v>207</v>
      </c>
      <c r="C40" t="s">
        <v>13</v>
      </c>
      <c r="D40">
        <v>1.1728794096713511E-4</v>
      </c>
      <c r="E40" t="s">
        <v>6</v>
      </c>
      <c r="G40" t="s">
        <v>208</v>
      </c>
      <c r="H40" t="s">
        <v>13</v>
      </c>
      <c r="I40">
        <v>3.9243494128400037E-2</v>
      </c>
      <c r="J40" t="s">
        <v>6</v>
      </c>
      <c r="L40" t="s">
        <v>209</v>
      </c>
      <c r="M40" t="s">
        <v>13</v>
      </c>
      <c r="N40">
        <v>3.5606823109158671E-2</v>
      </c>
      <c r="O40" t="s">
        <v>6</v>
      </c>
    </row>
    <row r="41" spans="2:15" x14ac:dyDescent="0.45">
      <c r="B41" t="s">
        <v>207</v>
      </c>
      <c r="C41" t="s">
        <v>14</v>
      </c>
      <c r="D41">
        <v>0</v>
      </c>
      <c r="E41" t="s">
        <v>6</v>
      </c>
      <c r="G41" t="s">
        <v>208</v>
      </c>
      <c r="H41" t="s">
        <v>14</v>
      </c>
      <c r="I41">
        <v>8.6707243189678498E-2</v>
      </c>
      <c r="J41" t="s">
        <v>6</v>
      </c>
      <c r="L41" t="s">
        <v>209</v>
      </c>
      <c r="M41" t="s">
        <v>14</v>
      </c>
      <c r="N41">
        <v>8.7993713960207678E-2</v>
      </c>
      <c r="O41" t="s">
        <v>6</v>
      </c>
    </row>
    <row r="42" spans="2:15" x14ac:dyDescent="0.45">
      <c r="B42" t="s">
        <v>207</v>
      </c>
      <c r="C42" t="s">
        <v>15</v>
      </c>
      <c r="D42">
        <v>1.703481826111642E-2</v>
      </c>
      <c r="E42" t="s">
        <v>6</v>
      </c>
      <c r="G42" t="s">
        <v>208</v>
      </c>
      <c r="H42" t="s">
        <v>15</v>
      </c>
      <c r="I42">
        <v>4.5151834632270335E-2</v>
      </c>
      <c r="J42" t="s">
        <v>6</v>
      </c>
      <c r="L42" t="s">
        <v>209</v>
      </c>
      <c r="M42" t="s">
        <v>15</v>
      </c>
      <c r="N42">
        <v>4.3161717677279714E-2</v>
      </c>
      <c r="O42" t="s">
        <v>6</v>
      </c>
    </row>
    <row r="43" spans="2:15" x14ac:dyDescent="0.45">
      <c r="B43" t="s">
        <v>207</v>
      </c>
      <c r="C43" t="s">
        <v>16</v>
      </c>
      <c r="D43">
        <v>9.0981047505601445E-2</v>
      </c>
      <c r="E43" t="s">
        <v>6</v>
      </c>
      <c r="G43" t="s">
        <v>208</v>
      </c>
      <c r="H43" t="s">
        <v>16</v>
      </c>
      <c r="I43">
        <v>3.5942420861894052E-2</v>
      </c>
      <c r="J43" t="s">
        <v>6</v>
      </c>
      <c r="L43" t="s">
        <v>209</v>
      </c>
      <c r="M43" t="s">
        <v>16</v>
      </c>
      <c r="N43">
        <v>2.9073453265441883E-2</v>
      </c>
      <c r="O43" t="s">
        <v>6</v>
      </c>
    </row>
    <row r="44" spans="2:15" x14ac:dyDescent="0.45">
      <c r="B44" t="s">
        <v>207</v>
      </c>
      <c r="C44" t="s">
        <v>17</v>
      </c>
      <c r="D44">
        <v>0.11701139199887452</v>
      </c>
      <c r="E44" t="s">
        <v>6</v>
      </c>
      <c r="G44" t="s">
        <v>208</v>
      </c>
      <c r="H44" t="s">
        <v>17</v>
      </c>
      <c r="I44">
        <v>3.4801868416825595E-2</v>
      </c>
      <c r="J44" t="s">
        <v>6</v>
      </c>
      <c r="L44" t="s">
        <v>209</v>
      </c>
      <c r="M44" t="s">
        <v>17</v>
      </c>
      <c r="N44">
        <v>2.7841604486920246E-2</v>
      </c>
      <c r="O44" t="s">
        <v>6</v>
      </c>
    </row>
    <row r="45" spans="2:15" x14ac:dyDescent="0.45">
      <c r="B45" t="s">
        <v>207</v>
      </c>
      <c r="C45" t="s">
        <v>18</v>
      </c>
      <c r="D45">
        <v>7.5713509141499893E-2</v>
      </c>
      <c r="E45" t="s">
        <v>6</v>
      </c>
      <c r="G45" t="s">
        <v>208</v>
      </c>
      <c r="H45" t="s">
        <v>18</v>
      </c>
      <c r="I45">
        <v>3.4242896893173204E-2</v>
      </c>
      <c r="J45" t="s">
        <v>6</v>
      </c>
      <c r="L45" t="s">
        <v>209</v>
      </c>
      <c r="M45" t="s">
        <v>18</v>
      </c>
      <c r="N45">
        <v>3.0329353087515016E-2</v>
      </c>
      <c r="O45" t="s">
        <v>6</v>
      </c>
    </row>
    <row r="46" spans="2:15" x14ac:dyDescent="0.45">
      <c r="B46" t="s">
        <v>207</v>
      </c>
      <c r="C46" t="s">
        <v>19</v>
      </c>
      <c r="D46">
        <v>9.542138213872696E-3</v>
      </c>
      <c r="E46" t="s">
        <v>6</v>
      </c>
      <c r="G46" t="s">
        <v>208</v>
      </c>
      <c r="H46" t="s">
        <v>19</v>
      </c>
      <c r="I46">
        <v>3.2549823994000908E-2</v>
      </c>
      <c r="J46" t="s">
        <v>6</v>
      </c>
      <c r="L46" t="s">
        <v>209</v>
      </c>
      <c r="M46" t="s">
        <v>19</v>
      </c>
      <c r="N46">
        <v>3.2757450231756385E-2</v>
      </c>
      <c r="O46" t="s">
        <v>6</v>
      </c>
    </row>
    <row r="47" spans="2:15" x14ac:dyDescent="0.45">
      <c r="B47" t="s">
        <v>207</v>
      </c>
      <c r="C47" t="s">
        <v>20</v>
      </c>
      <c r="D47">
        <v>0</v>
      </c>
      <c r="E47" t="s">
        <v>6</v>
      </c>
      <c r="G47" t="s">
        <v>208</v>
      </c>
      <c r="H47" t="s">
        <v>20</v>
      </c>
      <c r="I47">
        <v>5.7072070378270445E-2</v>
      </c>
      <c r="J47" t="s">
        <v>6</v>
      </c>
      <c r="L47" t="s">
        <v>209</v>
      </c>
      <c r="M47" t="s">
        <v>20</v>
      </c>
      <c r="N47">
        <v>7.5172893057268417E-2</v>
      </c>
      <c r="O47" t="s">
        <v>6</v>
      </c>
    </row>
    <row r="48" spans="2:15" x14ac:dyDescent="0.45">
      <c r="B48" t="s">
        <v>207</v>
      </c>
      <c r="C48" t="s">
        <v>21</v>
      </c>
      <c r="D48">
        <v>2.2797192598673962E-2</v>
      </c>
      <c r="E48" t="s">
        <v>6</v>
      </c>
      <c r="G48" t="s">
        <v>208</v>
      </c>
      <c r="H48" t="s">
        <v>21</v>
      </c>
      <c r="I48">
        <v>2.6154687069853196E-2</v>
      </c>
      <c r="J48" t="s">
        <v>6</v>
      </c>
      <c r="L48" t="s">
        <v>209</v>
      </c>
      <c r="M48" t="s">
        <v>21</v>
      </c>
      <c r="N48">
        <v>3.3008253603435227E-2</v>
      </c>
      <c r="O48" t="s">
        <v>6</v>
      </c>
    </row>
    <row r="49" spans="2:15" x14ac:dyDescent="0.45">
      <c r="B49" t="s">
        <v>207</v>
      </c>
      <c r="C49" t="s">
        <v>22</v>
      </c>
      <c r="D49">
        <v>0.10105771065105154</v>
      </c>
      <c r="E49" t="s">
        <v>6</v>
      </c>
      <c r="G49" t="s">
        <v>208</v>
      </c>
      <c r="H49" t="s">
        <v>22</v>
      </c>
      <c r="I49">
        <v>1.9042168965421755E-2</v>
      </c>
      <c r="J49" t="s">
        <v>6</v>
      </c>
      <c r="L49" t="s">
        <v>209</v>
      </c>
      <c r="M49" t="s">
        <v>22</v>
      </c>
      <c r="N49">
        <v>2.3383319970298289E-2</v>
      </c>
      <c r="O49" t="s">
        <v>6</v>
      </c>
    </row>
    <row r="50" spans="2:15" x14ac:dyDescent="0.45">
      <c r="B50" t="s">
        <v>207</v>
      </c>
      <c r="C50" t="s">
        <v>23</v>
      </c>
      <c r="D50">
        <v>0.13595755224000169</v>
      </c>
      <c r="E50" t="s">
        <v>6</v>
      </c>
      <c r="G50" t="s">
        <v>208</v>
      </c>
      <c r="H50" t="s">
        <v>23</v>
      </c>
      <c r="I50">
        <v>2.0807188476303407E-2</v>
      </c>
      <c r="J50" t="s">
        <v>6</v>
      </c>
      <c r="L50" t="s">
        <v>209</v>
      </c>
      <c r="M50" t="s">
        <v>23</v>
      </c>
      <c r="N50">
        <v>2.4445058526833555E-2</v>
      </c>
      <c r="O50" t="s">
        <v>6</v>
      </c>
    </row>
    <row r="51" spans="2:15" x14ac:dyDescent="0.45">
      <c r="B51" t="s">
        <v>207</v>
      </c>
      <c r="C51" t="s">
        <v>24</v>
      </c>
      <c r="D51">
        <v>9.5931889064016368E-2</v>
      </c>
      <c r="E51" t="s">
        <v>6</v>
      </c>
      <c r="G51" t="s">
        <v>208</v>
      </c>
      <c r="H51" t="s">
        <v>24</v>
      </c>
      <c r="I51">
        <v>2.3573009286910251E-2</v>
      </c>
      <c r="J51" t="s">
        <v>6</v>
      </c>
      <c r="L51" t="s">
        <v>209</v>
      </c>
      <c r="M51" t="s">
        <v>24</v>
      </c>
      <c r="N51">
        <v>2.7596114875921708E-2</v>
      </c>
      <c r="O51" t="s">
        <v>6</v>
      </c>
    </row>
    <row r="52" spans="2:15" x14ac:dyDescent="0.45">
      <c r="B52" t="s">
        <v>207</v>
      </c>
      <c r="C52" t="s">
        <v>25</v>
      </c>
      <c r="D52">
        <v>1.6756057272301797E-2</v>
      </c>
      <c r="E52" t="s">
        <v>6</v>
      </c>
      <c r="G52" t="s">
        <v>208</v>
      </c>
      <c r="H52" t="s">
        <v>25</v>
      </c>
      <c r="I52">
        <v>2.2744161795280153E-2</v>
      </c>
      <c r="J52" t="s">
        <v>6</v>
      </c>
      <c r="L52" t="s">
        <v>209</v>
      </c>
      <c r="M52" t="s">
        <v>25</v>
      </c>
      <c r="N52">
        <v>2.9860353283728169E-2</v>
      </c>
      <c r="O52" t="s">
        <v>6</v>
      </c>
    </row>
    <row r="53" spans="2:15" x14ac:dyDescent="0.45">
      <c r="B53" t="s">
        <v>207</v>
      </c>
      <c r="C53" t="s">
        <v>26</v>
      </c>
      <c r="D53">
        <v>0</v>
      </c>
      <c r="E53" t="s">
        <v>6</v>
      </c>
      <c r="G53" t="s">
        <v>208</v>
      </c>
      <c r="H53" t="s">
        <v>26</v>
      </c>
      <c r="I53">
        <v>8.1306042541821735E-2</v>
      </c>
      <c r="J53" t="s">
        <v>6</v>
      </c>
      <c r="L53" t="s">
        <v>209</v>
      </c>
      <c r="M53" t="s">
        <v>26</v>
      </c>
      <c r="N53">
        <v>8.5579248031640062E-2</v>
      </c>
      <c r="O53" t="s">
        <v>6</v>
      </c>
    </row>
    <row r="54" spans="2:15" x14ac:dyDescent="0.45">
      <c r="B54" t="s">
        <v>207</v>
      </c>
      <c r="C54" t="s">
        <v>27</v>
      </c>
      <c r="D54">
        <v>4.3515860681548144E-3</v>
      </c>
      <c r="E54" t="s">
        <v>6</v>
      </c>
      <c r="G54" t="s">
        <v>208</v>
      </c>
      <c r="H54" t="s">
        <v>27</v>
      </c>
      <c r="I54">
        <v>4.0801346499772496E-2</v>
      </c>
      <c r="J54" t="s">
        <v>6</v>
      </c>
      <c r="L54" t="s">
        <v>209</v>
      </c>
      <c r="M54" t="s">
        <v>27</v>
      </c>
      <c r="N54">
        <v>4.0753551698059665E-2</v>
      </c>
      <c r="O54" t="s">
        <v>6</v>
      </c>
    </row>
    <row r="55" spans="2:15" x14ac:dyDescent="0.45">
      <c r="B55" t="s">
        <v>207</v>
      </c>
      <c r="C55" t="s">
        <v>28</v>
      </c>
      <c r="D55">
        <v>5.6038200361989955E-2</v>
      </c>
      <c r="E55" t="s">
        <v>6</v>
      </c>
      <c r="G55" t="s">
        <v>208</v>
      </c>
      <c r="H55" t="s">
        <v>28</v>
      </c>
      <c r="I55">
        <v>3.2299432109249064E-2</v>
      </c>
      <c r="J55" t="s">
        <v>6</v>
      </c>
      <c r="L55" t="s">
        <v>209</v>
      </c>
      <c r="M55" t="s">
        <v>28</v>
      </c>
      <c r="N55">
        <v>3.2192702126936444E-2</v>
      </c>
      <c r="O55" t="s">
        <v>6</v>
      </c>
    </row>
    <row r="56" spans="2:15" x14ac:dyDescent="0.45">
      <c r="B56" t="s">
        <v>207</v>
      </c>
      <c r="C56" t="s">
        <v>29</v>
      </c>
      <c r="D56">
        <v>8.5688742401410958E-2</v>
      </c>
      <c r="E56" t="s">
        <v>6</v>
      </c>
      <c r="G56" t="s">
        <v>208</v>
      </c>
      <c r="H56" t="s">
        <v>29</v>
      </c>
      <c r="I56">
        <v>3.2942367383775172E-2</v>
      </c>
      <c r="J56" t="s">
        <v>6</v>
      </c>
      <c r="L56" t="s">
        <v>209</v>
      </c>
      <c r="M56" t="s">
        <v>29</v>
      </c>
      <c r="N56">
        <v>3.1878700513190292E-2</v>
      </c>
      <c r="O56" t="s">
        <v>6</v>
      </c>
    </row>
    <row r="57" spans="2:15" x14ac:dyDescent="0.45">
      <c r="B57" t="s">
        <v>207</v>
      </c>
      <c r="C57" t="s">
        <v>30</v>
      </c>
      <c r="D57">
        <v>4.1397877440902724E-2</v>
      </c>
      <c r="E57" t="s">
        <v>6</v>
      </c>
      <c r="G57" t="s">
        <v>208</v>
      </c>
      <c r="H57" t="s">
        <v>30</v>
      </c>
      <c r="I57">
        <v>3.3073772073471577E-2</v>
      </c>
      <c r="J57" t="s">
        <v>6</v>
      </c>
      <c r="L57" t="s">
        <v>209</v>
      </c>
      <c r="M57" t="s">
        <v>30</v>
      </c>
      <c r="N57">
        <v>3.314185489716686E-2</v>
      </c>
      <c r="O57" t="s">
        <v>6</v>
      </c>
    </row>
    <row r="58" spans="2:15" x14ac:dyDescent="0.45">
      <c r="B58" t="s">
        <v>207</v>
      </c>
      <c r="C58" t="s">
        <v>31</v>
      </c>
      <c r="D58">
        <v>1.4988246583609172E-3</v>
      </c>
      <c r="E58" t="s">
        <v>6</v>
      </c>
      <c r="G58" t="s">
        <v>208</v>
      </c>
      <c r="H58" t="s">
        <v>31</v>
      </c>
      <c r="I58">
        <v>3.1567647937894253E-2</v>
      </c>
      <c r="J58" t="s">
        <v>6</v>
      </c>
      <c r="L58" t="s">
        <v>209</v>
      </c>
      <c r="M58" t="s">
        <v>31</v>
      </c>
      <c r="N58">
        <v>3.4284143304790828E-2</v>
      </c>
      <c r="O58" t="s">
        <v>6</v>
      </c>
    </row>
    <row r="59" spans="2:15" x14ac:dyDescent="0.45">
      <c r="B59" t="s">
        <v>210</v>
      </c>
      <c r="C59" t="s">
        <v>5</v>
      </c>
      <c r="D59">
        <v>0</v>
      </c>
      <c r="E59" t="s">
        <v>6</v>
      </c>
      <c r="G59" t="s">
        <v>211</v>
      </c>
      <c r="H59" t="s">
        <v>5</v>
      </c>
      <c r="I59">
        <v>0.10422562925449493</v>
      </c>
      <c r="J59" t="s">
        <v>6</v>
      </c>
      <c r="L59" t="s">
        <v>212</v>
      </c>
      <c r="M59" t="s">
        <v>5</v>
      </c>
      <c r="N59">
        <v>9.6248727865551137E-2</v>
      </c>
      <c r="O59" t="s">
        <v>6</v>
      </c>
    </row>
    <row r="60" spans="2:15" x14ac:dyDescent="0.45">
      <c r="B60" t="s">
        <v>210</v>
      </c>
      <c r="C60" t="s">
        <v>9</v>
      </c>
      <c r="D60">
        <v>2.6126101304995347E-4</v>
      </c>
      <c r="E60" t="s">
        <v>6</v>
      </c>
      <c r="G60" t="s">
        <v>211</v>
      </c>
      <c r="H60" t="s">
        <v>9</v>
      </c>
      <c r="I60">
        <v>5.0369896538482332E-2</v>
      </c>
      <c r="J60" t="s">
        <v>6</v>
      </c>
      <c r="L60" t="s">
        <v>212</v>
      </c>
      <c r="M60" t="s">
        <v>9</v>
      </c>
      <c r="N60">
        <v>4.8170118508794685E-2</v>
      </c>
      <c r="O60" t="s">
        <v>6</v>
      </c>
    </row>
    <row r="61" spans="2:15" x14ac:dyDescent="0.45">
      <c r="B61" t="s">
        <v>210</v>
      </c>
      <c r="C61" t="s">
        <v>10</v>
      </c>
      <c r="D61">
        <v>3.2741753753166222E-2</v>
      </c>
      <c r="E61" t="s">
        <v>6</v>
      </c>
      <c r="G61" t="s">
        <v>211</v>
      </c>
      <c r="H61" t="s">
        <v>10</v>
      </c>
      <c r="I61">
        <v>3.6501909185244007E-2</v>
      </c>
      <c r="J61" t="s">
        <v>6</v>
      </c>
      <c r="L61" t="s">
        <v>212</v>
      </c>
      <c r="M61" t="s">
        <v>10</v>
      </c>
      <c r="N61">
        <v>3.4833920160997206E-2</v>
      </c>
      <c r="O61" t="s">
        <v>6</v>
      </c>
    </row>
    <row r="62" spans="2:15" x14ac:dyDescent="0.45">
      <c r="B62" t="s">
        <v>210</v>
      </c>
      <c r="C62" t="s">
        <v>11</v>
      </c>
      <c r="D62">
        <v>6.4004911160823408E-2</v>
      </c>
      <c r="E62" t="s">
        <v>6</v>
      </c>
      <c r="G62" t="s">
        <v>211</v>
      </c>
      <c r="H62" t="s">
        <v>11</v>
      </c>
      <c r="I62">
        <v>3.6928388937427989E-2</v>
      </c>
      <c r="J62" t="s">
        <v>6</v>
      </c>
      <c r="L62" t="s">
        <v>212</v>
      </c>
      <c r="M62" t="s">
        <v>11</v>
      </c>
      <c r="N62">
        <v>3.399833643820243E-2</v>
      </c>
      <c r="O62" t="s">
        <v>6</v>
      </c>
    </row>
    <row r="63" spans="2:15" x14ac:dyDescent="0.45">
      <c r="B63" t="s">
        <v>210</v>
      </c>
      <c r="C63" t="s">
        <v>12</v>
      </c>
      <c r="D63">
        <v>2.7276578263749181E-2</v>
      </c>
      <c r="E63" t="s">
        <v>6</v>
      </c>
      <c r="G63" t="s">
        <v>211</v>
      </c>
      <c r="H63" t="s">
        <v>12</v>
      </c>
      <c r="I63">
        <v>3.7307655784312221E-2</v>
      </c>
      <c r="J63" t="s">
        <v>6</v>
      </c>
      <c r="L63" t="s">
        <v>212</v>
      </c>
      <c r="M63" t="s">
        <v>12</v>
      </c>
      <c r="N63">
        <v>3.5054211257028636E-2</v>
      </c>
      <c r="O63" t="s">
        <v>6</v>
      </c>
    </row>
    <row r="64" spans="2:15" x14ac:dyDescent="0.45">
      <c r="B64" t="s">
        <v>210</v>
      </c>
      <c r="C64" t="s">
        <v>13</v>
      </c>
      <c r="D64">
        <v>1.5540002812303557E-4</v>
      </c>
      <c r="E64" t="s">
        <v>6</v>
      </c>
      <c r="G64" t="s">
        <v>211</v>
      </c>
      <c r="H64" t="s">
        <v>13</v>
      </c>
      <c r="I64">
        <v>3.9352296644392257E-2</v>
      </c>
      <c r="J64" t="s">
        <v>6</v>
      </c>
      <c r="L64" t="s">
        <v>212</v>
      </c>
      <c r="M64" t="s">
        <v>13</v>
      </c>
      <c r="N64">
        <v>3.6522425375305881E-2</v>
      </c>
      <c r="O64" t="s">
        <v>6</v>
      </c>
    </row>
    <row r="65" spans="2:15" x14ac:dyDescent="0.45">
      <c r="B65" t="s">
        <v>210</v>
      </c>
      <c r="C65" t="s">
        <v>14</v>
      </c>
      <c r="D65">
        <v>0</v>
      </c>
      <c r="E65" t="s">
        <v>6</v>
      </c>
      <c r="G65" t="s">
        <v>211</v>
      </c>
      <c r="H65" t="s">
        <v>14</v>
      </c>
      <c r="I65">
        <v>8.4092504905425636E-2</v>
      </c>
      <c r="J65" t="s">
        <v>6</v>
      </c>
      <c r="L65" t="s">
        <v>212</v>
      </c>
      <c r="M65" t="s">
        <v>14</v>
      </c>
      <c r="N65">
        <v>8.6731040281015595E-2</v>
      </c>
      <c r="O65" t="s">
        <v>6</v>
      </c>
    </row>
    <row r="66" spans="2:15" x14ac:dyDescent="0.45">
      <c r="B66" t="s">
        <v>210</v>
      </c>
      <c r="C66" t="s">
        <v>15</v>
      </c>
      <c r="D66">
        <v>1.7966204295669225E-2</v>
      </c>
      <c r="E66" t="s">
        <v>6</v>
      </c>
      <c r="G66" t="s">
        <v>211</v>
      </c>
      <c r="H66" t="s">
        <v>15</v>
      </c>
      <c r="I66">
        <v>4.2559289798328584E-2</v>
      </c>
      <c r="J66" t="s">
        <v>6</v>
      </c>
      <c r="L66" t="s">
        <v>212</v>
      </c>
      <c r="M66" t="s">
        <v>15</v>
      </c>
      <c r="N66">
        <v>4.347466592969345E-2</v>
      </c>
      <c r="O66" t="s">
        <v>6</v>
      </c>
    </row>
    <row r="67" spans="2:15" x14ac:dyDescent="0.45">
      <c r="B67" t="s">
        <v>210</v>
      </c>
      <c r="C67" t="s">
        <v>16</v>
      </c>
      <c r="D67">
        <v>9.4335070840975546E-2</v>
      </c>
      <c r="E67" t="s">
        <v>6</v>
      </c>
      <c r="G67" t="s">
        <v>211</v>
      </c>
      <c r="H67" t="s">
        <v>16</v>
      </c>
      <c r="I67">
        <v>3.4628325216227801E-2</v>
      </c>
      <c r="J67" t="s">
        <v>6</v>
      </c>
      <c r="L67" t="s">
        <v>212</v>
      </c>
      <c r="M67" t="s">
        <v>16</v>
      </c>
      <c r="N67">
        <v>3.1626686713029643E-2</v>
      </c>
      <c r="O67" t="s">
        <v>6</v>
      </c>
    </row>
    <row r="68" spans="2:15" x14ac:dyDescent="0.45">
      <c r="B68" t="s">
        <v>210</v>
      </c>
      <c r="C68" t="s">
        <v>17</v>
      </c>
      <c r="D68">
        <v>0.12096582190510696</v>
      </c>
      <c r="E68" t="s">
        <v>6</v>
      </c>
      <c r="G68" t="s">
        <v>211</v>
      </c>
      <c r="H68" t="s">
        <v>17</v>
      </c>
      <c r="I68">
        <v>3.5529889629665606E-2</v>
      </c>
      <c r="J68" t="s">
        <v>6</v>
      </c>
      <c r="L68" t="s">
        <v>212</v>
      </c>
      <c r="M68" t="s">
        <v>17</v>
      </c>
      <c r="N68">
        <v>3.2265373875753005E-2</v>
      </c>
      <c r="O68" t="s">
        <v>6</v>
      </c>
    </row>
    <row r="69" spans="2:15" x14ac:dyDescent="0.45">
      <c r="B69" t="s">
        <v>210</v>
      </c>
      <c r="C69" t="s">
        <v>18</v>
      </c>
      <c r="D69">
        <v>8.0808614623163452E-2</v>
      </c>
      <c r="E69" t="s">
        <v>6</v>
      </c>
      <c r="G69" t="s">
        <v>211</v>
      </c>
      <c r="H69" t="s">
        <v>18</v>
      </c>
      <c r="I69">
        <v>3.4989974862894839E-2</v>
      </c>
      <c r="J69" t="s">
        <v>6</v>
      </c>
      <c r="L69" t="s">
        <v>212</v>
      </c>
      <c r="M69" t="s">
        <v>18</v>
      </c>
      <c r="N69">
        <v>3.3383517244003534E-2</v>
      </c>
      <c r="O69" t="s">
        <v>6</v>
      </c>
    </row>
    <row r="70" spans="2:15" x14ac:dyDescent="0.45">
      <c r="B70" t="s">
        <v>210</v>
      </c>
      <c r="C70" t="s">
        <v>19</v>
      </c>
      <c r="D70">
        <v>1.0216502449829506E-2</v>
      </c>
      <c r="E70" t="s">
        <v>6</v>
      </c>
      <c r="G70" t="s">
        <v>211</v>
      </c>
      <c r="H70" t="s">
        <v>19</v>
      </c>
      <c r="I70">
        <v>3.2796002657400042E-2</v>
      </c>
      <c r="J70" t="s">
        <v>6</v>
      </c>
      <c r="L70" t="s">
        <v>212</v>
      </c>
      <c r="M70" t="s">
        <v>19</v>
      </c>
      <c r="N70">
        <v>3.3741873481007614E-2</v>
      </c>
      <c r="O70" t="s">
        <v>6</v>
      </c>
    </row>
    <row r="71" spans="2:15" x14ac:dyDescent="0.45">
      <c r="B71" t="s">
        <v>210</v>
      </c>
      <c r="C71" t="s">
        <v>20</v>
      </c>
      <c r="D71">
        <v>6.5329143792838249E-8</v>
      </c>
      <c r="E71" t="s">
        <v>6</v>
      </c>
      <c r="G71" t="s">
        <v>211</v>
      </c>
      <c r="H71" t="s">
        <v>20</v>
      </c>
      <c r="I71">
        <v>5.2443471801219499E-2</v>
      </c>
      <c r="J71" t="s">
        <v>6</v>
      </c>
      <c r="L71" t="s">
        <v>212</v>
      </c>
      <c r="M71" t="s">
        <v>20</v>
      </c>
      <c r="N71">
        <v>6.6161045934931412E-2</v>
      </c>
      <c r="O71" t="s">
        <v>6</v>
      </c>
    </row>
    <row r="72" spans="2:15" x14ac:dyDescent="0.45">
      <c r="B72" t="s">
        <v>210</v>
      </c>
      <c r="C72" t="s">
        <v>21</v>
      </c>
      <c r="D72">
        <v>2.4239498860717027E-2</v>
      </c>
      <c r="E72" t="s">
        <v>6</v>
      </c>
      <c r="G72" t="s">
        <v>211</v>
      </c>
      <c r="H72" t="s">
        <v>21</v>
      </c>
      <c r="I72">
        <v>2.3662333953077833E-2</v>
      </c>
      <c r="J72" t="s">
        <v>6</v>
      </c>
      <c r="L72" t="s">
        <v>212</v>
      </c>
      <c r="M72" t="s">
        <v>21</v>
      </c>
      <c r="N72">
        <v>3.03049283247388E-2</v>
      </c>
      <c r="O72" t="s">
        <v>6</v>
      </c>
    </row>
    <row r="73" spans="2:15" x14ac:dyDescent="0.45">
      <c r="B73" t="s">
        <v>210</v>
      </c>
      <c r="C73" t="s">
        <v>22</v>
      </c>
      <c r="D73">
        <v>0.10071967503020059</v>
      </c>
      <c r="E73" t="s">
        <v>6</v>
      </c>
      <c r="G73" t="s">
        <v>211</v>
      </c>
      <c r="H73" t="s">
        <v>22</v>
      </c>
      <c r="I73">
        <v>1.8879188293737977E-2</v>
      </c>
      <c r="J73" t="s">
        <v>6</v>
      </c>
      <c r="L73" t="s">
        <v>212</v>
      </c>
      <c r="M73" t="s">
        <v>22</v>
      </c>
      <c r="N73">
        <v>2.122884376215544E-2</v>
      </c>
      <c r="O73" t="s">
        <v>6</v>
      </c>
    </row>
    <row r="74" spans="2:15" x14ac:dyDescent="0.45">
      <c r="B74" t="s">
        <v>210</v>
      </c>
      <c r="C74" t="s">
        <v>23</v>
      </c>
      <c r="D74">
        <v>0.1311037014571628</v>
      </c>
      <c r="E74" t="s">
        <v>6</v>
      </c>
      <c r="G74" t="s">
        <v>211</v>
      </c>
      <c r="H74" t="s">
        <v>23</v>
      </c>
      <c r="I74">
        <v>2.1106820810585972E-2</v>
      </c>
      <c r="J74" t="s">
        <v>6</v>
      </c>
      <c r="L74" t="s">
        <v>212</v>
      </c>
      <c r="M74" t="s">
        <v>23</v>
      </c>
      <c r="N74">
        <v>2.2593893907916187E-2</v>
      </c>
      <c r="O74" t="s">
        <v>6</v>
      </c>
    </row>
    <row r="75" spans="2:15" x14ac:dyDescent="0.45">
      <c r="B75" t="s">
        <v>210</v>
      </c>
      <c r="C75" t="s">
        <v>24</v>
      </c>
      <c r="D75">
        <v>9.4900516312744015E-2</v>
      </c>
      <c r="E75" t="s">
        <v>6</v>
      </c>
      <c r="G75" t="s">
        <v>211</v>
      </c>
      <c r="H75" t="s">
        <v>24</v>
      </c>
      <c r="I75">
        <v>2.161045966635082E-2</v>
      </c>
      <c r="J75" t="s">
        <v>6</v>
      </c>
      <c r="L75" t="s">
        <v>212</v>
      </c>
      <c r="M75" t="s">
        <v>24</v>
      </c>
      <c r="N75">
        <v>2.4343462794094269E-2</v>
      </c>
      <c r="O75" t="s">
        <v>6</v>
      </c>
    </row>
    <row r="76" spans="2:15" x14ac:dyDescent="0.45">
      <c r="B76" t="s">
        <v>210</v>
      </c>
      <c r="C76" t="s">
        <v>25</v>
      </c>
      <c r="D76">
        <v>1.727608210736091E-2</v>
      </c>
      <c r="E76" t="s">
        <v>6</v>
      </c>
      <c r="G76" t="s">
        <v>211</v>
      </c>
      <c r="H76" t="s">
        <v>25</v>
      </c>
      <c r="I76">
        <v>2.0324490643934767E-2</v>
      </c>
      <c r="J76" t="s">
        <v>6</v>
      </c>
      <c r="L76" t="s">
        <v>212</v>
      </c>
      <c r="M76" t="s">
        <v>25</v>
      </c>
      <c r="N76">
        <v>2.5138836306077779E-2</v>
      </c>
      <c r="O76" t="s">
        <v>6</v>
      </c>
    </row>
    <row r="77" spans="2:15" x14ac:dyDescent="0.45">
      <c r="B77" t="s">
        <v>210</v>
      </c>
      <c r="C77" t="s">
        <v>26</v>
      </c>
      <c r="D77">
        <v>0</v>
      </c>
      <c r="E77" t="s">
        <v>6</v>
      </c>
      <c r="G77" t="s">
        <v>211</v>
      </c>
      <c r="H77" t="s">
        <v>26</v>
      </c>
      <c r="I77">
        <v>9.2923551026028728E-2</v>
      </c>
      <c r="J77" t="s">
        <v>6</v>
      </c>
      <c r="L77" t="s">
        <v>212</v>
      </c>
      <c r="M77" t="s">
        <v>26</v>
      </c>
      <c r="N77">
        <v>8.8471386374874339E-2</v>
      </c>
      <c r="O77" t="s">
        <v>6</v>
      </c>
    </row>
    <row r="78" spans="2:15" x14ac:dyDescent="0.45">
      <c r="B78" t="s">
        <v>210</v>
      </c>
      <c r="C78" t="s">
        <v>27</v>
      </c>
      <c r="D78">
        <v>4.1456247140148018E-3</v>
      </c>
      <c r="E78" t="s">
        <v>6</v>
      </c>
      <c r="G78" t="s">
        <v>211</v>
      </c>
      <c r="H78" t="s">
        <v>27</v>
      </c>
      <c r="I78">
        <v>4.3936530003598186E-2</v>
      </c>
      <c r="J78" t="s">
        <v>6</v>
      </c>
      <c r="L78" t="s">
        <v>212</v>
      </c>
      <c r="M78" t="s">
        <v>27</v>
      </c>
      <c r="N78">
        <v>4.319299613514966E-2</v>
      </c>
      <c r="O78" t="s">
        <v>6</v>
      </c>
    </row>
    <row r="79" spans="2:15" x14ac:dyDescent="0.45">
      <c r="B79" t="s">
        <v>210</v>
      </c>
      <c r="C79" t="s">
        <v>28</v>
      </c>
      <c r="D79">
        <v>5.3642039729410652E-2</v>
      </c>
      <c r="E79" t="s">
        <v>6</v>
      </c>
      <c r="G79" t="s">
        <v>211</v>
      </c>
      <c r="H79" t="s">
        <v>28</v>
      </c>
      <c r="I79">
        <v>3.2526580354003999E-2</v>
      </c>
      <c r="J79" t="s">
        <v>6</v>
      </c>
      <c r="L79" t="s">
        <v>212</v>
      </c>
      <c r="M79" t="s">
        <v>28</v>
      </c>
      <c r="N79">
        <v>3.1577794208904143E-2</v>
      </c>
      <c r="O79" t="s">
        <v>6</v>
      </c>
    </row>
    <row r="80" spans="2:15" x14ac:dyDescent="0.45">
      <c r="B80" t="s">
        <v>210</v>
      </c>
      <c r="C80" t="s">
        <v>29</v>
      </c>
      <c r="D80">
        <v>8.3986401032829838E-2</v>
      </c>
      <c r="E80" t="s">
        <v>6</v>
      </c>
      <c r="G80" t="s">
        <v>211</v>
      </c>
      <c r="H80" t="s">
        <v>29</v>
      </c>
      <c r="I80">
        <v>3.3875690485001733E-2</v>
      </c>
      <c r="J80" t="s">
        <v>6</v>
      </c>
      <c r="L80" t="s">
        <v>212</v>
      </c>
      <c r="M80" t="s">
        <v>29</v>
      </c>
      <c r="N80">
        <v>3.280357193224484E-2</v>
      </c>
      <c r="O80" t="s">
        <v>6</v>
      </c>
    </row>
    <row r="81" spans="2:15" x14ac:dyDescent="0.45">
      <c r="B81" t="s">
        <v>210</v>
      </c>
      <c r="C81" t="s">
        <v>30</v>
      </c>
      <c r="D81">
        <v>3.9851603438522676E-2</v>
      </c>
      <c r="E81" t="s">
        <v>6</v>
      </c>
      <c r="G81" t="s">
        <v>211</v>
      </c>
      <c r="H81" t="s">
        <v>30</v>
      </c>
      <c r="I81">
        <v>3.4348345711251983E-2</v>
      </c>
      <c r="J81" t="s">
        <v>6</v>
      </c>
      <c r="L81" t="s">
        <v>212</v>
      </c>
      <c r="M81" t="s">
        <v>30</v>
      </c>
      <c r="N81">
        <v>3.3237721558760584E-2</v>
      </c>
      <c r="O81" t="s">
        <v>6</v>
      </c>
    </row>
    <row r="82" spans="2:15" x14ac:dyDescent="0.45">
      <c r="B82" t="s">
        <v>210</v>
      </c>
      <c r="C82" t="s">
        <v>31</v>
      </c>
      <c r="D82">
        <v>1.4026736542359654E-3</v>
      </c>
      <c r="E82" t="s">
        <v>6</v>
      </c>
      <c r="G82" t="s">
        <v>211</v>
      </c>
      <c r="H82" t="s">
        <v>31</v>
      </c>
      <c r="I82">
        <v>3.5080773836911369E-2</v>
      </c>
      <c r="J82" t="s">
        <v>6</v>
      </c>
      <c r="L82" t="s">
        <v>212</v>
      </c>
      <c r="M82" t="s">
        <v>31</v>
      </c>
      <c r="N82">
        <v>3.489462162976862E-2</v>
      </c>
      <c r="O82" t="s">
        <v>6</v>
      </c>
    </row>
    <row r="83" spans="2:15" x14ac:dyDescent="0.45">
      <c r="B83" t="s">
        <v>213</v>
      </c>
      <c r="C83" t="s">
        <v>5</v>
      </c>
      <c r="D83">
        <v>0</v>
      </c>
      <c r="E83" t="s">
        <v>6</v>
      </c>
      <c r="G83" t="s">
        <v>214</v>
      </c>
      <c r="H83" t="s">
        <v>5</v>
      </c>
      <c r="I83">
        <v>0.10465703035451773</v>
      </c>
      <c r="J83" t="s">
        <v>6</v>
      </c>
      <c r="L83" t="s">
        <v>215</v>
      </c>
      <c r="M83" t="s">
        <v>5</v>
      </c>
      <c r="N83">
        <v>9.498077021372138E-2</v>
      </c>
      <c r="O83" t="s">
        <v>6</v>
      </c>
    </row>
    <row r="84" spans="2:15" x14ac:dyDescent="0.45">
      <c r="B84" t="s">
        <v>213</v>
      </c>
      <c r="C84" t="s">
        <v>9</v>
      </c>
      <c r="D84">
        <v>3.0025038041668931E-4</v>
      </c>
      <c r="E84" t="s">
        <v>6</v>
      </c>
      <c r="G84" t="s">
        <v>214</v>
      </c>
      <c r="H84" t="s">
        <v>9</v>
      </c>
      <c r="I84">
        <v>4.995899488465886E-2</v>
      </c>
      <c r="J84" t="s">
        <v>6</v>
      </c>
      <c r="L84" t="s">
        <v>215</v>
      </c>
      <c r="M84" t="s">
        <v>9</v>
      </c>
      <c r="N84">
        <v>4.8037527257400091E-2</v>
      </c>
      <c r="O84" t="s">
        <v>6</v>
      </c>
    </row>
    <row r="85" spans="2:15" x14ac:dyDescent="0.45">
      <c r="B85" t="s">
        <v>213</v>
      </c>
      <c r="C85" t="s">
        <v>10</v>
      </c>
      <c r="D85">
        <v>3.7344067379488491E-2</v>
      </c>
      <c r="E85" t="s">
        <v>6</v>
      </c>
      <c r="G85" t="s">
        <v>214</v>
      </c>
      <c r="H85" t="s">
        <v>10</v>
      </c>
      <c r="I85">
        <v>3.6726372630242761E-2</v>
      </c>
      <c r="J85" t="s">
        <v>6</v>
      </c>
      <c r="L85" t="s">
        <v>215</v>
      </c>
      <c r="M85" t="s">
        <v>10</v>
      </c>
      <c r="N85">
        <v>3.5769525813737379E-2</v>
      </c>
      <c r="O85" t="s">
        <v>6</v>
      </c>
    </row>
    <row r="86" spans="2:15" x14ac:dyDescent="0.45">
      <c r="B86" t="s">
        <v>213</v>
      </c>
      <c r="C86" t="s">
        <v>11</v>
      </c>
      <c r="D86">
        <v>6.8036536182755056E-2</v>
      </c>
      <c r="E86" t="s">
        <v>6</v>
      </c>
      <c r="G86" t="s">
        <v>214</v>
      </c>
      <c r="H86" t="s">
        <v>11</v>
      </c>
      <c r="I86">
        <v>3.6873825266546249E-2</v>
      </c>
      <c r="J86" t="s">
        <v>6</v>
      </c>
      <c r="L86" t="s">
        <v>215</v>
      </c>
      <c r="M86" t="s">
        <v>11</v>
      </c>
      <c r="N86">
        <v>3.5619735668327955E-2</v>
      </c>
      <c r="O86" t="s">
        <v>6</v>
      </c>
    </row>
    <row r="87" spans="2:15" x14ac:dyDescent="0.45">
      <c r="B87" t="s">
        <v>213</v>
      </c>
      <c r="C87" t="s">
        <v>12</v>
      </c>
      <c r="D87">
        <v>2.2996367457058155E-2</v>
      </c>
      <c r="E87" t="s">
        <v>6</v>
      </c>
      <c r="G87" t="s">
        <v>214</v>
      </c>
      <c r="H87" t="s">
        <v>12</v>
      </c>
      <c r="I87">
        <v>3.7114937299021766E-2</v>
      </c>
      <c r="J87" t="s">
        <v>6</v>
      </c>
      <c r="L87" t="s">
        <v>215</v>
      </c>
      <c r="M87" t="s">
        <v>12</v>
      </c>
      <c r="N87">
        <v>3.5991608495018763E-2</v>
      </c>
      <c r="O87" t="s">
        <v>6</v>
      </c>
    </row>
    <row r="88" spans="2:15" x14ac:dyDescent="0.45">
      <c r="B88" t="s">
        <v>213</v>
      </c>
      <c r="C88" t="s">
        <v>13</v>
      </c>
      <c r="D88">
        <v>1.6231236090971883E-6</v>
      </c>
      <c r="E88" t="s">
        <v>6</v>
      </c>
      <c r="G88" t="s">
        <v>214</v>
      </c>
      <c r="H88" t="s">
        <v>13</v>
      </c>
      <c r="I88">
        <v>3.9085039311855987E-2</v>
      </c>
      <c r="J88" t="s">
        <v>6</v>
      </c>
      <c r="L88" t="s">
        <v>215</v>
      </c>
      <c r="M88" t="s">
        <v>13</v>
      </c>
      <c r="N88">
        <v>3.5839874261486757E-2</v>
      </c>
      <c r="O88" t="s">
        <v>6</v>
      </c>
    </row>
    <row r="89" spans="2:15" x14ac:dyDescent="0.45">
      <c r="B89" t="s">
        <v>213</v>
      </c>
      <c r="C89" t="s">
        <v>14</v>
      </c>
      <c r="D89">
        <v>0</v>
      </c>
      <c r="E89" t="s">
        <v>6</v>
      </c>
      <c r="G89" t="s">
        <v>214</v>
      </c>
      <c r="H89" t="s">
        <v>14</v>
      </c>
      <c r="I89">
        <v>8.5882436639975218E-2</v>
      </c>
      <c r="J89" t="s">
        <v>6</v>
      </c>
      <c r="L89" t="s">
        <v>215</v>
      </c>
      <c r="M89" t="s">
        <v>14</v>
      </c>
      <c r="N89">
        <v>9.3880665171690109E-2</v>
      </c>
      <c r="O89" t="s">
        <v>6</v>
      </c>
    </row>
    <row r="90" spans="2:15" x14ac:dyDescent="0.45">
      <c r="B90" t="s">
        <v>213</v>
      </c>
      <c r="C90" t="s">
        <v>15</v>
      </c>
      <c r="D90">
        <v>2.1464888678941082E-2</v>
      </c>
      <c r="E90" t="s">
        <v>6</v>
      </c>
      <c r="G90" t="s">
        <v>214</v>
      </c>
      <c r="H90" t="s">
        <v>15</v>
      </c>
      <c r="I90">
        <v>4.2946236698430965E-2</v>
      </c>
      <c r="J90" t="s">
        <v>6</v>
      </c>
      <c r="L90" t="s">
        <v>215</v>
      </c>
      <c r="M90" t="s">
        <v>15</v>
      </c>
      <c r="N90">
        <v>4.5885380151912417E-2</v>
      </c>
      <c r="O90" t="s">
        <v>6</v>
      </c>
    </row>
    <row r="91" spans="2:15" x14ac:dyDescent="0.45">
      <c r="B91" t="s">
        <v>213</v>
      </c>
      <c r="C91" t="s">
        <v>16</v>
      </c>
      <c r="D91">
        <v>9.6910116438183869E-2</v>
      </c>
      <c r="E91" t="s">
        <v>6</v>
      </c>
      <c r="G91" t="s">
        <v>214</v>
      </c>
      <c r="H91" t="s">
        <v>16</v>
      </c>
      <c r="I91">
        <v>3.5236859202038631E-2</v>
      </c>
      <c r="J91" t="s">
        <v>6</v>
      </c>
      <c r="L91" t="s">
        <v>215</v>
      </c>
      <c r="M91" t="s">
        <v>16</v>
      </c>
      <c r="N91">
        <v>3.3344138129403414E-2</v>
      </c>
      <c r="O91" t="s">
        <v>6</v>
      </c>
    </row>
    <row r="92" spans="2:15" x14ac:dyDescent="0.45">
      <c r="B92" t="s">
        <v>213</v>
      </c>
      <c r="C92" t="s">
        <v>17</v>
      </c>
      <c r="D92">
        <v>0.11613088379885515</v>
      </c>
      <c r="E92" t="s">
        <v>6</v>
      </c>
      <c r="G92" t="s">
        <v>214</v>
      </c>
      <c r="H92" t="s">
        <v>17</v>
      </c>
      <c r="I92">
        <v>3.7108288104735265E-2</v>
      </c>
      <c r="J92" t="s">
        <v>6</v>
      </c>
      <c r="L92" t="s">
        <v>215</v>
      </c>
      <c r="M92" t="s">
        <v>17</v>
      </c>
      <c r="N92">
        <v>3.3969874596424164E-2</v>
      </c>
      <c r="O92" t="s">
        <v>6</v>
      </c>
    </row>
    <row r="93" spans="2:15" x14ac:dyDescent="0.45">
      <c r="B93" t="s">
        <v>213</v>
      </c>
      <c r="C93" t="s">
        <v>18</v>
      </c>
      <c r="D93">
        <v>7.3257501265106897E-2</v>
      </c>
      <c r="E93" t="s">
        <v>6</v>
      </c>
      <c r="G93" t="s">
        <v>214</v>
      </c>
      <c r="H93" t="s">
        <v>18</v>
      </c>
      <c r="I93">
        <v>3.6189673926636474E-2</v>
      </c>
      <c r="J93" t="s">
        <v>6</v>
      </c>
      <c r="L93" t="s">
        <v>215</v>
      </c>
      <c r="M93" t="s">
        <v>18</v>
      </c>
      <c r="N93">
        <v>3.5447605534019079E-2</v>
      </c>
      <c r="O93" t="s">
        <v>6</v>
      </c>
    </row>
    <row r="94" spans="2:15" x14ac:dyDescent="0.45">
      <c r="B94" t="s">
        <v>213</v>
      </c>
      <c r="C94" t="s">
        <v>19</v>
      </c>
      <c r="D94">
        <v>8.1677850547978402E-3</v>
      </c>
      <c r="E94" t="s">
        <v>6</v>
      </c>
      <c r="G94" t="s">
        <v>214</v>
      </c>
      <c r="H94" t="s">
        <v>19</v>
      </c>
      <c r="I94">
        <v>3.4321910979271605E-2</v>
      </c>
      <c r="J94" t="s">
        <v>6</v>
      </c>
      <c r="L94" t="s">
        <v>215</v>
      </c>
      <c r="M94" t="s">
        <v>19</v>
      </c>
      <c r="N94">
        <v>3.6202060648762219E-2</v>
      </c>
      <c r="O94" t="s">
        <v>6</v>
      </c>
    </row>
    <row r="95" spans="2:15" x14ac:dyDescent="0.45">
      <c r="B95" t="s">
        <v>213</v>
      </c>
      <c r="C95" t="s">
        <v>20</v>
      </c>
      <c r="D95">
        <v>1.3522077087833768E-8</v>
      </c>
      <c r="E95" t="s">
        <v>6</v>
      </c>
      <c r="G95" t="s">
        <v>214</v>
      </c>
      <c r="H95" t="s">
        <v>20</v>
      </c>
      <c r="I95">
        <v>5.2938273714154091E-2</v>
      </c>
      <c r="J95" t="s">
        <v>6</v>
      </c>
      <c r="L95" t="s">
        <v>215</v>
      </c>
      <c r="M95" t="s">
        <v>20</v>
      </c>
      <c r="N95">
        <v>6.6589193719813616E-2</v>
      </c>
      <c r="O95" t="s">
        <v>6</v>
      </c>
    </row>
    <row r="96" spans="2:15" x14ac:dyDescent="0.45">
      <c r="B96" t="s">
        <v>213</v>
      </c>
      <c r="C96" t="s">
        <v>21</v>
      </c>
      <c r="D96">
        <v>2.9589361450677979E-2</v>
      </c>
      <c r="E96" t="s">
        <v>6</v>
      </c>
      <c r="G96" t="s">
        <v>214</v>
      </c>
      <c r="H96" t="s">
        <v>21</v>
      </c>
      <c r="I96">
        <v>2.4436414882511429E-2</v>
      </c>
      <c r="J96" t="s">
        <v>6</v>
      </c>
      <c r="L96" t="s">
        <v>215</v>
      </c>
      <c r="M96" t="s">
        <v>21</v>
      </c>
      <c r="N96">
        <v>3.1937940149434803E-2</v>
      </c>
      <c r="O96" t="s">
        <v>6</v>
      </c>
    </row>
    <row r="97" spans="2:15" x14ac:dyDescent="0.45">
      <c r="B97" t="s">
        <v>213</v>
      </c>
      <c r="C97" t="s">
        <v>22</v>
      </c>
      <c r="D97">
        <v>0.10803001464150742</v>
      </c>
      <c r="E97" t="s">
        <v>6</v>
      </c>
      <c r="G97" t="s">
        <v>214</v>
      </c>
      <c r="H97" t="s">
        <v>22</v>
      </c>
      <c r="I97">
        <v>1.9437067971935625E-2</v>
      </c>
      <c r="J97" t="s">
        <v>6</v>
      </c>
      <c r="L97" t="s">
        <v>215</v>
      </c>
      <c r="M97" t="s">
        <v>22</v>
      </c>
      <c r="N97">
        <v>2.2995575140570632E-2</v>
      </c>
      <c r="O97" t="s">
        <v>6</v>
      </c>
    </row>
    <row r="98" spans="2:15" x14ac:dyDescent="0.45">
      <c r="B98" t="s">
        <v>213</v>
      </c>
      <c r="C98" t="s">
        <v>23</v>
      </c>
      <c r="D98">
        <v>0.12883424385480288</v>
      </c>
      <c r="E98" t="s">
        <v>6</v>
      </c>
      <c r="G98" t="s">
        <v>214</v>
      </c>
      <c r="H98" t="s">
        <v>23</v>
      </c>
      <c r="I98">
        <v>2.0998041770083603E-2</v>
      </c>
      <c r="J98" t="s">
        <v>6</v>
      </c>
      <c r="L98" t="s">
        <v>215</v>
      </c>
      <c r="M98" t="s">
        <v>23</v>
      </c>
      <c r="N98">
        <v>2.3579735439454002E-2</v>
      </c>
      <c r="O98" t="s">
        <v>6</v>
      </c>
    </row>
    <row r="99" spans="2:15" x14ac:dyDescent="0.45">
      <c r="B99" t="s">
        <v>213</v>
      </c>
      <c r="C99" t="s">
        <v>24</v>
      </c>
      <c r="D99">
        <v>8.5122847970780888E-2</v>
      </c>
      <c r="E99" t="s">
        <v>6</v>
      </c>
      <c r="G99" t="s">
        <v>214</v>
      </c>
      <c r="H99" t="s">
        <v>24</v>
      </c>
      <c r="I99">
        <v>2.119322590650901E-2</v>
      </c>
      <c r="J99" t="s">
        <v>6</v>
      </c>
      <c r="L99" t="s">
        <v>215</v>
      </c>
      <c r="M99" t="s">
        <v>24</v>
      </c>
      <c r="N99">
        <v>2.6139740543347435E-2</v>
      </c>
      <c r="O99" t="s">
        <v>6</v>
      </c>
    </row>
    <row r="100" spans="2:15" x14ac:dyDescent="0.45">
      <c r="B100" t="s">
        <v>213</v>
      </c>
      <c r="C100" t="s">
        <v>25</v>
      </c>
      <c r="D100">
        <v>1.5242294657727926E-2</v>
      </c>
      <c r="E100" t="s">
        <v>6</v>
      </c>
      <c r="G100" t="s">
        <v>214</v>
      </c>
      <c r="H100" t="s">
        <v>25</v>
      </c>
      <c r="I100">
        <v>1.9977725125462625E-2</v>
      </c>
      <c r="J100" t="s">
        <v>6</v>
      </c>
      <c r="L100" t="s">
        <v>215</v>
      </c>
      <c r="M100" t="s">
        <v>25</v>
      </c>
      <c r="N100">
        <v>2.6346147326544528E-2</v>
      </c>
      <c r="O100" t="s">
        <v>6</v>
      </c>
    </row>
    <row r="101" spans="2:15" x14ac:dyDescent="0.45">
      <c r="B101" t="s">
        <v>213</v>
      </c>
      <c r="C101" t="s">
        <v>26</v>
      </c>
      <c r="D101">
        <v>0</v>
      </c>
      <c r="E101" t="s">
        <v>6</v>
      </c>
      <c r="G101" t="s">
        <v>214</v>
      </c>
      <c r="H101" t="s">
        <v>26</v>
      </c>
      <c r="I101">
        <v>8.9702970211084226E-2</v>
      </c>
      <c r="J101" t="s">
        <v>6</v>
      </c>
      <c r="L101" t="s">
        <v>215</v>
      </c>
      <c r="M101" t="s">
        <v>26</v>
      </c>
      <c r="N101">
        <v>7.9385717765143124E-2</v>
      </c>
      <c r="O101" t="s">
        <v>6</v>
      </c>
    </row>
    <row r="102" spans="2:15" x14ac:dyDescent="0.45">
      <c r="B102" t="s">
        <v>213</v>
      </c>
      <c r="C102" t="s">
        <v>27</v>
      </c>
      <c r="D102">
        <v>6.1368958790342359E-3</v>
      </c>
      <c r="E102" t="s">
        <v>6</v>
      </c>
      <c r="G102" t="s">
        <v>214</v>
      </c>
      <c r="H102" t="s">
        <v>27</v>
      </c>
      <c r="I102">
        <v>4.2218815293240508E-2</v>
      </c>
      <c r="J102" t="s">
        <v>6</v>
      </c>
      <c r="L102" t="s">
        <v>215</v>
      </c>
      <c r="M102" t="s">
        <v>27</v>
      </c>
      <c r="N102">
        <v>3.8942011237847893E-2</v>
      </c>
      <c r="O102" t="s">
        <v>6</v>
      </c>
    </row>
    <row r="103" spans="2:15" x14ac:dyDescent="0.45">
      <c r="B103" t="s">
        <v>213</v>
      </c>
      <c r="C103" t="s">
        <v>28</v>
      </c>
      <c r="D103">
        <v>6.0648243450252388E-2</v>
      </c>
      <c r="E103" t="s">
        <v>6</v>
      </c>
      <c r="G103" t="s">
        <v>214</v>
      </c>
      <c r="H103" t="s">
        <v>28</v>
      </c>
      <c r="I103">
        <v>3.1760936336134984E-2</v>
      </c>
      <c r="J103" t="s">
        <v>6</v>
      </c>
      <c r="L103" t="s">
        <v>215</v>
      </c>
      <c r="M103" t="s">
        <v>28</v>
      </c>
      <c r="N103">
        <v>2.8938083930585862E-2</v>
      </c>
      <c r="O103" t="s">
        <v>6</v>
      </c>
    </row>
    <row r="104" spans="2:15" x14ac:dyDescent="0.45">
      <c r="B104" t="s">
        <v>213</v>
      </c>
      <c r="C104" t="s">
        <v>29</v>
      </c>
      <c r="D104">
        <v>8.4184333818627569E-2</v>
      </c>
      <c r="E104" t="s">
        <v>6</v>
      </c>
      <c r="G104" t="s">
        <v>214</v>
      </c>
      <c r="H104" t="s">
        <v>29</v>
      </c>
      <c r="I104">
        <v>3.3400041242930445E-2</v>
      </c>
      <c r="J104" t="s">
        <v>6</v>
      </c>
      <c r="L104" t="s">
        <v>215</v>
      </c>
      <c r="M104" t="s">
        <v>29</v>
      </c>
      <c r="N104">
        <v>2.8875059397322236E-2</v>
      </c>
      <c r="O104" t="s">
        <v>6</v>
      </c>
    </row>
    <row r="105" spans="2:15" x14ac:dyDescent="0.45">
      <c r="B105" t="s">
        <v>213</v>
      </c>
      <c r="C105" t="s">
        <v>30</v>
      </c>
      <c r="D105">
        <v>3.6667109157851423E-2</v>
      </c>
      <c r="E105" t="s">
        <v>6</v>
      </c>
      <c r="G105" t="s">
        <v>214</v>
      </c>
      <c r="H105" t="s">
        <v>30</v>
      </c>
      <c r="I105">
        <v>3.3787228673916966E-2</v>
      </c>
      <c r="J105" t="s">
        <v>6</v>
      </c>
      <c r="L105" t="s">
        <v>215</v>
      </c>
      <c r="M105" t="s">
        <v>30</v>
      </c>
      <c r="N105">
        <v>3.0169983073512735E-2</v>
      </c>
      <c r="O105" t="s">
        <v>6</v>
      </c>
    </row>
    <row r="106" spans="2:15" x14ac:dyDescent="0.45">
      <c r="B106" t="s">
        <v>213</v>
      </c>
      <c r="C106" t="s">
        <v>31</v>
      </c>
      <c r="D106">
        <v>9.3462183744723348E-4</v>
      </c>
      <c r="E106" t="s">
        <v>6</v>
      </c>
      <c r="G106" t="s">
        <v>214</v>
      </c>
      <c r="H106" t="s">
        <v>31</v>
      </c>
      <c r="I106">
        <v>3.4047653574102221E-2</v>
      </c>
      <c r="J106" t="s">
        <v>6</v>
      </c>
      <c r="L106" t="s">
        <v>215</v>
      </c>
      <c r="M106" t="s">
        <v>31</v>
      </c>
      <c r="N106">
        <v>3.1132046334519325E-2</v>
      </c>
      <c r="O106" t="s">
        <v>6</v>
      </c>
    </row>
    <row r="107" spans="2:15" x14ac:dyDescent="0.45">
      <c r="B107" t="s">
        <v>216</v>
      </c>
      <c r="C107" t="s">
        <v>5</v>
      </c>
      <c r="D107">
        <v>0</v>
      </c>
      <c r="E107" t="s">
        <v>6</v>
      </c>
      <c r="G107" t="s">
        <v>217</v>
      </c>
      <c r="H107" t="s">
        <v>5</v>
      </c>
      <c r="I107">
        <v>0.10722476232136789</v>
      </c>
      <c r="J107" t="s">
        <v>6</v>
      </c>
      <c r="L107" t="s">
        <v>218</v>
      </c>
      <c r="M107" t="s">
        <v>5</v>
      </c>
      <c r="N107">
        <v>9.6669485560954074E-2</v>
      </c>
      <c r="O107" t="s">
        <v>6</v>
      </c>
    </row>
    <row r="108" spans="2:15" x14ac:dyDescent="0.45">
      <c r="B108" t="s">
        <v>216</v>
      </c>
      <c r="C108" t="s">
        <v>9</v>
      </c>
      <c r="D108">
        <v>3.7879917981618395E-4</v>
      </c>
      <c r="E108" t="s">
        <v>6</v>
      </c>
      <c r="G108" t="s">
        <v>217</v>
      </c>
      <c r="H108" t="s">
        <v>9</v>
      </c>
      <c r="I108">
        <v>5.0821017956675721E-2</v>
      </c>
      <c r="J108" t="s">
        <v>6</v>
      </c>
      <c r="L108" t="s">
        <v>218</v>
      </c>
      <c r="M108" t="s">
        <v>9</v>
      </c>
      <c r="N108">
        <v>4.8349391306166757E-2</v>
      </c>
      <c r="O108" t="s">
        <v>6</v>
      </c>
    </row>
    <row r="109" spans="2:15" x14ac:dyDescent="0.45">
      <c r="B109" t="s">
        <v>216</v>
      </c>
      <c r="C109" t="s">
        <v>10</v>
      </c>
      <c r="D109">
        <v>3.8193591335951974E-2</v>
      </c>
      <c r="E109" t="s">
        <v>6</v>
      </c>
      <c r="G109" t="s">
        <v>217</v>
      </c>
      <c r="H109" t="s">
        <v>10</v>
      </c>
      <c r="I109">
        <v>3.8291514157197837E-2</v>
      </c>
      <c r="J109" t="s">
        <v>6</v>
      </c>
      <c r="L109" t="s">
        <v>218</v>
      </c>
      <c r="M109" t="s">
        <v>10</v>
      </c>
      <c r="N109">
        <v>3.6397990090094978E-2</v>
      </c>
      <c r="O109" t="s">
        <v>6</v>
      </c>
    </row>
    <row r="110" spans="2:15" x14ac:dyDescent="0.45">
      <c r="B110" t="s">
        <v>216</v>
      </c>
      <c r="C110" t="s">
        <v>11</v>
      </c>
      <c r="D110">
        <v>6.6609673271639802E-2</v>
      </c>
      <c r="E110" t="s">
        <v>6</v>
      </c>
      <c r="G110" t="s">
        <v>217</v>
      </c>
      <c r="H110" t="s">
        <v>11</v>
      </c>
      <c r="I110">
        <v>4.0198787460183003E-2</v>
      </c>
      <c r="J110" t="s">
        <v>6</v>
      </c>
      <c r="L110" t="s">
        <v>218</v>
      </c>
      <c r="M110" t="s">
        <v>11</v>
      </c>
      <c r="N110">
        <v>3.7091405771788967E-2</v>
      </c>
      <c r="O110" t="s">
        <v>6</v>
      </c>
    </row>
    <row r="111" spans="2:15" x14ac:dyDescent="0.45">
      <c r="B111" t="s">
        <v>216</v>
      </c>
      <c r="C111" t="s">
        <v>12</v>
      </c>
      <c r="D111">
        <v>2.0682160724541536E-2</v>
      </c>
      <c r="E111" t="s">
        <v>6</v>
      </c>
      <c r="G111" t="s">
        <v>217</v>
      </c>
      <c r="H111" t="s">
        <v>12</v>
      </c>
      <c r="I111">
        <v>3.9404689783985147E-2</v>
      </c>
      <c r="J111" t="s">
        <v>6</v>
      </c>
      <c r="L111" t="s">
        <v>218</v>
      </c>
      <c r="M111" t="s">
        <v>12</v>
      </c>
      <c r="N111">
        <v>3.7536811435878489E-2</v>
      </c>
      <c r="O111" t="s">
        <v>6</v>
      </c>
    </row>
    <row r="112" spans="2:15" x14ac:dyDescent="0.45">
      <c r="B112" t="s">
        <v>216</v>
      </c>
      <c r="C112" t="s">
        <v>13</v>
      </c>
      <c r="D112">
        <v>0</v>
      </c>
      <c r="E112" t="s">
        <v>6</v>
      </c>
      <c r="G112" t="s">
        <v>217</v>
      </c>
      <c r="H112" t="s">
        <v>13</v>
      </c>
      <c r="I112">
        <v>4.0216285929928007E-2</v>
      </c>
      <c r="J112" t="s">
        <v>6</v>
      </c>
      <c r="L112" t="s">
        <v>218</v>
      </c>
      <c r="M112" t="s">
        <v>13</v>
      </c>
      <c r="N112">
        <v>3.7216208236694075E-2</v>
      </c>
      <c r="O112" t="s">
        <v>6</v>
      </c>
    </row>
    <row r="113" spans="2:15" x14ac:dyDescent="0.45">
      <c r="B113" t="s">
        <v>216</v>
      </c>
      <c r="C113" t="s">
        <v>14</v>
      </c>
      <c r="D113">
        <v>0</v>
      </c>
      <c r="E113" t="s">
        <v>6</v>
      </c>
      <c r="G113" t="s">
        <v>217</v>
      </c>
      <c r="H113" t="s">
        <v>14</v>
      </c>
      <c r="I113">
        <v>8.5132082659477137E-2</v>
      </c>
      <c r="J113" t="s">
        <v>6</v>
      </c>
      <c r="L113" t="s">
        <v>218</v>
      </c>
      <c r="M113" t="s">
        <v>14</v>
      </c>
      <c r="N113">
        <v>9.6861311054686774E-2</v>
      </c>
      <c r="O113" t="s">
        <v>6</v>
      </c>
    </row>
    <row r="114" spans="2:15" x14ac:dyDescent="0.45">
      <c r="B114" t="s">
        <v>216</v>
      </c>
      <c r="C114" t="s">
        <v>15</v>
      </c>
      <c r="D114">
        <v>2.293176332716278E-2</v>
      </c>
      <c r="E114" t="s">
        <v>6</v>
      </c>
      <c r="G114" t="s">
        <v>217</v>
      </c>
      <c r="H114" t="s">
        <v>15</v>
      </c>
      <c r="I114">
        <v>4.3526435182854435E-2</v>
      </c>
      <c r="J114" t="s">
        <v>6</v>
      </c>
      <c r="L114" t="s">
        <v>218</v>
      </c>
      <c r="M114" t="s">
        <v>15</v>
      </c>
      <c r="N114">
        <v>4.8107492877371254E-2</v>
      </c>
      <c r="O114" t="s">
        <v>6</v>
      </c>
    </row>
    <row r="115" spans="2:15" x14ac:dyDescent="0.45">
      <c r="B115" t="s">
        <v>216</v>
      </c>
      <c r="C115" t="s">
        <v>16</v>
      </c>
      <c r="D115">
        <v>9.700892374917669E-2</v>
      </c>
      <c r="E115" t="s">
        <v>6</v>
      </c>
      <c r="G115" t="s">
        <v>217</v>
      </c>
      <c r="H115" t="s">
        <v>16</v>
      </c>
      <c r="I115">
        <v>3.6884327949461122E-2</v>
      </c>
      <c r="J115" t="s">
        <v>6</v>
      </c>
      <c r="L115" t="s">
        <v>218</v>
      </c>
      <c r="M115" t="s">
        <v>16</v>
      </c>
      <c r="N115">
        <v>3.4873701022973512E-2</v>
      </c>
      <c r="O115" t="s">
        <v>6</v>
      </c>
    </row>
    <row r="116" spans="2:15" x14ac:dyDescent="0.45">
      <c r="B116" t="s">
        <v>216</v>
      </c>
      <c r="C116" t="s">
        <v>17</v>
      </c>
      <c r="D116">
        <v>0.12323598308936443</v>
      </c>
      <c r="E116" t="s">
        <v>6</v>
      </c>
      <c r="G116" t="s">
        <v>217</v>
      </c>
      <c r="H116" t="s">
        <v>17</v>
      </c>
      <c r="I116">
        <v>3.847795777733113E-2</v>
      </c>
      <c r="J116" t="s">
        <v>6</v>
      </c>
      <c r="L116" t="s">
        <v>218</v>
      </c>
      <c r="M116" t="s">
        <v>17</v>
      </c>
      <c r="N116">
        <v>3.4536264352987504E-2</v>
      </c>
      <c r="O116" t="s">
        <v>6</v>
      </c>
    </row>
    <row r="117" spans="2:15" x14ac:dyDescent="0.45">
      <c r="B117" t="s">
        <v>216</v>
      </c>
      <c r="C117" t="s">
        <v>18</v>
      </c>
      <c r="D117">
        <v>7.1769019953755495E-2</v>
      </c>
      <c r="E117" t="s">
        <v>6</v>
      </c>
      <c r="G117" t="s">
        <v>217</v>
      </c>
      <c r="H117" t="s">
        <v>18</v>
      </c>
      <c r="I117">
        <v>3.7138025032310562E-2</v>
      </c>
      <c r="J117" t="s">
        <v>6</v>
      </c>
      <c r="L117" t="s">
        <v>218</v>
      </c>
      <c r="M117" t="s">
        <v>18</v>
      </c>
      <c r="N117">
        <v>3.4675875041049561E-2</v>
      </c>
      <c r="O117" t="s">
        <v>6</v>
      </c>
    </row>
    <row r="118" spans="2:15" x14ac:dyDescent="0.45">
      <c r="B118" t="s">
        <v>216</v>
      </c>
      <c r="C118" t="s">
        <v>19</v>
      </c>
      <c r="D118">
        <v>6.3734099948284202E-3</v>
      </c>
      <c r="E118" t="s">
        <v>6</v>
      </c>
      <c r="G118" t="s">
        <v>217</v>
      </c>
      <c r="H118" t="s">
        <v>19</v>
      </c>
      <c r="I118">
        <v>3.3859945905542296E-2</v>
      </c>
      <c r="J118" t="s">
        <v>6</v>
      </c>
      <c r="L118" t="s">
        <v>218</v>
      </c>
      <c r="M118" t="s">
        <v>19</v>
      </c>
      <c r="N118">
        <v>3.5663252898201561E-2</v>
      </c>
      <c r="O118" t="s">
        <v>6</v>
      </c>
    </row>
    <row r="119" spans="2:15" x14ac:dyDescent="0.45">
      <c r="B119" t="s">
        <v>216</v>
      </c>
      <c r="C119" t="s">
        <v>20</v>
      </c>
      <c r="D119">
        <v>0</v>
      </c>
      <c r="E119" t="s">
        <v>6</v>
      </c>
      <c r="G119" t="s">
        <v>217</v>
      </c>
      <c r="H119" t="s">
        <v>20</v>
      </c>
      <c r="I119">
        <v>5.0541172961445217E-2</v>
      </c>
      <c r="J119" t="s">
        <v>6</v>
      </c>
      <c r="L119" t="s">
        <v>218</v>
      </c>
      <c r="M119" t="s">
        <v>20</v>
      </c>
      <c r="N119">
        <v>6.4351867404804947E-2</v>
      </c>
      <c r="O119" t="s">
        <v>6</v>
      </c>
    </row>
    <row r="120" spans="2:15" x14ac:dyDescent="0.45">
      <c r="B120" t="s">
        <v>216</v>
      </c>
      <c r="C120" t="s">
        <v>21</v>
      </c>
      <c r="D120">
        <v>3.0323527749291666E-2</v>
      </c>
      <c r="E120" t="s">
        <v>6</v>
      </c>
      <c r="G120" t="s">
        <v>217</v>
      </c>
      <c r="H120" t="s">
        <v>21</v>
      </c>
      <c r="I120">
        <v>2.3555174747238027E-2</v>
      </c>
      <c r="J120" t="s">
        <v>6</v>
      </c>
      <c r="L120" t="s">
        <v>218</v>
      </c>
      <c r="M120" t="s">
        <v>21</v>
      </c>
      <c r="N120">
        <v>3.1347423448528255E-2</v>
      </c>
      <c r="O120" t="s">
        <v>6</v>
      </c>
    </row>
    <row r="121" spans="2:15" x14ac:dyDescent="0.45">
      <c r="B121" t="s">
        <v>216</v>
      </c>
      <c r="C121" t="s">
        <v>22</v>
      </c>
      <c r="D121">
        <v>0.10756781592023903</v>
      </c>
      <c r="E121" t="s">
        <v>6</v>
      </c>
      <c r="G121" t="s">
        <v>217</v>
      </c>
      <c r="H121" t="s">
        <v>22</v>
      </c>
      <c r="I121">
        <v>1.9116020000942299E-2</v>
      </c>
      <c r="J121" t="s">
        <v>6</v>
      </c>
      <c r="L121" t="s">
        <v>218</v>
      </c>
      <c r="M121" t="s">
        <v>22</v>
      </c>
      <c r="N121">
        <v>2.1690277917846213E-2</v>
      </c>
      <c r="O121" t="s">
        <v>6</v>
      </c>
    </row>
    <row r="122" spans="2:15" x14ac:dyDescent="0.45">
      <c r="B122" t="s">
        <v>216</v>
      </c>
      <c r="C122" t="s">
        <v>23</v>
      </c>
      <c r="D122">
        <v>0.1294042298916489</v>
      </c>
      <c r="E122" t="s">
        <v>6</v>
      </c>
      <c r="G122" t="s">
        <v>217</v>
      </c>
      <c r="H122" t="s">
        <v>23</v>
      </c>
      <c r="I122">
        <v>2.1602225846223368E-2</v>
      </c>
      <c r="J122" t="s">
        <v>6</v>
      </c>
      <c r="L122" t="s">
        <v>218</v>
      </c>
      <c r="M122" t="s">
        <v>23</v>
      </c>
      <c r="N122">
        <v>2.2152691721675766E-2</v>
      </c>
      <c r="O122" t="s">
        <v>6</v>
      </c>
    </row>
    <row r="123" spans="2:15" x14ac:dyDescent="0.45">
      <c r="B123" t="s">
        <v>216</v>
      </c>
      <c r="C123" t="s">
        <v>24</v>
      </c>
      <c r="D123">
        <v>8.1363950095874438E-2</v>
      </c>
      <c r="E123" t="s">
        <v>6</v>
      </c>
      <c r="G123" t="s">
        <v>217</v>
      </c>
      <c r="H123" t="s">
        <v>24</v>
      </c>
      <c r="I123">
        <v>2.3140465941631487E-2</v>
      </c>
      <c r="J123" t="s">
        <v>6</v>
      </c>
      <c r="L123" t="s">
        <v>218</v>
      </c>
      <c r="M123" t="s">
        <v>24</v>
      </c>
      <c r="N123">
        <v>2.4294087893790856E-2</v>
      </c>
      <c r="O123" t="s">
        <v>6</v>
      </c>
    </row>
    <row r="124" spans="2:15" x14ac:dyDescent="0.45">
      <c r="B124" t="s">
        <v>216</v>
      </c>
      <c r="C124" t="s">
        <v>25</v>
      </c>
      <c r="D124">
        <v>1.2290446997050168E-2</v>
      </c>
      <c r="E124" t="s">
        <v>6</v>
      </c>
      <c r="G124" t="s">
        <v>217</v>
      </c>
      <c r="H124" t="s">
        <v>25</v>
      </c>
      <c r="I124">
        <v>2.1622504453242198E-2</v>
      </c>
      <c r="J124" t="s">
        <v>6</v>
      </c>
      <c r="L124" t="s">
        <v>218</v>
      </c>
      <c r="M124" t="s">
        <v>25</v>
      </c>
      <c r="N124">
        <v>2.4606977638913913E-2</v>
      </c>
      <c r="O124" t="s">
        <v>6</v>
      </c>
    </row>
    <row r="125" spans="2:15" x14ac:dyDescent="0.45">
      <c r="B125" t="s">
        <v>216</v>
      </c>
      <c r="C125" t="s">
        <v>26</v>
      </c>
      <c r="D125">
        <v>0</v>
      </c>
      <c r="E125" t="s">
        <v>6</v>
      </c>
      <c r="G125" t="s">
        <v>217</v>
      </c>
      <c r="H125" t="s">
        <v>26</v>
      </c>
      <c r="I125">
        <v>7.9535403966496596E-2</v>
      </c>
      <c r="J125" t="s">
        <v>6</v>
      </c>
      <c r="L125" t="s">
        <v>218</v>
      </c>
      <c r="M125" t="s">
        <v>26</v>
      </c>
      <c r="N125">
        <v>7.6543756441368072E-2</v>
      </c>
      <c r="O125" t="s">
        <v>6</v>
      </c>
    </row>
    <row r="126" spans="2:15" x14ac:dyDescent="0.45">
      <c r="B126" t="s">
        <v>216</v>
      </c>
      <c r="C126" t="s">
        <v>27</v>
      </c>
      <c r="D126">
        <v>8.0898593280010287E-3</v>
      </c>
      <c r="E126" t="s">
        <v>6</v>
      </c>
      <c r="G126" t="s">
        <v>217</v>
      </c>
      <c r="H126" t="s">
        <v>27</v>
      </c>
      <c r="I126">
        <v>3.846187071445438E-2</v>
      </c>
      <c r="J126" t="s">
        <v>6</v>
      </c>
      <c r="L126" t="s">
        <v>218</v>
      </c>
      <c r="M126" t="s">
        <v>27</v>
      </c>
      <c r="N126">
        <v>3.8641972972385918E-2</v>
      </c>
      <c r="O126" t="s">
        <v>6</v>
      </c>
    </row>
    <row r="127" spans="2:15" x14ac:dyDescent="0.45">
      <c r="B127" t="s">
        <v>216</v>
      </c>
      <c r="C127" t="s">
        <v>28</v>
      </c>
      <c r="D127">
        <v>6.6240194367776617E-2</v>
      </c>
      <c r="E127" t="s">
        <v>6</v>
      </c>
      <c r="G127" t="s">
        <v>217</v>
      </c>
      <c r="H127" t="s">
        <v>28</v>
      </c>
      <c r="I127">
        <v>3.1394304649047439E-2</v>
      </c>
      <c r="J127" t="s">
        <v>6</v>
      </c>
      <c r="L127" t="s">
        <v>218</v>
      </c>
      <c r="M127" t="s">
        <v>28</v>
      </c>
      <c r="N127">
        <v>2.9067674848526615E-2</v>
      </c>
      <c r="O127" t="s">
        <v>6</v>
      </c>
    </row>
    <row r="128" spans="2:15" x14ac:dyDescent="0.45">
      <c r="B128" t="s">
        <v>216</v>
      </c>
      <c r="C128" t="s">
        <v>29</v>
      </c>
      <c r="D128">
        <v>8.3360464299137002E-2</v>
      </c>
      <c r="E128" t="s">
        <v>6</v>
      </c>
      <c r="G128" t="s">
        <v>217</v>
      </c>
      <c r="H128" t="s">
        <v>29</v>
      </c>
      <c r="I128">
        <v>3.3932433657336128E-2</v>
      </c>
      <c r="J128" t="s">
        <v>6</v>
      </c>
      <c r="L128" t="s">
        <v>218</v>
      </c>
      <c r="M128" t="s">
        <v>29</v>
      </c>
      <c r="N128">
        <v>2.9556649057501029E-2</v>
      </c>
      <c r="O128" t="s">
        <v>6</v>
      </c>
    </row>
    <row r="129" spans="2:15" x14ac:dyDescent="0.45">
      <c r="B129" t="s">
        <v>216</v>
      </c>
      <c r="C129" t="s">
        <v>30</v>
      </c>
      <c r="D129">
        <v>3.3558996706592008E-2</v>
      </c>
      <c r="E129" t="s">
        <v>6</v>
      </c>
      <c r="G129" t="s">
        <v>217</v>
      </c>
      <c r="H129" t="s">
        <v>30</v>
      </c>
      <c r="I129">
        <v>3.3824796790526121E-2</v>
      </c>
      <c r="J129" t="s">
        <v>6</v>
      </c>
      <c r="L129" t="s">
        <v>218</v>
      </c>
      <c r="M129" t="s">
        <v>30</v>
      </c>
      <c r="N129">
        <v>3.0239796875460478E-2</v>
      </c>
      <c r="O129" t="s">
        <v>6</v>
      </c>
    </row>
    <row r="130" spans="2:15" x14ac:dyDescent="0.45">
      <c r="B130" t="s">
        <v>216</v>
      </c>
      <c r="C130" t="s">
        <v>31</v>
      </c>
      <c r="D130">
        <v>6.1719001815035816E-4</v>
      </c>
      <c r="E130" t="s">
        <v>6</v>
      </c>
      <c r="G130" t="s">
        <v>217</v>
      </c>
      <c r="H130" t="s">
        <v>31</v>
      </c>
      <c r="I130">
        <v>3.2097794155104963E-2</v>
      </c>
      <c r="J130" t="s">
        <v>6</v>
      </c>
      <c r="L130" t="s">
        <v>218</v>
      </c>
      <c r="M130" t="s">
        <v>31</v>
      </c>
      <c r="N130">
        <v>2.952763413035106E-2</v>
      </c>
      <c r="O130" t="s">
        <v>6</v>
      </c>
    </row>
    <row r="131" spans="2:15" x14ac:dyDescent="0.45">
      <c r="B131" t="s">
        <v>219</v>
      </c>
      <c r="C131" t="s">
        <v>5</v>
      </c>
      <c r="D131">
        <v>0</v>
      </c>
      <c r="E131" t="s">
        <v>6</v>
      </c>
      <c r="G131" t="s">
        <v>220</v>
      </c>
      <c r="H131" t="s">
        <v>5</v>
      </c>
      <c r="I131">
        <v>0.10038779742849012</v>
      </c>
      <c r="J131" t="s">
        <v>6</v>
      </c>
      <c r="L131" t="s">
        <v>221</v>
      </c>
      <c r="M131" t="s">
        <v>5</v>
      </c>
      <c r="N131">
        <v>9.8950780346715034E-2</v>
      </c>
      <c r="O131" t="s">
        <v>6</v>
      </c>
    </row>
    <row r="132" spans="2:15" x14ac:dyDescent="0.45">
      <c r="B132" t="s">
        <v>219</v>
      </c>
      <c r="C132" t="s">
        <v>9</v>
      </c>
      <c r="D132">
        <v>5.2818788113314068E-4</v>
      </c>
      <c r="E132" t="s">
        <v>6</v>
      </c>
      <c r="G132" t="s">
        <v>220</v>
      </c>
      <c r="H132" t="s">
        <v>9</v>
      </c>
      <c r="I132">
        <v>4.9599680165876389E-2</v>
      </c>
      <c r="J132" t="s">
        <v>6</v>
      </c>
      <c r="L132" t="s">
        <v>221</v>
      </c>
      <c r="M132" t="s">
        <v>9</v>
      </c>
      <c r="N132">
        <v>4.8666457575422685E-2</v>
      </c>
      <c r="O132" t="s">
        <v>6</v>
      </c>
    </row>
    <row r="133" spans="2:15" x14ac:dyDescent="0.45">
      <c r="B133" t="s">
        <v>219</v>
      </c>
      <c r="C133" t="s">
        <v>10</v>
      </c>
      <c r="D133">
        <v>3.8952340886145347E-2</v>
      </c>
      <c r="E133" t="s">
        <v>6</v>
      </c>
      <c r="G133" t="s">
        <v>220</v>
      </c>
      <c r="H133" t="s">
        <v>10</v>
      </c>
      <c r="I133">
        <v>3.5704350333066168E-2</v>
      </c>
      <c r="J133" t="s">
        <v>6</v>
      </c>
      <c r="L133" t="s">
        <v>221</v>
      </c>
      <c r="M133" t="s">
        <v>10</v>
      </c>
      <c r="N133">
        <v>3.5753723931541678E-2</v>
      </c>
      <c r="O133" t="s">
        <v>6</v>
      </c>
    </row>
    <row r="134" spans="2:15" x14ac:dyDescent="0.45">
      <c r="B134" t="s">
        <v>219</v>
      </c>
      <c r="C134" t="s">
        <v>11</v>
      </c>
      <c r="D134">
        <v>6.2533896928570476E-2</v>
      </c>
      <c r="E134" t="s">
        <v>6</v>
      </c>
      <c r="G134" t="s">
        <v>220</v>
      </c>
      <c r="H134" t="s">
        <v>11</v>
      </c>
      <c r="I134">
        <v>3.653052834529337E-2</v>
      </c>
      <c r="J134" t="s">
        <v>6</v>
      </c>
      <c r="L134" t="s">
        <v>221</v>
      </c>
      <c r="M134" t="s">
        <v>11</v>
      </c>
      <c r="N134">
        <v>3.6030567046113605E-2</v>
      </c>
      <c r="O134" t="s">
        <v>6</v>
      </c>
    </row>
    <row r="135" spans="2:15" x14ac:dyDescent="0.45">
      <c r="B135" t="s">
        <v>219</v>
      </c>
      <c r="C135" t="s">
        <v>12</v>
      </c>
      <c r="D135">
        <v>2.287294449471268E-2</v>
      </c>
      <c r="E135" t="s">
        <v>6</v>
      </c>
      <c r="G135" t="s">
        <v>220</v>
      </c>
      <c r="H135" t="s">
        <v>12</v>
      </c>
      <c r="I135">
        <v>3.6450505260850231E-2</v>
      </c>
      <c r="J135" t="s">
        <v>6</v>
      </c>
      <c r="L135" t="s">
        <v>221</v>
      </c>
      <c r="M135" t="s">
        <v>12</v>
      </c>
      <c r="N135">
        <v>3.6289738789216819E-2</v>
      </c>
      <c r="O135" t="s">
        <v>6</v>
      </c>
    </row>
    <row r="136" spans="2:15" x14ac:dyDescent="0.45">
      <c r="B136" t="s">
        <v>219</v>
      </c>
      <c r="C136" t="s">
        <v>13</v>
      </c>
      <c r="D136">
        <v>2.2274035793142672E-8</v>
      </c>
      <c r="E136" t="s">
        <v>6</v>
      </c>
      <c r="G136" t="s">
        <v>220</v>
      </c>
      <c r="H136" t="s">
        <v>13</v>
      </c>
      <c r="I136">
        <v>3.763885466763154E-2</v>
      </c>
      <c r="J136" t="s">
        <v>6</v>
      </c>
      <c r="L136" t="s">
        <v>221</v>
      </c>
      <c r="M136" t="s">
        <v>13</v>
      </c>
      <c r="N136">
        <v>3.6762877468409651E-2</v>
      </c>
      <c r="O136" t="s">
        <v>6</v>
      </c>
    </row>
    <row r="137" spans="2:15" x14ac:dyDescent="0.45">
      <c r="B137" t="s">
        <v>219</v>
      </c>
      <c r="C137" t="s">
        <v>14</v>
      </c>
      <c r="D137">
        <v>0</v>
      </c>
      <c r="E137" t="s">
        <v>6</v>
      </c>
      <c r="G137" t="s">
        <v>220</v>
      </c>
      <c r="H137" t="s">
        <v>14</v>
      </c>
      <c r="I137">
        <v>8.8532222207366548E-2</v>
      </c>
      <c r="J137" t="s">
        <v>6</v>
      </c>
      <c r="L137" t="s">
        <v>221</v>
      </c>
      <c r="M137" t="s">
        <v>14</v>
      </c>
      <c r="N137">
        <v>9.0115092829811755E-2</v>
      </c>
      <c r="O137" t="s">
        <v>6</v>
      </c>
    </row>
    <row r="138" spans="2:15" x14ac:dyDescent="0.45">
      <c r="B138" t="s">
        <v>219</v>
      </c>
      <c r="C138" t="s">
        <v>15</v>
      </c>
      <c r="D138">
        <v>2.2039356795737774E-2</v>
      </c>
      <c r="E138" t="s">
        <v>6</v>
      </c>
      <c r="G138" t="s">
        <v>220</v>
      </c>
      <c r="H138" t="s">
        <v>15</v>
      </c>
      <c r="I138">
        <v>4.451557616193641E-2</v>
      </c>
      <c r="J138" t="s">
        <v>6</v>
      </c>
      <c r="L138" t="s">
        <v>221</v>
      </c>
      <c r="M138" t="s">
        <v>15</v>
      </c>
      <c r="N138">
        <v>4.6592154850982205E-2</v>
      </c>
      <c r="O138" t="s">
        <v>6</v>
      </c>
    </row>
    <row r="139" spans="2:15" x14ac:dyDescent="0.45">
      <c r="B139" t="s">
        <v>219</v>
      </c>
      <c r="C139" t="s">
        <v>16</v>
      </c>
      <c r="D139">
        <v>9.5623991048906357E-2</v>
      </c>
      <c r="E139" t="s">
        <v>6</v>
      </c>
      <c r="G139" t="s">
        <v>220</v>
      </c>
      <c r="H139" t="s">
        <v>16</v>
      </c>
      <c r="I139">
        <v>3.4646249289415336E-2</v>
      </c>
      <c r="J139" t="s">
        <v>6</v>
      </c>
      <c r="L139" t="s">
        <v>221</v>
      </c>
      <c r="M139" t="s">
        <v>16</v>
      </c>
      <c r="N139">
        <v>3.5062125232194465E-2</v>
      </c>
      <c r="O139" t="s">
        <v>6</v>
      </c>
    </row>
    <row r="140" spans="2:15" x14ac:dyDescent="0.45">
      <c r="B140" t="s">
        <v>219</v>
      </c>
      <c r="C140" t="s">
        <v>17</v>
      </c>
      <c r="D140">
        <v>0.11404361885584456</v>
      </c>
      <c r="E140" t="s">
        <v>6</v>
      </c>
      <c r="G140" t="s">
        <v>220</v>
      </c>
      <c r="H140" t="s">
        <v>17</v>
      </c>
      <c r="I140">
        <v>3.5470849842512961E-2</v>
      </c>
      <c r="J140" t="s">
        <v>6</v>
      </c>
      <c r="L140" t="s">
        <v>221</v>
      </c>
      <c r="M140" t="s">
        <v>17</v>
      </c>
      <c r="N140">
        <v>3.4157031890673935E-2</v>
      </c>
      <c r="O140" t="s">
        <v>6</v>
      </c>
    </row>
    <row r="141" spans="2:15" x14ac:dyDescent="0.45">
      <c r="B141" t="s">
        <v>219</v>
      </c>
      <c r="C141" t="s">
        <v>18</v>
      </c>
      <c r="D141">
        <v>6.9171405464669725E-2</v>
      </c>
      <c r="E141" t="s">
        <v>6</v>
      </c>
      <c r="G141" t="s">
        <v>220</v>
      </c>
      <c r="H141" t="s">
        <v>18</v>
      </c>
      <c r="I141">
        <v>3.6651969251948434E-2</v>
      </c>
      <c r="J141" t="s">
        <v>6</v>
      </c>
      <c r="L141" t="s">
        <v>221</v>
      </c>
      <c r="M141" t="s">
        <v>18</v>
      </c>
      <c r="N141">
        <v>3.4521449794465212E-2</v>
      </c>
      <c r="O141" t="s">
        <v>6</v>
      </c>
    </row>
    <row r="142" spans="2:15" x14ac:dyDescent="0.45">
      <c r="B142" t="s">
        <v>219</v>
      </c>
      <c r="C142" t="s">
        <v>19</v>
      </c>
      <c r="D142">
        <v>6.7313301212346324E-3</v>
      </c>
      <c r="E142" t="s">
        <v>6</v>
      </c>
      <c r="G142" t="s">
        <v>220</v>
      </c>
      <c r="H142" t="s">
        <v>19</v>
      </c>
      <c r="I142">
        <v>3.5469706546237552E-2</v>
      </c>
      <c r="J142" t="s">
        <v>6</v>
      </c>
      <c r="L142" t="s">
        <v>221</v>
      </c>
      <c r="M142" t="s">
        <v>19</v>
      </c>
      <c r="N142">
        <v>3.4352329606046304E-2</v>
      </c>
      <c r="O142" t="s">
        <v>6</v>
      </c>
    </row>
    <row r="143" spans="2:15" x14ac:dyDescent="0.45">
      <c r="B143" t="s">
        <v>219</v>
      </c>
      <c r="C143" t="s">
        <v>20</v>
      </c>
      <c r="D143">
        <v>0</v>
      </c>
      <c r="E143" t="s">
        <v>6</v>
      </c>
      <c r="G143" t="s">
        <v>220</v>
      </c>
      <c r="H143" t="s">
        <v>20</v>
      </c>
      <c r="I143">
        <v>6.1110293895790868E-2</v>
      </c>
      <c r="J143" t="s">
        <v>6</v>
      </c>
      <c r="L143" t="s">
        <v>221</v>
      </c>
      <c r="M143" t="s">
        <v>20</v>
      </c>
      <c r="N143">
        <v>6.4249046664478449E-2</v>
      </c>
      <c r="O143" t="s">
        <v>6</v>
      </c>
    </row>
    <row r="144" spans="2:15" x14ac:dyDescent="0.45">
      <c r="B144" t="s">
        <v>219</v>
      </c>
      <c r="C144" t="s">
        <v>21</v>
      </c>
      <c r="D144">
        <v>3.0004206740746883E-2</v>
      </c>
      <c r="E144" t="s">
        <v>6</v>
      </c>
      <c r="G144" t="s">
        <v>220</v>
      </c>
      <c r="H144" t="s">
        <v>21</v>
      </c>
      <c r="I144">
        <v>2.7962653375415782E-2</v>
      </c>
      <c r="J144" t="s">
        <v>6</v>
      </c>
      <c r="L144" t="s">
        <v>221</v>
      </c>
      <c r="M144" t="s">
        <v>21</v>
      </c>
      <c r="N144">
        <v>2.8789991972444581E-2</v>
      </c>
      <c r="O144" t="s">
        <v>6</v>
      </c>
    </row>
    <row r="145" spans="2:15" x14ac:dyDescent="0.45">
      <c r="B145" t="s">
        <v>219</v>
      </c>
      <c r="C145" t="s">
        <v>22</v>
      </c>
      <c r="D145">
        <v>0.11118385444937981</v>
      </c>
      <c r="E145" t="s">
        <v>6</v>
      </c>
      <c r="G145" t="s">
        <v>220</v>
      </c>
      <c r="H145" t="s">
        <v>22</v>
      </c>
      <c r="I145">
        <v>2.0078154827000951E-2</v>
      </c>
      <c r="J145" t="s">
        <v>6</v>
      </c>
      <c r="L145" t="s">
        <v>221</v>
      </c>
      <c r="M145" t="s">
        <v>22</v>
      </c>
      <c r="N145">
        <v>2.0489648204981871E-2</v>
      </c>
      <c r="O145" t="s">
        <v>6</v>
      </c>
    </row>
    <row r="146" spans="2:15" x14ac:dyDescent="0.45">
      <c r="B146" t="s">
        <v>219</v>
      </c>
      <c r="C146" t="s">
        <v>23</v>
      </c>
      <c r="D146">
        <v>0.13392799500875779</v>
      </c>
      <c r="E146" t="s">
        <v>6</v>
      </c>
      <c r="G146" t="s">
        <v>220</v>
      </c>
      <c r="H146" t="s">
        <v>23</v>
      </c>
      <c r="I146">
        <v>2.192115691312153E-2</v>
      </c>
      <c r="J146" t="s">
        <v>6</v>
      </c>
      <c r="L146" t="s">
        <v>221</v>
      </c>
      <c r="M146" t="s">
        <v>23</v>
      </c>
      <c r="N146">
        <v>2.1986561227960309E-2</v>
      </c>
      <c r="O146" t="s">
        <v>6</v>
      </c>
    </row>
    <row r="147" spans="2:15" x14ac:dyDescent="0.45">
      <c r="B147" t="s">
        <v>219</v>
      </c>
      <c r="C147" t="s">
        <v>24</v>
      </c>
      <c r="D147">
        <v>8.7239711719012E-2</v>
      </c>
      <c r="E147" t="s">
        <v>6</v>
      </c>
      <c r="G147" t="s">
        <v>220</v>
      </c>
      <c r="H147" t="s">
        <v>24</v>
      </c>
      <c r="I147">
        <v>2.4589151071893502E-2</v>
      </c>
      <c r="J147" t="s">
        <v>6</v>
      </c>
      <c r="L147" t="s">
        <v>221</v>
      </c>
      <c r="M147" t="s">
        <v>24</v>
      </c>
      <c r="N147">
        <v>2.4325517608430616E-2</v>
      </c>
      <c r="O147" t="s">
        <v>6</v>
      </c>
    </row>
    <row r="148" spans="2:15" x14ac:dyDescent="0.45">
      <c r="B148" t="s">
        <v>219</v>
      </c>
      <c r="C148" t="s">
        <v>25</v>
      </c>
      <c r="D148">
        <v>1.333398081530498E-2</v>
      </c>
      <c r="E148" t="s">
        <v>6</v>
      </c>
      <c r="G148" t="s">
        <v>220</v>
      </c>
      <c r="H148" t="s">
        <v>25</v>
      </c>
      <c r="I148">
        <v>2.3988935768678093E-2</v>
      </c>
      <c r="J148" t="s">
        <v>6</v>
      </c>
      <c r="L148" t="s">
        <v>221</v>
      </c>
      <c r="M148" t="s">
        <v>25</v>
      </c>
      <c r="N148">
        <v>2.4905676999142541E-2</v>
      </c>
      <c r="O148" t="s">
        <v>6</v>
      </c>
    </row>
    <row r="149" spans="2:15" x14ac:dyDescent="0.45">
      <c r="B149" t="s">
        <v>219</v>
      </c>
      <c r="C149" t="s">
        <v>26</v>
      </c>
      <c r="D149">
        <v>0</v>
      </c>
      <c r="E149" t="s">
        <v>6</v>
      </c>
      <c r="G149" t="s">
        <v>220</v>
      </c>
      <c r="H149" t="s">
        <v>26</v>
      </c>
      <c r="I149">
        <v>8.0141038003830198E-2</v>
      </c>
      <c r="J149" t="s">
        <v>6</v>
      </c>
      <c r="L149" t="s">
        <v>221</v>
      </c>
      <c r="M149" t="s">
        <v>26</v>
      </c>
      <c r="N149">
        <v>8.0949275778372257E-2</v>
      </c>
      <c r="O149" t="s">
        <v>6</v>
      </c>
    </row>
    <row r="150" spans="2:15" x14ac:dyDescent="0.45">
      <c r="B150" t="s">
        <v>219</v>
      </c>
      <c r="C150" t="s">
        <v>27</v>
      </c>
      <c r="D150">
        <v>8.0222336033042626E-3</v>
      </c>
      <c r="E150" t="s">
        <v>6</v>
      </c>
      <c r="G150" t="s">
        <v>220</v>
      </c>
      <c r="H150" t="s">
        <v>27</v>
      </c>
      <c r="I150">
        <v>3.9543037599935486E-2</v>
      </c>
      <c r="J150" t="s">
        <v>6</v>
      </c>
      <c r="L150" t="s">
        <v>221</v>
      </c>
      <c r="M150" t="s">
        <v>27</v>
      </c>
      <c r="N150">
        <v>4.0422389286414687E-2</v>
      </c>
      <c r="O150" t="s">
        <v>6</v>
      </c>
    </row>
    <row r="151" spans="2:15" x14ac:dyDescent="0.45">
      <c r="B151" t="s">
        <v>219</v>
      </c>
      <c r="C151" t="s">
        <v>28</v>
      </c>
      <c r="D151">
        <v>6.5622180118200577E-2</v>
      </c>
      <c r="E151" t="s">
        <v>6</v>
      </c>
      <c r="G151" t="s">
        <v>220</v>
      </c>
      <c r="H151" t="s">
        <v>28</v>
      </c>
      <c r="I151">
        <v>3.0224086108257518E-2</v>
      </c>
      <c r="J151" t="s">
        <v>6</v>
      </c>
      <c r="L151" t="s">
        <v>221</v>
      </c>
      <c r="M151" t="s">
        <v>28</v>
      </c>
      <c r="N151">
        <v>3.0482818801063551E-2</v>
      </c>
      <c r="O151" t="s">
        <v>6</v>
      </c>
    </row>
    <row r="152" spans="2:15" x14ac:dyDescent="0.45">
      <c r="B152" t="s">
        <v>219</v>
      </c>
      <c r="C152" t="s">
        <v>29</v>
      </c>
      <c r="D152">
        <v>8.2595163288196882E-2</v>
      </c>
      <c r="E152" t="s">
        <v>6</v>
      </c>
      <c r="G152" t="s">
        <v>220</v>
      </c>
      <c r="H152" t="s">
        <v>29</v>
      </c>
      <c r="I152">
        <v>3.2673067996789505E-2</v>
      </c>
      <c r="J152" t="s">
        <v>6</v>
      </c>
      <c r="L152" t="s">
        <v>221</v>
      </c>
      <c r="M152" t="s">
        <v>29</v>
      </c>
      <c r="N152">
        <v>3.1316160188987044E-2</v>
      </c>
      <c r="O152" t="s">
        <v>6</v>
      </c>
    </row>
    <row r="153" spans="2:15" x14ac:dyDescent="0.45">
      <c r="B153" t="s">
        <v>219</v>
      </c>
      <c r="C153" t="s">
        <v>30</v>
      </c>
      <c r="D153">
        <v>3.4794110874136835E-2</v>
      </c>
      <c r="E153" t="s">
        <v>6</v>
      </c>
      <c r="G153" t="s">
        <v>220</v>
      </c>
      <c r="H153" t="s">
        <v>30</v>
      </c>
      <c r="I153">
        <v>3.3568070347779332E-2</v>
      </c>
      <c r="J153" t="s">
        <v>6</v>
      </c>
      <c r="L153" t="s">
        <v>221</v>
      </c>
      <c r="M153" t="s">
        <v>30</v>
      </c>
      <c r="N153">
        <v>3.257328825621908E-2</v>
      </c>
      <c r="O153" t="s">
        <v>6</v>
      </c>
    </row>
    <row r="154" spans="2:15" x14ac:dyDescent="0.45">
      <c r="B154" t="s">
        <v>219</v>
      </c>
      <c r="C154" t="s">
        <v>31</v>
      </c>
      <c r="D154">
        <v>7.7946863196783512E-4</v>
      </c>
      <c r="E154" t="s">
        <v>6</v>
      </c>
      <c r="G154" t="s">
        <v>220</v>
      </c>
      <c r="H154" t="s">
        <v>31</v>
      </c>
      <c r="I154">
        <v>3.2602064590881698E-2</v>
      </c>
      <c r="J154" t="s">
        <v>6</v>
      </c>
      <c r="L154" t="s">
        <v>221</v>
      </c>
      <c r="M154" t="s">
        <v>31</v>
      </c>
      <c r="N154">
        <v>3.2255295649911218E-2</v>
      </c>
      <c r="O154" t="s">
        <v>6</v>
      </c>
    </row>
    <row r="155" spans="2:15" x14ac:dyDescent="0.45">
      <c r="B155" t="s">
        <v>222</v>
      </c>
      <c r="C155" t="s">
        <v>5</v>
      </c>
      <c r="D155">
        <v>0</v>
      </c>
      <c r="E155" t="s">
        <v>6</v>
      </c>
      <c r="G155" t="s">
        <v>223</v>
      </c>
      <c r="H155" t="s">
        <v>5</v>
      </c>
      <c r="I155">
        <v>0.10131014052826701</v>
      </c>
      <c r="J155" t="s">
        <v>6</v>
      </c>
      <c r="L155" t="s">
        <v>224</v>
      </c>
      <c r="M155" t="s">
        <v>5</v>
      </c>
      <c r="N155">
        <v>0.10252783978263275</v>
      </c>
      <c r="O155" t="s">
        <v>6</v>
      </c>
    </row>
    <row r="156" spans="2:15" x14ac:dyDescent="0.45">
      <c r="B156" t="s">
        <v>222</v>
      </c>
      <c r="C156" t="s">
        <v>9</v>
      </c>
      <c r="D156">
        <v>4.1003064548095084E-4</v>
      </c>
      <c r="E156" t="s">
        <v>6</v>
      </c>
      <c r="G156" t="s">
        <v>223</v>
      </c>
      <c r="H156" t="s">
        <v>9</v>
      </c>
      <c r="I156">
        <v>4.9505541720211259E-2</v>
      </c>
      <c r="J156" t="s">
        <v>6</v>
      </c>
      <c r="L156" t="s">
        <v>224</v>
      </c>
      <c r="M156" t="s">
        <v>9</v>
      </c>
      <c r="N156">
        <v>4.9933681240005891E-2</v>
      </c>
      <c r="O156" t="s">
        <v>6</v>
      </c>
    </row>
    <row r="157" spans="2:15" x14ac:dyDescent="0.45">
      <c r="B157" t="s">
        <v>222</v>
      </c>
      <c r="C157" t="s">
        <v>10</v>
      </c>
      <c r="D157">
        <v>3.7584347202079295E-2</v>
      </c>
      <c r="E157" t="s">
        <v>6</v>
      </c>
      <c r="G157" t="s">
        <v>223</v>
      </c>
      <c r="H157" t="s">
        <v>10</v>
      </c>
      <c r="I157">
        <v>3.523625696492947E-2</v>
      </c>
      <c r="J157" t="s">
        <v>6</v>
      </c>
      <c r="L157" t="s">
        <v>224</v>
      </c>
      <c r="M157" t="s">
        <v>10</v>
      </c>
      <c r="N157">
        <v>3.6658194521570271E-2</v>
      </c>
      <c r="O157" t="s">
        <v>6</v>
      </c>
    </row>
    <row r="158" spans="2:15" x14ac:dyDescent="0.45">
      <c r="B158" t="s">
        <v>222</v>
      </c>
      <c r="C158" t="s">
        <v>11</v>
      </c>
      <c r="D158">
        <v>6.6561343420469835E-2</v>
      </c>
      <c r="E158" t="s">
        <v>6</v>
      </c>
      <c r="G158" t="s">
        <v>223</v>
      </c>
      <c r="H158" t="s">
        <v>11</v>
      </c>
      <c r="I158">
        <v>3.6273266838897859E-2</v>
      </c>
      <c r="J158" t="s">
        <v>6</v>
      </c>
      <c r="L158" t="s">
        <v>224</v>
      </c>
      <c r="M158" t="s">
        <v>11</v>
      </c>
      <c r="N158">
        <v>3.6642975482589407E-2</v>
      </c>
      <c r="O158" t="s">
        <v>6</v>
      </c>
    </row>
    <row r="159" spans="2:15" x14ac:dyDescent="0.45">
      <c r="B159" t="s">
        <v>222</v>
      </c>
      <c r="C159" t="s">
        <v>12</v>
      </c>
      <c r="D159">
        <v>2.5076127115901709E-2</v>
      </c>
      <c r="E159" t="s">
        <v>6</v>
      </c>
      <c r="G159" t="s">
        <v>223</v>
      </c>
      <c r="H159" t="s">
        <v>12</v>
      </c>
      <c r="I159">
        <v>3.6428179758127885E-2</v>
      </c>
      <c r="J159" t="s">
        <v>6</v>
      </c>
      <c r="L159" t="s">
        <v>224</v>
      </c>
      <c r="M159" t="s">
        <v>12</v>
      </c>
      <c r="N159">
        <v>3.6961789851946779E-2</v>
      </c>
      <c r="O159" t="s">
        <v>6</v>
      </c>
    </row>
    <row r="160" spans="2:15" x14ac:dyDescent="0.45">
      <c r="B160" t="s">
        <v>222</v>
      </c>
      <c r="C160" t="s">
        <v>13</v>
      </c>
      <c r="D160">
        <v>4.0188333232792125E-5</v>
      </c>
      <c r="E160" t="s">
        <v>6</v>
      </c>
      <c r="G160" t="s">
        <v>223</v>
      </c>
      <c r="H160" t="s">
        <v>13</v>
      </c>
      <c r="I160">
        <v>3.7912129902819232E-2</v>
      </c>
      <c r="J160" t="s">
        <v>6</v>
      </c>
      <c r="L160" t="s">
        <v>224</v>
      </c>
      <c r="M160" t="s">
        <v>13</v>
      </c>
      <c r="N160">
        <v>3.844597474393438E-2</v>
      </c>
      <c r="O160" t="s">
        <v>6</v>
      </c>
    </row>
    <row r="161" spans="2:15" x14ac:dyDescent="0.45">
      <c r="B161" t="s">
        <v>222</v>
      </c>
      <c r="C161" t="s">
        <v>14</v>
      </c>
      <c r="D161">
        <v>0</v>
      </c>
      <c r="E161" t="s">
        <v>6</v>
      </c>
      <c r="G161" t="s">
        <v>223</v>
      </c>
      <c r="H161" t="s">
        <v>14</v>
      </c>
      <c r="I161">
        <v>8.8760274654383867E-2</v>
      </c>
      <c r="J161" t="s">
        <v>6</v>
      </c>
      <c r="L161" t="s">
        <v>224</v>
      </c>
      <c r="M161" t="s">
        <v>14</v>
      </c>
      <c r="N161">
        <v>8.9543827753508914E-2</v>
      </c>
      <c r="O161" t="s">
        <v>6</v>
      </c>
    </row>
    <row r="162" spans="2:15" x14ac:dyDescent="0.45">
      <c r="B162" t="s">
        <v>222</v>
      </c>
      <c r="C162" t="s">
        <v>15</v>
      </c>
      <c r="D162">
        <v>2.0224673558778539E-2</v>
      </c>
      <c r="E162" t="s">
        <v>6</v>
      </c>
      <c r="G162" t="s">
        <v>223</v>
      </c>
      <c r="H162" t="s">
        <v>15</v>
      </c>
      <c r="I162">
        <v>4.2824642024485021E-2</v>
      </c>
      <c r="J162" t="s">
        <v>6</v>
      </c>
      <c r="L162" t="s">
        <v>224</v>
      </c>
      <c r="M162" t="s">
        <v>15</v>
      </c>
      <c r="N162">
        <v>4.6606443901431184E-2</v>
      </c>
      <c r="O162" t="s">
        <v>6</v>
      </c>
    </row>
    <row r="163" spans="2:15" x14ac:dyDescent="0.45">
      <c r="B163" t="s">
        <v>222</v>
      </c>
      <c r="C163" t="s">
        <v>16</v>
      </c>
      <c r="D163">
        <v>9.3175297308086463E-2</v>
      </c>
      <c r="E163" t="s">
        <v>6</v>
      </c>
      <c r="G163" t="s">
        <v>223</v>
      </c>
      <c r="H163" t="s">
        <v>16</v>
      </c>
      <c r="I163">
        <v>3.3080990889397636E-2</v>
      </c>
      <c r="J163" t="s">
        <v>6</v>
      </c>
      <c r="L163" t="s">
        <v>224</v>
      </c>
      <c r="M163" t="s">
        <v>16</v>
      </c>
      <c r="N163">
        <v>3.4418552700805641E-2</v>
      </c>
      <c r="O163" t="s">
        <v>6</v>
      </c>
    </row>
    <row r="164" spans="2:15" x14ac:dyDescent="0.45">
      <c r="B164" t="s">
        <v>222</v>
      </c>
      <c r="C164" t="s">
        <v>17</v>
      </c>
      <c r="D164">
        <v>0.11080259863275349</v>
      </c>
      <c r="E164" t="s">
        <v>6</v>
      </c>
      <c r="G164" t="s">
        <v>223</v>
      </c>
      <c r="H164" t="s">
        <v>17</v>
      </c>
      <c r="I164">
        <v>3.4491673610578609E-2</v>
      </c>
      <c r="J164" t="s">
        <v>6</v>
      </c>
      <c r="L164" t="s">
        <v>224</v>
      </c>
      <c r="M164" t="s">
        <v>17</v>
      </c>
      <c r="N164">
        <v>3.1883952879023875E-2</v>
      </c>
      <c r="O164" t="s">
        <v>6</v>
      </c>
    </row>
    <row r="165" spans="2:15" x14ac:dyDescent="0.45">
      <c r="B165" t="s">
        <v>222</v>
      </c>
      <c r="C165" t="s">
        <v>18</v>
      </c>
      <c r="D165">
        <v>7.0023441175860082E-2</v>
      </c>
      <c r="E165" t="s">
        <v>6</v>
      </c>
      <c r="G165" t="s">
        <v>223</v>
      </c>
      <c r="H165" t="s">
        <v>18</v>
      </c>
      <c r="I165">
        <v>3.589365262343918E-2</v>
      </c>
      <c r="J165" t="s">
        <v>6</v>
      </c>
      <c r="L165" t="s">
        <v>224</v>
      </c>
      <c r="M165" t="s">
        <v>18</v>
      </c>
      <c r="N165">
        <v>3.1344230840112182E-2</v>
      </c>
      <c r="O165" t="s">
        <v>6</v>
      </c>
    </row>
    <row r="166" spans="2:15" x14ac:dyDescent="0.45">
      <c r="B166" t="s">
        <v>222</v>
      </c>
      <c r="C166" t="s">
        <v>19</v>
      </c>
      <c r="D166">
        <v>8.0771842249534268E-3</v>
      </c>
      <c r="E166" t="s">
        <v>6</v>
      </c>
      <c r="G166" t="s">
        <v>223</v>
      </c>
      <c r="H166" t="s">
        <v>19</v>
      </c>
      <c r="I166">
        <v>3.4726478165902921E-2</v>
      </c>
      <c r="J166" t="s">
        <v>6</v>
      </c>
      <c r="L166" t="s">
        <v>224</v>
      </c>
      <c r="M166" t="s">
        <v>19</v>
      </c>
      <c r="N166">
        <v>3.2156486522364143E-2</v>
      </c>
      <c r="O166" t="s">
        <v>6</v>
      </c>
    </row>
    <row r="167" spans="2:15" x14ac:dyDescent="0.45">
      <c r="B167" t="s">
        <v>222</v>
      </c>
      <c r="C167" t="s">
        <v>20</v>
      </c>
      <c r="D167">
        <v>0</v>
      </c>
      <c r="E167" t="s">
        <v>6</v>
      </c>
      <c r="G167" t="s">
        <v>223</v>
      </c>
      <c r="H167" t="s">
        <v>20</v>
      </c>
      <c r="I167">
        <v>6.2204038760019315E-2</v>
      </c>
      <c r="J167" t="s">
        <v>6</v>
      </c>
      <c r="L167" t="s">
        <v>224</v>
      </c>
      <c r="M167" t="s">
        <v>20</v>
      </c>
      <c r="N167">
        <v>5.9841648459595671E-2</v>
      </c>
      <c r="O167" t="s">
        <v>6</v>
      </c>
    </row>
    <row r="168" spans="2:15" x14ac:dyDescent="0.45">
      <c r="B168" t="s">
        <v>222</v>
      </c>
      <c r="C168" t="s">
        <v>21</v>
      </c>
      <c r="D168">
        <v>2.7024045087849422E-2</v>
      </c>
      <c r="E168" t="s">
        <v>6</v>
      </c>
      <c r="G168" t="s">
        <v>223</v>
      </c>
      <c r="H168" t="s">
        <v>21</v>
      </c>
      <c r="I168">
        <v>2.7803600278748449E-2</v>
      </c>
      <c r="J168" t="s">
        <v>6</v>
      </c>
      <c r="L168" t="s">
        <v>224</v>
      </c>
      <c r="M168" t="s">
        <v>21</v>
      </c>
      <c r="N168">
        <v>2.5890377616862401E-2</v>
      </c>
      <c r="O168" t="s">
        <v>6</v>
      </c>
    </row>
    <row r="169" spans="2:15" x14ac:dyDescent="0.45">
      <c r="B169" t="s">
        <v>222</v>
      </c>
      <c r="C169" t="s">
        <v>22</v>
      </c>
      <c r="D169">
        <v>0.10854496623983585</v>
      </c>
      <c r="E169" t="s">
        <v>6</v>
      </c>
      <c r="G169" t="s">
        <v>223</v>
      </c>
      <c r="H169" t="s">
        <v>22</v>
      </c>
      <c r="I169">
        <v>2.0401771015896721E-2</v>
      </c>
      <c r="J169" t="s">
        <v>6</v>
      </c>
      <c r="L169" t="s">
        <v>224</v>
      </c>
      <c r="M169" t="s">
        <v>22</v>
      </c>
      <c r="N169">
        <v>1.827213060817949E-2</v>
      </c>
      <c r="O169" t="s">
        <v>6</v>
      </c>
    </row>
    <row r="170" spans="2:15" x14ac:dyDescent="0.45">
      <c r="B170" t="s">
        <v>222</v>
      </c>
      <c r="C170" t="s">
        <v>23</v>
      </c>
      <c r="D170">
        <v>0.13404126341164285</v>
      </c>
      <c r="E170" t="s">
        <v>6</v>
      </c>
      <c r="G170" t="s">
        <v>223</v>
      </c>
      <c r="H170" t="s">
        <v>23</v>
      </c>
      <c r="I170">
        <v>2.2956957852988267E-2</v>
      </c>
      <c r="J170" t="s">
        <v>6</v>
      </c>
      <c r="L170" t="s">
        <v>224</v>
      </c>
      <c r="M170" t="s">
        <v>23</v>
      </c>
      <c r="N170">
        <v>2.1114745994188722E-2</v>
      </c>
      <c r="O170" t="s">
        <v>6</v>
      </c>
    </row>
    <row r="171" spans="2:15" x14ac:dyDescent="0.45">
      <c r="B171" t="s">
        <v>222</v>
      </c>
      <c r="C171" t="s">
        <v>24</v>
      </c>
      <c r="D171">
        <v>9.228724353949265E-2</v>
      </c>
      <c r="E171" t="s">
        <v>6</v>
      </c>
      <c r="G171" t="s">
        <v>223</v>
      </c>
      <c r="H171" t="s">
        <v>24</v>
      </c>
      <c r="I171">
        <v>2.5572179059534728E-2</v>
      </c>
      <c r="J171" t="s">
        <v>6</v>
      </c>
      <c r="L171" t="s">
        <v>224</v>
      </c>
      <c r="M171" t="s">
        <v>24</v>
      </c>
      <c r="N171">
        <v>2.5325984053915826E-2</v>
      </c>
      <c r="O171" t="s">
        <v>6</v>
      </c>
    </row>
    <row r="172" spans="2:15" x14ac:dyDescent="0.45">
      <c r="B172" t="s">
        <v>222</v>
      </c>
      <c r="C172" t="s">
        <v>25</v>
      </c>
      <c r="D172">
        <v>1.5378982559795217E-2</v>
      </c>
      <c r="E172" t="s">
        <v>6</v>
      </c>
      <c r="G172" t="s">
        <v>223</v>
      </c>
      <c r="H172" t="s">
        <v>25</v>
      </c>
      <c r="I172">
        <v>2.519824412415024E-2</v>
      </c>
      <c r="J172" t="s">
        <v>6</v>
      </c>
      <c r="L172" t="s">
        <v>224</v>
      </c>
      <c r="M172" t="s">
        <v>25</v>
      </c>
      <c r="N172">
        <v>2.590341459528088E-2</v>
      </c>
      <c r="O172" t="s">
        <v>6</v>
      </c>
    </row>
    <row r="173" spans="2:15" x14ac:dyDescent="0.45">
      <c r="B173" t="s">
        <v>222</v>
      </c>
      <c r="C173" t="s">
        <v>26</v>
      </c>
      <c r="D173">
        <v>0</v>
      </c>
      <c r="E173" t="s">
        <v>6</v>
      </c>
      <c r="G173" t="s">
        <v>223</v>
      </c>
      <c r="H173" t="s">
        <v>26</v>
      </c>
      <c r="I173">
        <v>8.1781504221618215E-2</v>
      </c>
      <c r="J173" t="s">
        <v>6</v>
      </c>
      <c r="L173" t="s">
        <v>224</v>
      </c>
      <c r="M173" t="s">
        <v>26</v>
      </c>
      <c r="N173">
        <v>8.4933326388041783E-2</v>
      </c>
      <c r="O173" t="s">
        <v>6</v>
      </c>
    </row>
    <row r="174" spans="2:15" x14ac:dyDescent="0.45">
      <c r="B174" t="s">
        <v>222</v>
      </c>
      <c r="C174" t="s">
        <v>27</v>
      </c>
      <c r="D174">
        <v>5.5383844992978708E-3</v>
      </c>
      <c r="E174" t="s">
        <v>6</v>
      </c>
      <c r="G174" t="s">
        <v>223</v>
      </c>
      <c r="H174" t="s">
        <v>27</v>
      </c>
      <c r="I174">
        <v>3.9841096914390549E-2</v>
      </c>
      <c r="J174" t="s">
        <v>6</v>
      </c>
      <c r="L174" t="s">
        <v>224</v>
      </c>
      <c r="M174" t="s">
        <v>27</v>
      </c>
      <c r="N174">
        <v>4.2639016834069725E-2</v>
      </c>
      <c r="O174" t="s">
        <v>6</v>
      </c>
    </row>
    <row r="175" spans="2:15" x14ac:dyDescent="0.45">
      <c r="B175" t="s">
        <v>222</v>
      </c>
      <c r="C175" t="s">
        <v>28</v>
      </c>
      <c r="D175">
        <v>6.1030294138910389E-2</v>
      </c>
      <c r="E175" t="s">
        <v>6</v>
      </c>
      <c r="G175" t="s">
        <v>223</v>
      </c>
      <c r="H175" t="s">
        <v>28</v>
      </c>
      <c r="I175">
        <v>2.9496907414144239E-2</v>
      </c>
      <c r="J175" t="s">
        <v>6</v>
      </c>
      <c r="L175" t="s">
        <v>224</v>
      </c>
      <c r="M175" t="s">
        <v>28</v>
      </c>
      <c r="N175">
        <v>3.2983968639054076E-2</v>
      </c>
      <c r="O175" t="s">
        <v>6</v>
      </c>
    </row>
    <row r="176" spans="2:15" x14ac:dyDescent="0.45">
      <c r="B176" t="s">
        <v>222</v>
      </c>
      <c r="C176" t="s">
        <v>29</v>
      </c>
      <c r="D176">
        <v>8.362599818319412E-2</v>
      </c>
      <c r="E176" t="s">
        <v>6</v>
      </c>
      <c r="G176" t="s">
        <v>223</v>
      </c>
      <c r="H176" t="s">
        <v>29</v>
      </c>
      <c r="I176">
        <v>3.2258749442132251E-2</v>
      </c>
      <c r="J176" t="s">
        <v>6</v>
      </c>
      <c r="L176" t="s">
        <v>224</v>
      </c>
      <c r="M176" t="s">
        <v>29</v>
      </c>
      <c r="N176">
        <v>3.216502655756754E-2</v>
      </c>
      <c r="O176" t="s">
        <v>6</v>
      </c>
    </row>
    <row r="177" spans="2:15" x14ac:dyDescent="0.45">
      <c r="B177" t="s">
        <v>222</v>
      </c>
      <c r="C177" t="s">
        <v>30</v>
      </c>
      <c r="D177">
        <v>3.9296339414913978E-2</v>
      </c>
      <c r="E177" t="s">
        <v>6</v>
      </c>
      <c r="G177" t="s">
        <v>223</v>
      </c>
      <c r="H177" t="s">
        <v>30</v>
      </c>
      <c r="I177">
        <v>3.2980099967884896E-2</v>
      </c>
      <c r="J177" t="s">
        <v>6</v>
      </c>
      <c r="L177" t="s">
        <v>224</v>
      </c>
      <c r="M177" t="s">
        <v>30</v>
      </c>
      <c r="N177">
        <v>3.169046824873549E-2</v>
      </c>
      <c r="O177" t="s">
        <v>6</v>
      </c>
    </row>
    <row r="178" spans="2:15" x14ac:dyDescent="0.45">
      <c r="B178" t="s">
        <v>222</v>
      </c>
      <c r="C178" t="s">
        <v>31</v>
      </c>
      <c r="D178">
        <v>1.2572513074722087E-3</v>
      </c>
      <c r="E178" t="s">
        <v>6</v>
      </c>
      <c r="G178" t="s">
        <v>223</v>
      </c>
      <c r="H178" t="s">
        <v>31</v>
      </c>
      <c r="I178">
        <v>3.3061623267047972E-2</v>
      </c>
      <c r="J178" t="s">
        <v>6</v>
      </c>
      <c r="L178" t="s">
        <v>224</v>
      </c>
      <c r="M178" t="s">
        <v>31</v>
      </c>
      <c r="N178">
        <v>3.2115941784584538E-2</v>
      </c>
      <c r="O178" t="s">
        <v>6</v>
      </c>
    </row>
    <row r="179" spans="2:15" x14ac:dyDescent="0.45">
      <c r="B179" t="s">
        <v>225</v>
      </c>
      <c r="C179" t="s">
        <v>5</v>
      </c>
      <c r="D179">
        <v>0</v>
      </c>
      <c r="E179" t="s">
        <v>6</v>
      </c>
      <c r="G179" t="s">
        <v>226</v>
      </c>
      <c r="H179" t="s">
        <v>5</v>
      </c>
      <c r="I179">
        <v>9.6899441903958619E-2</v>
      </c>
      <c r="J179" t="s">
        <v>6</v>
      </c>
      <c r="L179" t="s">
        <v>227</v>
      </c>
      <c r="M179" t="s">
        <v>5</v>
      </c>
      <c r="N179">
        <v>9.7572468238370569E-2</v>
      </c>
      <c r="O179" t="s">
        <v>6</v>
      </c>
    </row>
    <row r="180" spans="2:15" x14ac:dyDescent="0.45">
      <c r="B180" t="s">
        <v>225</v>
      </c>
      <c r="C180" t="s">
        <v>9</v>
      </c>
      <c r="D180">
        <v>2.6453227944780284E-4</v>
      </c>
      <c r="E180" t="s">
        <v>6</v>
      </c>
      <c r="G180" t="s">
        <v>226</v>
      </c>
      <c r="H180" t="s">
        <v>9</v>
      </c>
      <c r="I180">
        <v>4.7141918896066705E-2</v>
      </c>
      <c r="J180" t="s">
        <v>6</v>
      </c>
      <c r="L180" t="s">
        <v>227</v>
      </c>
      <c r="M180" t="s">
        <v>9</v>
      </c>
      <c r="N180">
        <v>4.7745698397753722E-2</v>
      </c>
      <c r="O180" t="s">
        <v>6</v>
      </c>
    </row>
    <row r="181" spans="2:15" x14ac:dyDescent="0.45">
      <c r="B181" t="s">
        <v>225</v>
      </c>
      <c r="C181" t="s">
        <v>10</v>
      </c>
      <c r="D181">
        <v>3.5874290361354068E-2</v>
      </c>
      <c r="E181" t="s">
        <v>6</v>
      </c>
      <c r="G181" t="s">
        <v>226</v>
      </c>
      <c r="H181" t="s">
        <v>10</v>
      </c>
      <c r="I181">
        <v>3.4194520820579784E-2</v>
      </c>
      <c r="J181" t="s">
        <v>6</v>
      </c>
      <c r="L181" t="s">
        <v>227</v>
      </c>
      <c r="M181" t="s">
        <v>10</v>
      </c>
      <c r="N181">
        <v>3.5677884354150223E-2</v>
      </c>
      <c r="O181" t="s">
        <v>6</v>
      </c>
    </row>
    <row r="182" spans="2:15" x14ac:dyDescent="0.45">
      <c r="B182" t="s">
        <v>225</v>
      </c>
      <c r="C182" t="s">
        <v>11</v>
      </c>
      <c r="D182">
        <v>6.6897574825783887E-2</v>
      </c>
      <c r="E182" t="s">
        <v>6</v>
      </c>
      <c r="G182" t="s">
        <v>226</v>
      </c>
      <c r="H182" t="s">
        <v>11</v>
      </c>
      <c r="I182">
        <v>3.4235532634441908E-2</v>
      </c>
      <c r="J182" t="s">
        <v>6</v>
      </c>
      <c r="L182" t="s">
        <v>227</v>
      </c>
      <c r="M182" t="s">
        <v>11</v>
      </c>
      <c r="N182">
        <v>3.6392429414790733E-2</v>
      </c>
      <c r="O182" t="s">
        <v>6</v>
      </c>
    </row>
    <row r="183" spans="2:15" x14ac:dyDescent="0.45">
      <c r="B183" t="s">
        <v>225</v>
      </c>
      <c r="C183" t="s">
        <v>12</v>
      </c>
      <c r="D183">
        <v>2.6213731378651267E-2</v>
      </c>
      <c r="E183" t="s">
        <v>6</v>
      </c>
      <c r="G183" t="s">
        <v>226</v>
      </c>
      <c r="H183" t="s">
        <v>12</v>
      </c>
      <c r="I183">
        <v>3.4877873042062177E-2</v>
      </c>
      <c r="J183" t="s">
        <v>6</v>
      </c>
      <c r="L183" t="s">
        <v>227</v>
      </c>
      <c r="M183" t="s">
        <v>12</v>
      </c>
      <c r="N183">
        <v>3.6985067621313442E-2</v>
      </c>
      <c r="O183" t="s">
        <v>6</v>
      </c>
    </row>
    <row r="184" spans="2:15" x14ac:dyDescent="0.45">
      <c r="B184" t="s">
        <v>225</v>
      </c>
      <c r="C184" t="s">
        <v>13</v>
      </c>
      <c r="D184">
        <v>1.095253817791659E-4</v>
      </c>
      <c r="E184" t="s">
        <v>6</v>
      </c>
      <c r="G184" t="s">
        <v>226</v>
      </c>
      <c r="H184" t="s">
        <v>13</v>
      </c>
      <c r="I184">
        <v>3.6362093070795291E-2</v>
      </c>
      <c r="J184" t="s">
        <v>6</v>
      </c>
      <c r="L184" t="s">
        <v>227</v>
      </c>
      <c r="M184" t="s">
        <v>13</v>
      </c>
      <c r="N184">
        <v>3.6762398454530186E-2</v>
      </c>
      <c r="O184" t="s">
        <v>6</v>
      </c>
    </row>
    <row r="185" spans="2:15" x14ac:dyDescent="0.45">
      <c r="B185" t="s">
        <v>225</v>
      </c>
      <c r="C185" t="s">
        <v>14</v>
      </c>
      <c r="D185">
        <v>0</v>
      </c>
      <c r="E185" t="s">
        <v>6</v>
      </c>
      <c r="G185" t="s">
        <v>226</v>
      </c>
      <c r="H185" t="s">
        <v>14</v>
      </c>
      <c r="I185">
        <v>8.7507672441309664E-2</v>
      </c>
      <c r="J185" t="s">
        <v>6</v>
      </c>
      <c r="L185" t="s">
        <v>227</v>
      </c>
      <c r="M185" t="s">
        <v>14</v>
      </c>
      <c r="N185">
        <v>9.2273899950312571E-2</v>
      </c>
      <c r="O185" t="s">
        <v>6</v>
      </c>
    </row>
    <row r="186" spans="2:15" x14ac:dyDescent="0.45">
      <c r="B186" t="s">
        <v>225</v>
      </c>
      <c r="C186" t="s">
        <v>15</v>
      </c>
      <c r="D186">
        <v>2.1440897902017832E-2</v>
      </c>
      <c r="E186" t="s">
        <v>6</v>
      </c>
      <c r="G186" t="s">
        <v>226</v>
      </c>
      <c r="H186" t="s">
        <v>15</v>
      </c>
      <c r="I186">
        <v>4.2964389241292193E-2</v>
      </c>
      <c r="J186" t="s">
        <v>6</v>
      </c>
      <c r="L186" t="s">
        <v>227</v>
      </c>
      <c r="M186" t="s">
        <v>15</v>
      </c>
      <c r="N186">
        <v>4.824545676652818E-2</v>
      </c>
      <c r="O186" t="s">
        <v>6</v>
      </c>
    </row>
    <row r="187" spans="2:15" x14ac:dyDescent="0.45">
      <c r="B187" t="s">
        <v>225</v>
      </c>
      <c r="C187" t="s">
        <v>16</v>
      </c>
      <c r="D187">
        <v>9.6346779914239317E-2</v>
      </c>
      <c r="E187" t="s">
        <v>6</v>
      </c>
      <c r="G187" t="s">
        <v>226</v>
      </c>
      <c r="H187" t="s">
        <v>16</v>
      </c>
      <c r="I187">
        <v>3.0082850653977204E-2</v>
      </c>
      <c r="J187" t="s">
        <v>6</v>
      </c>
      <c r="L187" t="s">
        <v>227</v>
      </c>
      <c r="M187" t="s">
        <v>16</v>
      </c>
      <c r="N187">
        <v>3.5026515242852788E-2</v>
      </c>
      <c r="O187" t="s">
        <v>6</v>
      </c>
    </row>
    <row r="188" spans="2:15" x14ac:dyDescent="0.45">
      <c r="B188" t="s">
        <v>225</v>
      </c>
      <c r="C188" t="s">
        <v>17</v>
      </c>
      <c r="D188">
        <v>0.1153823063798895</v>
      </c>
      <c r="E188" t="s">
        <v>6</v>
      </c>
      <c r="G188" t="s">
        <v>226</v>
      </c>
      <c r="H188" t="s">
        <v>17</v>
      </c>
      <c r="I188">
        <v>3.0503107035934032E-2</v>
      </c>
      <c r="J188" t="s">
        <v>6</v>
      </c>
      <c r="L188" t="s">
        <v>227</v>
      </c>
      <c r="M188" t="s">
        <v>17</v>
      </c>
      <c r="N188">
        <v>3.3012462825590491E-2</v>
      </c>
      <c r="O188" t="s">
        <v>6</v>
      </c>
    </row>
    <row r="189" spans="2:15" x14ac:dyDescent="0.45">
      <c r="B189" t="s">
        <v>225</v>
      </c>
      <c r="C189" t="s">
        <v>18</v>
      </c>
      <c r="D189">
        <v>7.5423850815790353E-2</v>
      </c>
      <c r="E189" t="s">
        <v>6</v>
      </c>
      <c r="G189" t="s">
        <v>226</v>
      </c>
      <c r="H189" t="s">
        <v>18</v>
      </c>
      <c r="I189">
        <v>3.1933947491063604E-2</v>
      </c>
      <c r="J189" t="s">
        <v>6</v>
      </c>
      <c r="L189" t="s">
        <v>227</v>
      </c>
      <c r="M189" t="s">
        <v>18</v>
      </c>
      <c r="N189">
        <v>3.2558807458241509E-2</v>
      </c>
      <c r="O189" t="s">
        <v>6</v>
      </c>
    </row>
    <row r="190" spans="2:15" x14ac:dyDescent="0.45">
      <c r="B190" t="s">
        <v>225</v>
      </c>
      <c r="C190" t="s">
        <v>19</v>
      </c>
      <c r="D190">
        <v>9.115474056909597E-3</v>
      </c>
      <c r="E190" t="s">
        <v>6</v>
      </c>
      <c r="G190" t="s">
        <v>226</v>
      </c>
      <c r="H190" t="s">
        <v>19</v>
      </c>
      <c r="I190">
        <v>3.272839656311359E-2</v>
      </c>
      <c r="J190" t="s">
        <v>6</v>
      </c>
      <c r="L190" t="s">
        <v>227</v>
      </c>
      <c r="M190" t="s">
        <v>19</v>
      </c>
      <c r="N190">
        <v>3.3041602178618026E-2</v>
      </c>
      <c r="O190" t="s">
        <v>6</v>
      </c>
    </row>
    <row r="191" spans="2:15" x14ac:dyDescent="0.45">
      <c r="B191" t="s">
        <v>225</v>
      </c>
      <c r="C191" t="s">
        <v>20</v>
      </c>
      <c r="D191">
        <v>0</v>
      </c>
      <c r="E191" t="s">
        <v>6</v>
      </c>
      <c r="G191" t="s">
        <v>226</v>
      </c>
      <c r="H191" t="s">
        <v>20</v>
      </c>
      <c r="I191">
        <v>7.090310257755475E-2</v>
      </c>
      <c r="J191" t="s">
        <v>6</v>
      </c>
      <c r="L191" t="s">
        <v>227</v>
      </c>
      <c r="M191" t="s">
        <v>20</v>
      </c>
      <c r="N191">
        <v>6.5053742891346522E-2</v>
      </c>
      <c r="O191" t="s">
        <v>6</v>
      </c>
    </row>
    <row r="192" spans="2:15" x14ac:dyDescent="0.45">
      <c r="B192" t="s">
        <v>225</v>
      </c>
      <c r="C192" t="s">
        <v>21</v>
      </c>
      <c r="D192">
        <v>2.8350217814811552E-2</v>
      </c>
      <c r="E192" t="s">
        <v>6</v>
      </c>
      <c r="G192" t="s">
        <v>226</v>
      </c>
      <c r="H192" t="s">
        <v>21</v>
      </c>
      <c r="I192">
        <v>3.1395372216356472E-2</v>
      </c>
      <c r="J192" t="s">
        <v>6</v>
      </c>
      <c r="L192" t="s">
        <v>227</v>
      </c>
      <c r="M192" t="s">
        <v>21</v>
      </c>
      <c r="N192">
        <v>2.9293482716613025E-2</v>
      </c>
      <c r="O192" t="s">
        <v>6</v>
      </c>
    </row>
    <row r="193" spans="2:15" x14ac:dyDescent="0.45">
      <c r="B193" t="s">
        <v>225</v>
      </c>
      <c r="C193" t="s">
        <v>22</v>
      </c>
      <c r="D193">
        <v>0.1067986854595597</v>
      </c>
      <c r="E193" t="s">
        <v>6</v>
      </c>
      <c r="G193" t="s">
        <v>226</v>
      </c>
      <c r="H193" t="s">
        <v>22</v>
      </c>
      <c r="I193">
        <v>2.2373353511750179E-2</v>
      </c>
      <c r="J193" t="s">
        <v>6</v>
      </c>
      <c r="L193" t="s">
        <v>227</v>
      </c>
      <c r="M193" t="s">
        <v>22</v>
      </c>
      <c r="N193">
        <v>2.1022298943252925E-2</v>
      </c>
      <c r="O193" t="s">
        <v>6</v>
      </c>
    </row>
    <row r="194" spans="2:15" x14ac:dyDescent="0.45">
      <c r="B194" t="s">
        <v>225</v>
      </c>
      <c r="C194" t="s">
        <v>23</v>
      </c>
      <c r="D194">
        <v>0.12778904119834245</v>
      </c>
      <c r="E194" t="s">
        <v>6</v>
      </c>
      <c r="G194" t="s">
        <v>226</v>
      </c>
      <c r="H194" t="s">
        <v>23</v>
      </c>
      <c r="I194">
        <v>2.4642720781641592E-2</v>
      </c>
      <c r="J194" t="s">
        <v>6</v>
      </c>
      <c r="L194" t="s">
        <v>227</v>
      </c>
      <c r="M194" t="s">
        <v>23</v>
      </c>
      <c r="N194">
        <v>2.2402081812449903E-2</v>
      </c>
      <c r="O194" t="s">
        <v>6</v>
      </c>
    </row>
    <row r="195" spans="2:15" x14ac:dyDescent="0.45">
      <c r="B195" t="s">
        <v>225</v>
      </c>
      <c r="C195" t="s">
        <v>24</v>
      </c>
      <c r="D195">
        <v>8.6644809451106641E-2</v>
      </c>
      <c r="E195" t="s">
        <v>6</v>
      </c>
      <c r="G195" t="s">
        <v>226</v>
      </c>
      <c r="H195" t="s">
        <v>24</v>
      </c>
      <c r="I195">
        <v>2.6995766294598673E-2</v>
      </c>
      <c r="J195" t="s">
        <v>6</v>
      </c>
      <c r="L195" t="s">
        <v>227</v>
      </c>
      <c r="M195" t="s">
        <v>24</v>
      </c>
      <c r="N195">
        <v>2.5497634747141305E-2</v>
      </c>
      <c r="O195" t="s">
        <v>6</v>
      </c>
    </row>
    <row r="196" spans="2:15" x14ac:dyDescent="0.45">
      <c r="B196" t="s">
        <v>225</v>
      </c>
      <c r="C196" t="s">
        <v>25</v>
      </c>
      <c r="D196">
        <v>1.6340226893611465E-2</v>
      </c>
      <c r="E196" t="s">
        <v>6</v>
      </c>
      <c r="G196" t="s">
        <v>226</v>
      </c>
      <c r="H196" t="s">
        <v>25</v>
      </c>
      <c r="I196">
        <v>2.6998309742150235E-2</v>
      </c>
      <c r="J196" t="s">
        <v>6</v>
      </c>
      <c r="L196" t="s">
        <v>227</v>
      </c>
      <c r="M196" t="s">
        <v>25</v>
      </c>
      <c r="N196">
        <v>2.6678131185878959E-2</v>
      </c>
      <c r="O196" t="s">
        <v>6</v>
      </c>
    </row>
    <row r="197" spans="2:15" x14ac:dyDescent="0.45">
      <c r="B197" t="s">
        <v>225</v>
      </c>
      <c r="C197" t="s">
        <v>26</v>
      </c>
      <c r="D197">
        <v>0</v>
      </c>
      <c r="E197" t="s">
        <v>6</v>
      </c>
      <c r="G197" t="s">
        <v>226</v>
      </c>
      <c r="H197" t="s">
        <v>26</v>
      </c>
      <c r="I197">
        <v>8.6833221924815893E-2</v>
      </c>
      <c r="J197" t="s">
        <v>6</v>
      </c>
      <c r="L197" t="s">
        <v>227</v>
      </c>
      <c r="M197" t="s">
        <v>26</v>
      </c>
      <c r="N197">
        <v>7.9184775161764781E-2</v>
      </c>
      <c r="O197" t="s">
        <v>6</v>
      </c>
    </row>
    <row r="198" spans="2:15" x14ac:dyDescent="0.45">
      <c r="B198" t="s">
        <v>225</v>
      </c>
      <c r="C198" t="s">
        <v>27</v>
      </c>
      <c r="D198">
        <v>4.9213247401672577E-3</v>
      </c>
      <c r="E198" t="s">
        <v>6</v>
      </c>
      <c r="G198" t="s">
        <v>226</v>
      </c>
      <c r="H198" t="s">
        <v>27</v>
      </c>
      <c r="I198">
        <v>4.0960498435986155E-2</v>
      </c>
      <c r="J198" t="s">
        <v>6</v>
      </c>
      <c r="L198" t="s">
        <v>227</v>
      </c>
      <c r="M198" t="s">
        <v>27</v>
      </c>
      <c r="N198">
        <v>4.0541482846335283E-2</v>
      </c>
      <c r="O198" t="s">
        <v>6</v>
      </c>
    </row>
    <row r="199" spans="2:15" x14ac:dyDescent="0.45">
      <c r="B199" t="s">
        <v>225</v>
      </c>
      <c r="C199" t="s">
        <v>28</v>
      </c>
      <c r="D199">
        <v>5.6191290362316591E-2</v>
      </c>
      <c r="E199" t="s">
        <v>6</v>
      </c>
      <c r="G199" t="s">
        <v>226</v>
      </c>
      <c r="H199" t="s">
        <v>28</v>
      </c>
      <c r="I199">
        <v>3.0723920734050694E-2</v>
      </c>
      <c r="J199" t="s">
        <v>6</v>
      </c>
      <c r="L199" t="s">
        <v>227</v>
      </c>
      <c r="M199" t="s">
        <v>28</v>
      </c>
      <c r="N199">
        <v>3.1068245816083424E-2</v>
      </c>
      <c r="O199" t="s">
        <v>6</v>
      </c>
    </row>
    <row r="200" spans="2:15" x14ac:dyDescent="0.45">
      <c r="B200" t="s">
        <v>225</v>
      </c>
      <c r="C200" t="s">
        <v>29</v>
      </c>
      <c r="D200">
        <v>8.5583045597007412E-2</v>
      </c>
      <c r="E200" t="s">
        <v>6</v>
      </c>
      <c r="G200" t="s">
        <v>226</v>
      </c>
      <c r="H200" t="s">
        <v>29</v>
      </c>
      <c r="I200">
        <v>3.1780002140965886E-2</v>
      </c>
      <c r="J200" t="s">
        <v>6</v>
      </c>
      <c r="L200" t="s">
        <v>227</v>
      </c>
      <c r="M200" t="s">
        <v>29</v>
      </c>
      <c r="N200">
        <v>3.0926109787467234E-2</v>
      </c>
      <c r="O200" t="s">
        <v>6</v>
      </c>
    </row>
    <row r="201" spans="2:15" x14ac:dyDescent="0.45">
      <c r="B201" t="s">
        <v>225</v>
      </c>
      <c r="C201" t="s">
        <v>30</v>
      </c>
      <c r="D201">
        <v>3.9073746293464391E-2</v>
      </c>
      <c r="E201" t="s">
        <v>6</v>
      </c>
      <c r="G201" t="s">
        <v>226</v>
      </c>
      <c r="H201" t="s">
        <v>30</v>
      </c>
      <c r="I201">
        <v>3.2686430992496227E-2</v>
      </c>
      <c r="J201" t="s">
        <v>6</v>
      </c>
      <c r="L201" t="s">
        <v>227</v>
      </c>
      <c r="M201" t="s">
        <v>30</v>
      </c>
      <c r="N201">
        <v>3.156262033034974E-2</v>
      </c>
      <c r="O201" t="s">
        <v>6</v>
      </c>
    </row>
    <row r="202" spans="2:15" x14ac:dyDescent="0.45">
      <c r="B202" t="s">
        <v>225</v>
      </c>
      <c r="C202" t="s">
        <v>31</v>
      </c>
      <c r="D202">
        <v>1.2386488937477162E-3</v>
      </c>
      <c r="E202" t="s">
        <v>6</v>
      </c>
      <c r="G202" t="s">
        <v>226</v>
      </c>
      <c r="H202" t="s">
        <v>31</v>
      </c>
      <c r="I202">
        <v>3.4275556853036515E-2</v>
      </c>
      <c r="J202" t="s">
        <v>6</v>
      </c>
      <c r="L202" t="s">
        <v>227</v>
      </c>
      <c r="M202" t="s">
        <v>31</v>
      </c>
      <c r="N202">
        <v>3.1474702858260241E-2</v>
      </c>
      <c r="O202" t="s">
        <v>6</v>
      </c>
    </row>
    <row r="203" spans="2:15" x14ac:dyDescent="0.45">
      <c r="B203" t="s">
        <v>228</v>
      </c>
      <c r="C203" t="s">
        <v>5</v>
      </c>
      <c r="D203">
        <v>0</v>
      </c>
      <c r="E203" t="s">
        <v>6</v>
      </c>
      <c r="G203" t="s">
        <v>229</v>
      </c>
      <c r="H203" t="s">
        <v>5</v>
      </c>
      <c r="I203">
        <v>0.10261376568045402</v>
      </c>
      <c r="J203" t="s">
        <v>6</v>
      </c>
      <c r="L203" t="s">
        <v>230</v>
      </c>
      <c r="M203" t="s">
        <v>5</v>
      </c>
      <c r="N203">
        <v>0.11087396431043203</v>
      </c>
      <c r="O203" t="s">
        <v>6</v>
      </c>
    </row>
    <row r="204" spans="2:15" x14ac:dyDescent="0.45">
      <c r="B204" t="s">
        <v>228</v>
      </c>
      <c r="C204" t="s">
        <v>9</v>
      </c>
      <c r="D204">
        <v>4.2252607298543779E-4</v>
      </c>
      <c r="E204" t="s">
        <v>6</v>
      </c>
      <c r="G204" t="s">
        <v>229</v>
      </c>
      <c r="H204" t="s">
        <v>9</v>
      </c>
      <c r="I204">
        <v>4.9412437638864201E-2</v>
      </c>
      <c r="J204" t="s">
        <v>6</v>
      </c>
      <c r="L204" t="s">
        <v>230</v>
      </c>
      <c r="M204" t="s">
        <v>9</v>
      </c>
      <c r="N204">
        <v>5.3134160243457261E-2</v>
      </c>
      <c r="O204" t="s">
        <v>6</v>
      </c>
    </row>
    <row r="205" spans="2:15" x14ac:dyDescent="0.45">
      <c r="B205" t="s">
        <v>228</v>
      </c>
      <c r="C205" t="s">
        <v>10</v>
      </c>
      <c r="D205">
        <v>3.9359544460934433E-2</v>
      </c>
      <c r="E205" t="s">
        <v>6</v>
      </c>
      <c r="G205" t="s">
        <v>229</v>
      </c>
      <c r="H205" t="s">
        <v>10</v>
      </c>
      <c r="I205">
        <v>3.4993008668335893E-2</v>
      </c>
      <c r="J205" t="s">
        <v>6</v>
      </c>
      <c r="L205" t="s">
        <v>230</v>
      </c>
      <c r="M205" t="s">
        <v>10</v>
      </c>
      <c r="N205">
        <v>3.8205606704499004E-2</v>
      </c>
      <c r="O205" t="s">
        <v>6</v>
      </c>
    </row>
    <row r="206" spans="2:15" x14ac:dyDescent="0.45">
      <c r="B206" t="s">
        <v>228</v>
      </c>
      <c r="C206" t="s">
        <v>11</v>
      </c>
      <c r="D206">
        <v>6.8323014836075641E-2</v>
      </c>
      <c r="E206" t="s">
        <v>6</v>
      </c>
      <c r="G206" t="s">
        <v>229</v>
      </c>
      <c r="H206" t="s">
        <v>11</v>
      </c>
      <c r="I206">
        <v>3.5855590281399542E-2</v>
      </c>
      <c r="J206" t="s">
        <v>6</v>
      </c>
      <c r="L206" t="s">
        <v>230</v>
      </c>
      <c r="M206" t="s">
        <v>11</v>
      </c>
      <c r="N206">
        <v>3.9387729419497169E-2</v>
      </c>
      <c r="O206" t="s">
        <v>6</v>
      </c>
    </row>
    <row r="207" spans="2:15" x14ac:dyDescent="0.45">
      <c r="B207" t="s">
        <v>228</v>
      </c>
      <c r="C207" t="s">
        <v>12</v>
      </c>
      <c r="D207">
        <v>2.4329902857278936E-2</v>
      </c>
      <c r="E207" t="s">
        <v>6</v>
      </c>
      <c r="G207" t="s">
        <v>229</v>
      </c>
      <c r="H207" t="s">
        <v>12</v>
      </c>
      <c r="I207">
        <v>3.6544690513240004E-2</v>
      </c>
      <c r="J207" t="s">
        <v>6</v>
      </c>
      <c r="L207" t="s">
        <v>230</v>
      </c>
      <c r="M207" t="s">
        <v>12</v>
      </c>
      <c r="N207">
        <v>4.0438176367977793E-2</v>
      </c>
      <c r="O207" t="s">
        <v>6</v>
      </c>
    </row>
    <row r="208" spans="2:15" x14ac:dyDescent="0.45">
      <c r="B208" t="s">
        <v>228</v>
      </c>
      <c r="C208" t="s">
        <v>13</v>
      </c>
      <c r="D208">
        <v>3.1003759639871013E-5</v>
      </c>
      <c r="E208" t="s">
        <v>6</v>
      </c>
      <c r="G208" t="s">
        <v>229</v>
      </c>
      <c r="H208" t="s">
        <v>13</v>
      </c>
      <c r="I208">
        <v>3.8326490562140339E-2</v>
      </c>
      <c r="J208" t="s">
        <v>6</v>
      </c>
      <c r="L208" t="s">
        <v>230</v>
      </c>
      <c r="M208" t="s">
        <v>13</v>
      </c>
      <c r="N208">
        <v>4.1306184382724334E-2</v>
      </c>
      <c r="O208" t="s">
        <v>6</v>
      </c>
    </row>
    <row r="209" spans="2:15" x14ac:dyDescent="0.45">
      <c r="B209" t="s">
        <v>228</v>
      </c>
      <c r="C209" t="s">
        <v>14</v>
      </c>
      <c r="D209">
        <v>0</v>
      </c>
      <c r="E209" t="s">
        <v>6</v>
      </c>
      <c r="G209" t="s">
        <v>229</v>
      </c>
      <c r="H209" t="s">
        <v>14</v>
      </c>
      <c r="I209">
        <v>8.8009094038390537E-2</v>
      </c>
      <c r="J209" t="s">
        <v>6</v>
      </c>
      <c r="L209" t="s">
        <v>230</v>
      </c>
      <c r="M209" t="s">
        <v>14</v>
      </c>
      <c r="N209">
        <v>7.7381813967153143E-2</v>
      </c>
      <c r="O209" t="s">
        <v>6</v>
      </c>
    </row>
    <row r="210" spans="2:15" x14ac:dyDescent="0.45">
      <c r="B210" t="s">
        <v>228</v>
      </c>
      <c r="C210" t="s">
        <v>15</v>
      </c>
      <c r="D210">
        <v>2.2179997238162125E-2</v>
      </c>
      <c r="E210" t="s">
        <v>6</v>
      </c>
      <c r="G210" t="s">
        <v>229</v>
      </c>
      <c r="H210" t="s">
        <v>15</v>
      </c>
      <c r="I210">
        <v>4.2176641759839192E-2</v>
      </c>
      <c r="J210" t="s">
        <v>6</v>
      </c>
      <c r="L210" t="s">
        <v>230</v>
      </c>
      <c r="M210" t="s">
        <v>15</v>
      </c>
      <c r="N210">
        <v>3.6457929950950235E-2</v>
      </c>
      <c r="O210" t="s">
        <v>6</v>
      </c>
    </row>
    <row r="211" spans="2:15" x14ac:dyDescent="0.45">
      <c r="B211" t="s">
        <v>228</v>
      </c>
      <c r="C211" t="s">
        <v>16</v>
      </c>
      <c r="D211">
        <v>9.7458237112473284E-2</v>
      </c>
      <c r="E211" t="s">
        <v>6</v>
      </c>
      <c r="G211" t="s">
        <v>229</v>
      </c>
      <c r="H211" t="s">
        <v>16</v>
      </c>
      <c r="I211">
        <v>3.1841696008004912E-2</v>
      </c>
      <c r="J211" t="s">
        <v>6</v>
      </c>
      <c r="L211" t="s">
        <v>230</v>
      </c>
      <c r="M211" t="s">
        <v>16</v>
      </c>
      <c r="N211">
        <v>2.8697751932277738E-2</v>
      </c>
      <c r="O211" t="s">
        <v>6</v>
      </c>
    </row>
    <row r="212" spans="2:15" x14ac:dyDescent="0.45">
      <c r="B212" t="s">
        <v>228</v>
      </c>
      <c r="C212" t="s">
        <v>17</v>
      </c>
      <c r="D212">
        <v>0.11567198460720757</v>
      </c>
      <c r="E212" t="s">
        <v>6</v>
      </c>
      <c r="G212" t="s">
        <v>229</v>
      </c>
      <c r="H212" t="s">
        <v>17</v>
      </c>
      <c r="I212">
        <v>3.347397333992639E-2</v>
      </c>
      <c r="J212" t="s">
        <v>6</v>
      </c>
      <c r="L212" t="s">
        <v>230</v>
      </c>
      <c r="M212" t="s">
        <v>17</v>
      </c>
      <c r="N212">
        <v>3.0482189917864125E-2</v>
      </c>
      <c r="O212" t="s">
        <v>6</v>
      </c>
    </row>
    <row r="213" spans="2:15" x14ac:dyDescent="0.45">
      <c r="B213" t="s">
        <v>228</v>
      </c>
      <c r="C213" t="s">
        <v>18</v>
      </c>
      <c r="D213">
        <v>7.1010492106230824E-2</v>
      </c>
      <c r="E213" t="s">
        <v>6</v>
      </c>
      <c r="G213" t="s">
        <v>229</v>
      </c>
      <c r="H213" t="s">
        <v>18</v>
      </c>
      <c r="I213">
        <v>3.4016852751744424E-2</v>
      </c>
      <c r="J213" t="s">
        <v>6</v>
      </c>
      <c r="L213" t="s">
        <v>230</v>
      </c>
      <c r="M213" t="s">
        <v>18</v>
      </c>
      <c r="N213">
        <v>3.1418297527203785E-2</v>
      </c>
      <c r="O213" t="s">
        <v>6</v>
      </c>
    </row>
    <row r="214" spans="2:15" x14ac:dyDescent="0.45">
      <c r="B214" t="s">
        <v>228</v>
      </c>
      <c r="C214" t="s">
        <v>19</v>
      </c>
      <c r="D214">
        <v>7.7160430331548605E-3</v>
      </c>
      <c r="E214" t="s">
        <v>6</v>
      </c>
      <c r="G214" t="s">
        <v>229</v>
      </c>
      <c r="H214" t="s">
        <v>19</v>
      </c>
      <c r="I214">
        <v>3.3213158279075228E-2</v>
      </c>
      <c r="J214" t="s">
        <v>6</v>
      </c>
      <c r="L214" t="s">
        <v>230</v>
      </c>
      <c r="M214" t="s">
        <v>19</v>
      </c>
      <c r="N214">
        <v>3.1383554107139292E-2</v>
      </c>
      <c r="O214" t="s">
        <v>6</v>
      </c>
    </row>
    <row r="215" spans="2:15" x14ac:dyDescent="0.45">
      <c r="B215" t="s">
        <v>228</v>
      </c>
      <c r="C215" t="s">
        <v>20</v>
      </c>
      <c r="D215">
        <v>0</v>
      </c>
      <c r="E215" t="s">
        <v>6</v>
      </c>
      <c r="G215" t="s">
        <v>229</v>
      </c>
      <c r="H215" t="s">
        <v>20</v>
      </c>
      <c r="I215">
        <v>6.3457965552271317E-2</v>
      </c>
      <c r="J215" t="s">
        <v>6</v>
      </c>
      <c r="L215" t="s">
        <v>230</v>
      </c>
      <c r="M215" t="s">
        <v>20</v>
      </c>
      <c r="N215">
        <v>5.5863875462745745E-2</v>
      </c>
      <c r="O215" t="s">
        <v>6</v>
      </c>
    </row>
    <row r="216" spans="2:15" x14ac:dyDescent="0.45">
      <c r="B216" t="s">
        <v>228</v>
      </c>
      <c r="C216" t="s">
        <v>21</v>
      </c>
      <c r="D216">
        <v>2.9201963189751764E-2</v>
      </c>
      <c r="E216" t="s">
        <v>6</v>
      </c>
      <c r="G216" t="s">
        <v>229</v>
      </c>
      <c r="H216" t="s">
        <v>21</v>
      </c>
      <c r="I216">
        <v>2.783558815492073E-2</v>
      </c>
      <c r="J216" t="s">
        <v>6</v>
      </c>
      <c r="L216" t="s">
        <v>230</v>
      </c>
      <c r="M216" t="s">
        <v>21</v>
      </c>
      <c r="N216">
        <v>2.8721996617452939E-2</v>
      </c>
      <c r="O216" t="s">
        <v>6</v>
      </c>
    </row>
    <row r="217" spans="2:15" x14ac:dyDescent="0.45">
      <c r="B217" t="s">
        <v>228</v>
      </c>
      <c r="C217" t="s">
        <v>22</v>
      </c>
      <c r="D217">
        <v>0.10750486535316679</v>
      </c>
      <c r="E217" t="s">
        <v>6</v>
      </c>
      <c r="G217" t="s">
        <v>229</v>
      </c>
      <c r="H217" t="s">
        <v>22</v>
      </c>
      <c r="I217">
        <v>1.9494893202503503E-2</v>
      </c>
      <c r="J217" t="s">
        <v>6</v>
      </c>
      <c r="L217" t="s">
        <v>230</v>
      </c>
      <c r="M217" t="s">
        <v>22</v>
      </c>
      <c r="N217">
        <v>2.2846907269327761E-2</v>
      </c>
      <c r="O217" t="s">
        <v>6</v>
      </c>
    </row>
    <row r="218" spans="2:15" x14ac:dyDescent="0.45">
      <c r="B218" t="s">
        <v>228</v>
      </c>
      <c r="C218" t="s">
        <v>23</v>
      </c>
      <c r="D218">
        <v>0.12974133487980802</v>
      </c>
      <c r="E218" t="s">
        <v>6</v>
      </c>
      <c r="G218" t="s">
        <v>229</v>
      </c>
      <c r="H218" t="s">
        <v>23</v>
      </c>
      <c r="I218">
        <v>2.1982715216459076E-2</v>
      </c>
      <c r="J218" t="s">
        <v>6</v>
      </c>
      <c r="L218" t="s">
        <v>230</v>
      </c>
      <c r="M218" t="s">
        <v>23</v>
      </c>
      <c r="N218">
        <v>2.4532753861361032E-2</v>
      </c>
      <c r="O218" t="s">
        <v>6</v>
      </c>
    </row>
    <row r="219" spans="2:15" x14ac:dyDescent="0.45">
      <c r="B219" t="s">
        <v>228</v>
      </c>
      <c r="C219" t="s">
        <v>24</v>
      </c>
      <c r="D219">
        <v>8.4495408080026452E-2</v>
      </c>
      <c r="E219" t="s">
        <v>6</v>
      </c>
      <c r="G219" t="s">
        <v>229</v>
      </c>
      <c r="H219" t="s">
        <v>24</v>
      </c>
      <c r="I219">
        <v>2.3659963913585914E-2</v>
      </c>
      <c r="J219" t="s">
        <v>6</v>
      </c>
      <c r="L219" t="s">
        <v>230</v>
      </c>
      <c r="M219" t="s">
        <v>24</v>
      </c>
      <c r="N219">
        <v>2.42995646097263E-2</v>
      </c>
      <c r="O219" t="s">
        <v>6</v>
      </c>
    </row>
    <row r="220" spans="2:15" x14ac:dyDescent="0.45">
      <c r="B220" t="s">
        <v>228</v>
      </c>
      <c r="C220" t="s">
        <v>25</v>
      </c>
      <c r="D220">
        <v>1.4443993200073127E-2</v>
      </c>
      <c r="E220" t="s">
        <v>6</v>
      </c>
      <c r="G220" t="s">
        <v>229</v>
      </c>
      <c r="H220" t="s">
        <v>25</v>
      </c>
      <c r="I220">
        <v>2.3288331261658152E-2</v>
      </c>
      <c r="J220" t="s">
        <v>6</v>
      </c>
      <c r="L220" t="s">
        <v>230</v>
      </c>
      <c r="M220" t="s">
        <v>25</v>
      </c>
      <c r="N220">
        <v>2.1737309233113303E-2</v>
      </c>
      <c r="O220" t="s">
        <v>6</v>
      </c>
    </row>
    <row r="221" spans="2:15" x14ac:dyDescent="0.45">
      <c r="B221" t="s">
        <v>228</v>
      </c>
      <c r="C221" t="s">
        <v>26</v>
      </c>
      <c r="D221">
        <v>0</v>
      </c>
      <c r="E221" t="s">
        <v>6</v>
      </c>
      <c r="G221" t="s">
        <v>229</v>
      </c>
      <c r="H221" t="s">
        <v>26</v>
      </c>
      <c r="I221">
        <v>8.9478485867203972E-2</v>
      </c>
      <c r="J221" t="s">
        <v>6</v>
      </c>
      <c r="L221" t="s">
        <v>230</v>
      </c>
      <c r="M221" t="s">
        <v>26</v>
      </c>
      <c r="N221">
        <v>8.3251491463760624E-2</v>
      </c>
      <c r="O221" t="s">
        <v>6</v>
      </c>
    </row>
    <row r="222" spans="2:15" x14ac:dyDescent="0.45">
      <c r="B222" t="s">
        <v>228</v>
      </c>
      <c r="C222" t="s">
        <v>27</v>
      </c>
      <c r="D222">
        <v>6.3443057616400008E-3</v>
      </c>
      <c r="E222" t="s">
        <v>6</v>
      </c>
      <c r="G222" t="s">
        <v>229</v>
      </c>
      <c r="H222" t="s">
        <v>27</v>
      </c>
      <c r="I222">
        <v>4.2604002732438029E-2</v>
      </c>
      <c r="J222" t="s">
        <v>6</v>
      </c>
      <c r="L222" t="s">
        <v>230</v>
      </c>
      <c r="M222" t="s">
        <v>27</v>
      </c>
      <c r="N222">
        <v>4.3264450978014263E-2</v>
      </c>
      <c r="O222" t="s">
        <v>6</v>
      </c>
    </row>
    <row r="223" spans="2:15" x14ac:dyDescent="0.45">
      <c r="B223" t="s">
        <v>228</v>
      </c>
      <c r="C223" t="s">
        <v>28</v>
      </c>
      <c r="D223">
        <v>6.1012146661564473E-2</v>
      </c>
      <c r="E223" t="s">
        <v>6</v>
      </c>
      <c r="G223" t="s">
        <v>229</v>
      </c>
      <c r="H223" t="s">
        <v>28</v>
      </c>
      <c r="I223">
        <v>3.0002754170603951E-2</v>
      </c>
      <c r="J223" t="s">
        <v>6</v>
      </c>
      <c r="L223" t="s">
        <v>230</v>
      </c>
      <c r="M223" t="s">
        <v>28</v>
      </c>
      <c r="N223">
        <v>3.4100268523030934E-2</v>
      </c>
      <c r="O223" t="s">
        <v>6</v>
      </c>
    </row>
    <row r="224" spans="2:15" x14ac:dyDescent="0.45">
      <c r="B224" t="s">
        <v>228</v>
      </c>
      <c r="C224" t="s">
        <v>29</v>
      </c>
      <c r="D224">
        <v>8.3476878556811338E-2</v>
      </c>
      <c r="E224" t="s">
        <v>6</v>
      </c>
      <c r="G224" t="s">
        <v>229</v>
      </c>
      <c r="H224" t="s">
        <v>29</v>
      </c>
      <c r="I224">
        <v>3.1898940085238206E-2</v>
      </c>
      <c r="J224" t="s">
        <v>6</v>
      </c>
      <c r="L224" t="s">
        <v>230</v>
      </c>
      <c r="M224" t="s">
        <v>29</v>
      </c>
      <c r="N224">
        <v>3.4853179240228814E-2</v>
      </c>
      <c r="O224" t="s">
        <v>6</v>
      </c>
    </row>
    <row r="225" spans="2:15" x14ac:dyDescent="0.45">
      <c r="B225" t="s">
        <v>228</v>
      </c>
      <c r="C225" t="s">
        <v>30</v>
      </c>
      <c r="D225">
        <v>3.6365010764174185E-2</v>
      </c>
      <c r="E225" t="s">
        <v>6</v>
      </c>
      <c r="G225" t="s">
        <v>229</v>
      </c>
      <c r="H225" t="s">
        <v>30</v>
      </c>
      <c r="I225">
        <v>3.1937024511908926E-2</v>
      </c>
      <c r="J225" t="s">
        <v>6</v>
      </c>
      <c r="L225" t="s">
        <v>230</v>
      </c>
      <c r="M225" t="s">
        <v>30</v>
      </c>
      <c r="N225">
        <v>3.4387981581263626E-2</v>
      </c>
      <c r="O225" t="s">
        <v>6</v>
      </c>
    </row>
    <row r="226" spans="2:15" x14ac:dyDescent="0.45">
      <c r="B226" t="s">
        <v>228</v>
      </c>
      <c r="C226" t="s">
        <v>31</v>
      </c>
      <c r="D226">
        <v>9.1134746884174273E-4</v>
      </c>
      <c r="E226" t="s">
        <v>6</v>
      </c>
      <c r="G226" t="s">
        <v>229</v>
      </c>
      <c r="H226" t="s">
        <v>31</v>
      </c>
      <c r="I226">
        <v>3.3881935809792714E-2</v>
      </c>
      <c r="J226" t="s">
        <v>6</v>
      </c>
      <c r="L226" t="s">
        <v>230</v>
      </c>
      <c r="M226" t="s">
        <v>31</v>
      </c>
      <c r="N226">
        <v>3.297286232879694E-2</v>
      </c>
      <c r="O226" t="s">
        <v>6</v>
      </c>
    </row>
    <row r="227" spans="2:15" x14ac:dyDescent="0.45">
      <c r="B227" t="s">
        <v>231</v>
      </c>
      <c r="C227" t="s">
        <v>5</v>
      </c>
      <c r="D227">
        <v>0</v>
      </c>
      <c r="E227" t="s">
        <v>6</v>
      </c>
      <c r="G227" t="s">
        <v>232</v>
      </c>
      <c r="H227" t="s">
        <v>5</v>
      </c>
      <c r="I227">
        <v>0.11257751598009036</v>
      </c>
      <c r="J227" t="s">
        <v>6</v>
      </c>
      <c r="L227" t="s">
        <v>233</v>
      </c>
      <c r="M227" t="s">
        <v>5</v>
      </c>
      <c r="N227">
        <v>0.11241008856197895</v>
      </c>
      <c r="O227" t="s">
        <v>6</v>
      </c>
    </row>
    <row r="228" spans="2:15" x14ac:dyDescent="0.45">
      <c r="B228" t="s">
        <v>231</v>
      </c>
      <c r="C228" t="s">
        <v>9</v>
      </c>
      <c r="D228">
        <v>0</v>
      </c>
      <c r="E228" t="s">
        <v>6</v>
      </c>
      <c r="G228" t="s">
        <v>232</v>
      </c>
      <c r="H228" t="s">
        <v>9</v>
      </c>
      <c r="I228">
        <v>5.2875753771376481E-2</v>
      </c>
      <c r="J228" t="s">
        <v>6</v>
      </c>
      <c r="L228" t="s">
        <v>233</v>
      </c>
      <c r="M228" t="s">
        <v>9</v>
      </c>
      <c r="N228">
        <v>5.3796591170169869E-2</v>
      </c>
      <c r="O228" t="s">
        <v>6</v>
      </c>
    </row>
    <row r="229" spans="2:15" x14ac:dyDescent="0.45">
      <c r="B229" t="s">
        <v>231</v>
      </c>
      <c r="C229" t="s">
        <v>10</v>
      </c>
      <c r="D229">
        <v>1.8002880118733192E-2</v>
      </c>
      <c r="E229" t="s">
        <v>6</v>
      </c>
      <c r="G229" t="s">
        <v>232</v>
      </c>
      <c r="H229" t="s">
        <v>10</v>
      </c>
      <c r="I229">
        <v>4.0061012565484951E-2</v>
      </c>
      <c r="J229" t="s">
        <v>6</v>
      </c>
      <c r="L229" t="s">
        <v>233</v>
      </c>
      <c r="M229" t="s">
        <v>10</v>
      </c>
      <c r="N229">
        <v>3.8550502541597809E-2</v>
      </c>
      <c r="O229" t="s">
        <v>6</v>
      </c>
    </row>
    <row r="230" spans="2:15" x14ac:dyDescent="0.45">
      <c r="B230" t="s">
        <v>231</v>
      </c>
      <c r="C230" t="s">
        <v>11</v>
      </c>
      <c r="D230">
        <v>4.812109094768828E-2</v>
      </c>
      <c r="E230" t="s">
        <v>6</v>
      </c>
      <c r="G230" t="s">
        <v>232</v>
      </c>
      <c r="H230" t="s">
        <v>11</v>
      </c>
      <c r="I230">
        <v>4.1617559125130224E-2</v>
      </c>
      <c r="J230" t="s">
        <v>6</v>
      </c>
      <c r="L230" t="s">
        <v>233</v>
      </c>
      <c r="M230" t="s">
        <v>11</v>
      </c>
      <c r="N230">
        <v>3.8259132664883851E-2</v>
      </c>
      <c r="O230" t="s">
        <v>6</v>
      </c>
    </row>
    <row r="231" spans="2:15" x14ac:dyDescent="0.45">
      <c r="B231" t="s">
        <v>231</v>
      </c>
      <c r="C231" t="s">
        <v>12</v>
      </c>
      <c r="D231">
        <v>2.1301162952088244E-2</v>
      </c>
      <c r="E231" t="s">
        <v>6</v>
      </c>
      <c r="G231" t="s">
        <v>232</v>
      </c>
      <c r="H231" t="s">
        <v>12</v>
      </c>
      <c r="I231">
        <v>4.2003146811196913E-2</v>
      </c>
      <c r="J231" t="s">
        <v>6</v>
      </c>
      <c r="L231" t="s">
        <v>233</v>
      </c>
      <c r="M231" t="s">
        <v>12</v>
      </c>
      <c r="N231">
        <v>3.9000892890619039E-2</v>
      </c>
      <c r="O231" t="s">
        <v>6</v>
      </c>
    </row>
    <row r="232" spans="2:15" x14ac:dyDescent="0.45">
      <c r="B232" t="s">
        <v>231</v>
      </c>
      <c r="C232" t="s">
        <v>13</v>
      </c>
      <c r="D232">
        <v>2.3505891334903517E-4</v>
      </c>
      <c r="E232" t="s">
        <v>6</v>
      </c>
      <c r="G232" t="s">
        <v>232</v>
      </c>
      <c r="H232" t="s">
        <v>13</v>
      </c>
      <c r="I232">
        <v>4.2499524839785696E-2</v>
      </c>
      <c r="J232" t="s">
        <v>6</v>
      </c>
      <c r="L232" t="s">
        <v>233</v>
      </c>
      <c r="M232" t="s">
        <v>13</v>
      </c>
      <c r="N232">
        <v>4.0950955696666139E-2</v>
      </c>
      <c r="O232" t="s">
        <v>6</v>
      </c>
    </row>
    <row r="233" spans="2:15" x14ac:dyDescent="0.45">
      <c r="B233" t="s">
        <v>231</v>
      </c>
      <c r="C233" t="s">
        <v>14</v>
      </c>
      <c r="D233">
        <v>2.5561565517337973E-5</v>
      </c>
      <c r="E233" t="s">
        <v>6</v>
      </c>
      <c r="G233" t="s">
        <v>232</v>
      </c>
      <c r="H233" t="s">
        <v>14</v>
      </c>
      <c r="I233">
        <v>8.9925383846861898E-2</v>
      </c>
      <c r="J233" t="s">
        <v>6</v>
      </c>
      <c r="L233" t="s">
        <v>233</v>
      </c>
      <c r="M233" t="s">
        <v>14</v>
      </c>
      <c r="N233">
        <v>7.6561126171785357E-2</v>
      </c>
      <c r="O233" t="s">
        <v>6</v>
      </c>
    </row>
    <row r="234" spans="2:15" x14ac:dyDescent="0.45">
      <c r="B234" t="s">
        <v>231</v>
      </c>
      <c r="C234" t="s">
        <v>15</v>
      </c>
      <c r="D234">
        <v>1.6062533053170628E-2</v>
      </c>
      <c r="E234" t="s">
        <v>6</v>
      </c>
      <c r="G234" t="s">
        <v>232</v>
      </c>
      <c r="H234" t="s">
        <v>15</v>
      </c>
      <c r="I234">
        <v>4.5568573765016933E-2</v>
      </c>
      <c r="J234" t="s">
        <v>6</v>
      </c>
      <c r="L234" t="s">
        <v>233</v>
      </c>
      <c r="M234" t="s">
        <v>15</v>
      </c>
      <c r="N234">
        <v>3.5358142614690488E-2</v>
      </c>
      <c r="O234" t="s">
        <v>6</v>
      </c>
    </row>
    <row r="235" spans="2:15" x14ac:dyDescent="0.45">
      <c r="B235" t="s">
        <v>231</v>
      </c>
      <c r="C235" t="s">
        <v>16</v>
      </c>
      <c r="D235">
        <v>0.10073744706211649</v>
      </c>
      <c r="E235" t="s">
        <v>6</v>
      </c>
      <c r="G235" t="s">
        <v>232</v>
      </c>
      <c r="H235" t="s">
        <v>16</v>
      </c>
      <c r="I235">
        <v>3.7483224489431775E-2</v>
      </c>
      <c r="J235" t="s">
        <v>6</v>
      </c>
      <c r="L235" t="s">
        <v>233</v>
      </c>
      <c r="M235" t="s">
        <v>16</v>
      </c>
      <c r="N235">
        <v>2.9871310025543867E-2</v>
      </c>
      <c r="O235" t="s">
        <v>6</v>
      </c>
    </row>
    <row r="236" spans="2:15" x14ac:dyDescent="0.45">
      <c r="B236" t="s">
        <v>231</v>
      </c>
      <c r="C236" t="s">
        <v>17</v>
      </c>
      <c r="D236">
        <v>0.14275533405578941</v>
      </c>
      <c r="E236" t="s">
        <v>6</v>
      </c>
      <c r="G236" t="s">
        <v>232</v>
      </c>
      <c r="H236" t="s">
        <v>17</v>
      </c>
      <c r="I236">
        <v>3.8025622638222213E-2</v>
      </c>
      <c r="J236" t="s">
        <v>6</v>
      </c>
      <c r="L236" t="s">
        <v>233</v>
      </c>
      <c r="M236" t="s">
        <v>17</v>
      </c>
      <c r="N236">
        <v>3.2443923047605711E-2</v>
      </c>
      <c r="O236" t="s">
        <v>6</v>
      </c>
    </row>
    <row r="237" spans="2:15" x14ac:dyDescent="0.45">
      <c r="B237" t="s">
        <v>231</v>
      </c>
      <c r="C237" t="s">
        <v>18</v>
      </c>
      <c r="D237">
        <v>9.6571157023237056E-2</v>
      </c>
      <c r="E237" t="s">
        <v>6</v>
      </c>
      <c r="G237" t="s">
        <v>232</v>
      </c>
      <c r="H237" t="s">
        <v>18</v>
      </c>
      <c r="I237">
        <v>3.7253084000758552E-2</v>
      </c>
      <c r="J237" t="s">
        <v>6</v>
      </c>
      <c r="L237" t="s">
        <v>233</v>
      </c>
      <c r="M237" t="s">
        <v>18</v>
      </c>
      <c r="N237">
        <v>3.2318202214581267E-2</v>
      </c>
      <c r="O237" t="s">
        <v>6</v>
      </c>
    </row>
    <row r="238" spans="2:15" x14ac:dyDescent="0.45">
      <c r="B238" t="s">
        <v>231</v>
      </c>
      <c r="C238" t="s">
        <v>19</v>
      </c>
      <c r="D238">
        <v>1.5297713008287086E-2</v>
      </c>
      <c r="E238" t="s">
        <v>6</v>
      </c>
      <c r="G238" t="s">
        <v>232</v>
      </c>
      <c r="H238" t="s">
        <v>19</v>
      </c>
      <c r="I238">
        <v>3.3974050359415066E-2</v>
      </c>
      <c r="J238" t="s">
        <v>6</v>
      </c>
      <c r="L238" t="s">
        <v>233</v>
      </c>
      <c r="M238" t="s">
        <v>19</v>
      </c>
      <c r="N238">
        <v>3.0884381409277004E-2</v>
      </c>
      <c r="O238" t="s">
        <v>6</v>
      </c>
    </row>
    <row r="239" spans="2:15" x14ac:dyDescent="0.45">
      <c r="B239" t="s">
        <v>231</v>
      </c>
      <c r="C239" t="s">
        <v>20</v>
      </c>
      <c r="D239">
        <v>3.6506887634068098E-4</v>
      </c>
      <c r="E239" t="s">
        <v>6</v>
      </c>
      <c r="G239" t="s">
        <v>232</v>
      </c>
      <c r="H239" t="s">
        <v>20</v>
      </c>
      <c r="I239">
        <v>4.400310581603839E-2</v>
      </c>
      <c r="J239" t="s">
        <v>6</v>
      </c>
      <c r="L239" t="s">
        <v>233</v>
      </c>
      <c r="M239" t="s">
        <v>20</v>
      </c>
      <c r="N239">
        <v>4.9274846850531663E-2</v>
      </c>
      <c r="O239" t="s">
        <v>6</v>
      </c>
    </row>
    <row r="240" spans="2:15" x14ac:dyDescent="0.45">
      <c r="B240" t="s">
        <v>231</v>
      </c>
      <c r="C240" t="s">
        <v>21</v>
      </c>
      <c r="D240">
        <v>2.1436374978975384E-2</v>
      </c>
      <c r="E240" t="s">
        <v>6</v>
      </c>
      <c r="G240" t="s">
        <v>232</v>
      </c>
      <c r="H240" t="s">
        <v>21</v>
      </c>
      <c r="I240">
        <v>2.342505048456579E-2</v>
      </c>
      <c r="J240" t="s">
        <v>6</v>
      </c>
      <c r="L240" t="s">
        <v>233</v>
      </c>
      <c r="M240" t="s">
        <v>21</v>
      </c>
      <c r="N240">
        <v>2.6046939697719519E-2</v>
      </c>
      <c r="O240" t="s">
        <v>6</v>
      </c>
    </row>
    <row r="241" spans="2:15" x14ac:dyDescent="0.45">
      <c r="B241" t="s">
        <v>231</v>
      </c>
      <c r="C241" t="s">
        <v>22</v>
      </c>
      <c r="D241">
        <v>9.1926881897547261E-2</v>
      </c>
      <c r="E241" t="s">
        <v>6</v>
      </c>
      <c r="G241" t="s">
        <v>232</v>
      </c>
      <c r="H241" t="s">
        <v>22</v>
      </c>
      <c r="I241">
        <v>1.8760946574881369E-2</v>
      </c>
      <c r="J241" t="s">
        <v>6</v>
      </c>
      <c r="L241" t="s">
        <v>233</v>
      </c>
      <c r="M241" t="s">
        <v>22</v>
      </c>
      <c r="N241">
        <v>2.226667301932583E-2</v>
      </c>
      <c r="O241" t="s">
        <v>6</v>
      </c>
    </row>
    <row r="242" spans="2:15" x14ac:dyDescent="0.45">
      <c r="B242" t="s">
        <v>231</v>
      </c>
      <c r="C242" t="s">
        <v>23</v>
      </c>
      <c r="D242">
        <v>0.13273213084318461</v>
      </c>
      <c r="E242" t="s">
        <v>6</v>
      </c>
      <c r="G242" t="s">
        <v>232</v>
      </c>
      <c r="H242" t="s">
        <v>23</v>
      </c>
      <c r="I242">
        <v>1.9758488728026616E-2</v>
      </c>
      <c r="J242" t="s">
        <v>6</v>
      </c>
      <c r="L242" t="s">
        <v>233</v>
      </c>
      <c r="M242" t="s">
        <v>23</v>
      </c>
      <c r="N242">
        <v>2.4036385156854852E-2</v>
      </c>
      <c r="O242" t="s">
        <v>6</v>
      </c>
    </row>
    <row r="243" spans="2:15" x14ac:dyDescent="0.45">
      <c r="B243" t="s">
        <v>231</v>
      </c>
      <c r="C243" t="s">
        <v>24</v>
      </c>
      <c r="D243">
        <v>0.10051106467584897</v>
      </c>
      <c r="E243" t="s">
        <v>6</v>
      </c>
      <c r="G243" t="s">
        <v>232</v>
      </c>
      <c r="H243" t="s">
        <v>24</v>
      </c>
      <c r="I243">
        <v>1.9507365077259014E-2</v>
      </c>
      <c r="J243" t="s">
        <v>6</v>
      </c>
      <c r="L243" t="s">
        <v>233</v>
      </c>
      <c r="M243" t="s">
        <v>24</v>
      </c>
      <c r="N243">
        <v>2.3348542341702857E-2</v>
      </c>
      <c r="O243" t="s">
        <v>6</v>
      </c>
    </row>
    <row r="244" spans="2:15" x14ac:dyDescent="0.45">
      <c r="B244" t="s">
        <v>231</v>
      </c>
      <c r="C244" t="s">
        <v>25</v>
      </c>
      <c r="D244">
        <v>2.4713079621884976E-2</v>
      </c>
      <c r="E244" t="s">
        <v>6</v>
      </c>
      <c r="G244" t="s">
        <v>232</v>
      </c>
      <c r="H244" t="s">
        <v>25</v>
      </c>
      <c r="I244">
        <v>1.6819895632586037E-2</v>
      </c>
      <c r="J244" t="s">
        <v>6</v>
      </c>
      <c r="L244" t="s">
        <v>233</v>
      </c>
      <c r="M244" t="s">
        <v>25</v>
      </c>
      <c r="N244">
        <v>2.0697908147324532E-2</v>
      </c>
      <c r="O244" t="s">
        <v>6</v>
      </c>
    </row>
    <row r="245" spans="2:15" x14ac:dyDescent="0.45">
      <c r="B245" t="s">
        <v>231</v>
      </c>
      <c r="C245" t="s">
        <v>26</v>
      </c>
      <c r="D245">
        <v>0</v>
      </c>
      <c r="E245" t="s">
        <v>6</v>
      </c>
      <c r="G245" t="s">
        <v>232</v>
      </c>
      <c r="H245" t="s">
        <v>26</v>
      </c>
      <c r="I245">
        <v>7.777122129591385E-2</v>
      </c>
      <c r="J245" t="s">
        <v>6</v>
      </c>
      <c r="L245" t="s">
        <v>233</v>
      </c>
      <c r="M245" t="s">
        <v>26</v>
      </c>
      <c r="N245">
        <v>8.9280464590483138E-2</v>
      </c>
      <c r="O245" t="s">
        <v>6</v>
      </c>
    </row>
    <row r="246" spans="2:15" x14ac:dyDescent="0.45">
      <c r="B246" t="s">
        <v>231</v>
      </c>
      <c r="C246" t="s">
        <v>27</v>
      </c>
      <c r="D246">
        <v>2.6431434341767745E-3</v>
      </c>
      <c r="E246" t="s">
        <v>6</v>
      </c>
      <c r="G246" t="s">
        <v>232</v>
      </c>
      <c r="H246" t="s">
        <v>27</v>
      </c>
      <c r="I246">
        <v>4.0961384186514363E-2</v>
      </c>
      <c r="J246" t="s">
        <v>6</v>
      </c>
      <c r="L246" t="s">
        <v>233</v>
      </c>
      <c r="M246" t="s">
        <v>27</v>
      </c>
      <c r="N246">
        <v>4.3900069663685808E-2</v>
      </c>
      <c r="O246" t="s">
        <v>6</v>
      </c>
    </row>
    <row r="247" spans="2:15" x14ac:dyDescent="0.45">
      <c r="B247" t="s">
        <v>231</v>
      </c>
      <c r="C247" t="s">
        <v>28</v>
      </c>
      <c r="D247">
        <v>4.5775599272626401E-2</v>
      </c>
      <c r="E247" t="s">
        <v>6</v>
      </c>
      <c r="G247" t="s">
        <v>232</v>
      </c>
      <c r="H247" t="s">
        <v>28</v>
      </c>
      <c r="I247">
        <v>3.2867377294263984E-2</v>
      </c>
      <c r="J247" t="s">
        <v>6</v>
      </c>
      <c r="L247" t="s">
        <v>233</v>
      </c>
      <c r="M247" t="s">
        <v>28</v>
      </c>
      <c r="N247">
        <v>3.4504761371842906E-2</v>
      </c>
      <c r="O247" t="s">
        <v>6</v>
      </c>
    </row>
    <row r="248" spans="2:15" x14ac:dyDescent="0.45">
      <c r="B248" t="s">
        <v>231</v>
      </c>
      <c r="C248" t="s">
        <v>29</v>
      </c>
      <c r="D248">
        <v>7.8857878146226371E-2</v>
      </c>
      <c r="E248" t="s">
        <v>6</v>
      </c>
      <c r="G248" t="s">
        <v>232</v>
      </c>
      <c r="H248" t="s">
        <v>29</v>
      </c>
      <c r="I248">
        <v>3.2732973705949853E-2</v>
      </c>
      <c r="J248" t="s">
        <v>6</v>
      </c>
      <c r="L248" t="s">
        <v>233</v>
      </c>
      <c r="M248" t="s">
        <v>29</v>
      </c>
      <c r="N248">
        <v>3.638038122812675E-2</v>
      </c>
      <c r="O248" t="s">
        <v>6</v>
      </c>
    </row>
    <row r="249" spans="2:15" x14ac:dyDescent="0.45">
      <c r="B249" t="s">
        <v>231</v>
      </c>
      <c r="C249" t="s">
        <v>30</v>
      </c>
      <c r="D249">
        <v>4.0050531031987031E-2</v>
      </c>
      <c r="E249" t="s">
        <v>6</v>
      </c>
      <c r="G249" t="s">
        <v>232</v>
      </c>
      <c r="H249" t="s">
        <v>30</v>
      </c>
      <c r="I249">
        <v>3.0537771417179942E-2</v>
      </c>
      <c r="J249" t="s">
        <v>6</v>
      </c>
      <c r="L249" t="s">
        <v>233</v>
      </c>
      <c r="M249" t="s">
        <v>30</v>
      </c>
      <c r="N249">
        <v>3.5329207221323169E-2</v>
      </c>
      <c r="O249" t="s">
        <v>6</v>
      </c>
    </row>
    <row r="250" spans="2:15" x14ac:dyDescent="0.45">
      <c r="B250" t="s">
        <v>231</v>
      </c>
      <c r="C250" t="s">
        <v>31</v>
      </c>
      <c r="D250">
        <v>1.8783085212267809E-3</v>
      </c>
      <c r="E250" t="s">
        <v>6</v>
      </c>
      <c r="G250" t="s">
        <v>232</v>
      </c>
      <c r="H250" t="s">
        <v>31</v>
      </c>
      <c r="I250">
        <v>2.898996759405064E-2</v>
      </c>
      <c r="J250" t="s">
        <v>6</v>
      </c>
      <c r="L250" t="s">
        <v>233</v>
      </c>
      <c r="M250" t="s">
        <v>31</v>
      </c>
      <c r="N250">
        <v>3.4528571701676974E-2</v>
      </c>
      <c r="O250" t="s">
        <v>6</v>
      </c>
    </row>
    <row r="251" spans="2:15" x14ac:dyDescent="0.45">
      <c r="B251" t="s">
        <v>234</v>
      </c>
      <c r="C251" t="s">
        <v>5</v>
      </c>
      <c r="D251">
        <v>0</v>
      </c>
      <c r="E251" t="s">
        <v>6</v>
      </c>
      <c r="G251" t="s">
        <v>235</v>
      </c>
      <c r="H251" t="s">
        <v>5</v>
      </c>
      <c r="I251">
        <v>0.10717730908742633</v>
      </c>
      <c r="J251" t="s">
        <v>6</v>
      </c>
      <c r="L251" t="s">
        <v>236</v>
      </c>
      <c r="M251" t="s">
        <v>5</v>
      </c>
      <c r="N251">
        <v>0.10612506932374452</v>
      </c>
      <c r="O251" t="s">
        <v>6</v>
      </c>
    </row>
    <row r="252" spans="2:15" x14ac:dyDescent="0.45">
      <c r="B252" t="s">
        <v>234</v>
      </c>
      <c r="C252" t="s">
        <v>9</v>
      </c>
      <c r="D252">
        <v>0</v>
      </c>
      <c r="E252" t="s">
        <v>6</v>
      </c>
      <c r="G252" t="s">
        <v>235</v>
      </c>
      <c r="H252" t="s">
        <v>9</v>
      </c>
      <c r="I252">
        <v>5.2155884931786342E-2</v>
      </c>
      <c r="J252" t="s">
        <v>6</v>
      </c>
      <c r="L252" t="s">
        <v>236</v>
      </c>
      <c r="M252" t="s">
        <v>9</v>
      </c>
      <c r="N252">
        <v>5.1861659286976988E-2</v>
      </c>
      <c r="O252" t="s">
        <v>6</v>
      </c>
    </row>
    <row r="253" spans="2:15" x14ac:dyDescent="0.45">
      <c r="B253" t="s">
        <v>234</v>
      </c>
      <c r="C253" t="s">
        <v>10</v>
      </c>
      <c r="D253">
        <v>2.0748860574661406E-2</v>
      </c>
      <c r="E253" t="s">
        <v>6</v>
      </c>
      <c r="G253" t="s">
        <v>235</v>
      </c>
      <c r="H253" t="s">
        <v>10</v>
      </c>
      <c r="I253">
        <v>3.8852590260827616E-2</v>
      </c>
      <c r="J253" t="s">
        <v>6</v>
      </c>
      <c r="L253" t="s">
        <v>236</v>
      </c>
      <c r="M253" t="s">
        <v>10</v>
      </c>
      <c r="N253">
        <v>3.8066758549302283E-2</v>
      </c>
      <c r="O253" t="s">
        <v>6</v>
      </c>
    </row>
    <row r="254" spans="2:15" x14ac:dyDescent="0.45">
      <c r="B254" t="s">
        <v>234</v>
      </c>
      <c r="C254" t="s">
        <v>11</v>
      </c>
      <c r="D254">
        <v>5.3103624738977978E-2</v>
      </c>
      <c r="E254" t="s">
        <v>6</v>
      </c>
      <c r="G254" t="s">
        <v>235</v>
      </c>
      <c r="H254" t="s">
        <v>11</v>
      </c>
      <c r="I254">
        <v>3.8754789857445703E-2</v>
      </c>
      <c r="J254" t="s">
        <v>6</v>
      </c>
      <c r="L254" t="s">
        <v>236</v>
      </c>
      <c r="M254" t="s">
        <v>11</v>
      </c>
      <c r="N254">
        <v>3.7553879720544463E-2</v>
      </c>
      <c r="O254" t="s">
        <v>6</v>
      </c>
    </row>
    <row r="255" spans="2:15" x14ac:dyDescent="0.45">
      <c r="B255" t="s">
        <v>234</v>
      </c>
      <c r="C255" t="s">
        <v>12</v>
      </c>
      <c r="D255">
        <v>2.1501473703052543E-2</v>
      </c>
      <c r="E255" t="s">
        <v>6</v>
      </c>
      <c r="G255" t="s">
        <v>235</v>
      </c>
      <c r="H255" t="s">
        <v>12</v>
      </c>
      <c r="I255">
        <v>3.8991998376975888E-2</v>
      </c>
      <c r="J255" t="s">
        <v>6</v>
      </c>
      <c r="L255" t="s">
        <v>236</v>
      </c>
      <c r="M255" t="s">
        <v>12</v>
      </c>
      <c r="N255">
        <v>3.7775997348872728E-2</v>
      </c>
      <c r="O255" t="s">
        <v>6</v>
      </c>
    </row>
    <row r="256" spans="2:15" x14ac:dyDescent="0.45">
      <c r="B256" t="s">
        <v>234</v>
      </c>
      <c r="C256" t="s">
        <v>13</v>
      </c>
      <c r="D256">
        <v>2.0501429613979004E-4</v>
      </c>
      <c r="E256" t="s">
        <v>6</v>
      </c>
      <c r="G256" t="s">
        <v>235</v>
      </c>
      <c r="H256" t="s">
        <v>13</v>
      </c>
      <c r="I256">
        <v>4.0004206944086941E-2</v>
      </c>
      <c r="J256" t="s">
        <v>6</v>
      </c>
      <c r="L256" t="s">
        <v>236</v>
      </c>
      <c r="M256" t="s">
        <v>13</v>
      </c>
      <c r="N256">
        <v>3.9280916359964044E-2</v>
      </c>
      <c r="O256" t="s">
        <v>6</v>
      </c>
    </row>
    <row r="257" spans="2:15" x14ac:dyDescent="0.45">
      <c r="B257" t="s">
        <v>234</v>
      </c>
      <c r="C257" t="s">
        <v>14</v>
      </c>
      <c r="D257">
        <v>3.3328410446796989E-5</v>
      </c>
      <c r="E257" t="s">
        <v>6</v>
      </c>
      <c r="G257" t="s">
        <v>235</v>
      </c>
      <c r="H257" t="s">
        <v>14</v>
      </c>
      <c r="I257">
        <v>8.9899254070255272E-2</v>
      </c>
      <c r="J257" t="s">
        <v>6</v>
      </c>
      <c r="L257" t="s">
        <v>236</v>
      </c>
      <c r="M257" t="s">
        <v>14</v>
      </c>
      <c r="N257">
        <v>9.2518806543557652E-2</v>
      </c>
      <c r="O257" t="s">
        <v>6</v>
      </c>
    </row>
    <row r="258" spans="2:15" x14ac:dyDescent="0.45">
      <c r="B258" t="s">
        <v>234</v>
      </c>
      <c r="C258" t="s">
        <v>15</v>
      </c>
      <c r="D258">
        <v>1.7642156025763477E-2</v>
      </c>
      <c r="E258" t="s">
        <v>6</v>
      </c>
      <c r="G258" t="s">
        <v>235</v>
      </c>
      <c r="H258" t="s">
        <v>15</v>
      </c>
      <c r="I258">
        <v>4.4506408155473048E-2</v>
      </c>
      <c r="J258" t="s">
        <v>6</v>
      </c>
      <c r="L258" t="s">
        <v>236</v>
      </c>
      <c r="M258" t="s">
        <v>15</v>
      </c>
      <c r="N258">
        <v>4.5867152440510359E-2</v>
      </c>
      <c r="O258" t="s">
        <v>6</v>
      </c>
    </row>
    <row r="259" spans="2:15" x14ac:dyDescent="0.45">
      <c r="B259" t="s">
        <v>234</v>
      </c>
      <c r="C259" t="s">
        <v>16</v>
      </c>
      <c r="D259">
        <v>0.10467933789352803</v>
      </c>
      <c r="E259" t="s">
        <v>6</v>
      </c>
      <c r="G259" t="s">
        <v>235</v>
      </c>
      <c r="H259" t="s">
        <v>16</v>
      </c>
      <c r="I259">
        <v>3.4065250834058897E-2</v>
      </c>
      <c r="J259" t="s">
        <v>6</v>
      </c>
      <c r="L259" t="s">
        <v>236</v>
      </c>
      <c r="M259" t="s">
        <v>16</v>
      </c>
      <c r="N259">
        <v>3.4345638014987558E-2</v>
      </c>
      <c r="O259" t="s">
        <v>6</v>
      </c>
    </row>
    <row r="260" spans="2:15" x14ac:dyDescent="0.45">
      <c r="B260" t="s">
        <v>234</v>
      </c>
      <c r="C260" t="s">
        <v>17</v>
      </c>
      <c r="D260">
        <v>0.14877948768777674</v>
      </c>
      <c r="E260" t="s">
        <v>6</v>
      </c>
      <c r="G260" t="s">
        <v>235</v>
      </c>
      <c r="H260" t="s">
        <v>17</v>
      </c>
      <c r="I260">
        <v>3.3952350072911322E-2</v>
      </c>
      <c r="J260" t="s">
        <v>6</v>
      </c>
      <c r="L260" t="s">
        <v>236</v>
      </c>
      <c r="M260" t="s">
        <v>17</v>
      </c>
      <c r="N260">
        <v>3.3332315638046568E-2</v>
      </c>
      <c r="O260" t="s">
        <v>6</v>
      </c>
    </row>
    <row r="261" spans="2:15" x14ac:dyDescent="0.45">
      <c r="B261" t="s">
        <v>234</v>
      </c>
      <c r="C261" t="s">
        <v>18</v>
      </c>
      <c r="D261">
        <v>0.10000587378483389</v>
      </c>
      <c r="E261" t="s">
        <v>6</v>
      </c>
      <c r="G261" t="s">
        <v>235</v>
      </c>
      <c r="H261" t="s">
        <v>18</v>
      </c>
      <c r="I261">
        <v>3.3779207061056554E-2</v>
      </c>
      <c r="J261" t="s">
        <v>6</v>
      </c>
      <c r="L261" t="s">
        <v>236</v>
      </c>
      <c r="M261" t="s">
        <v>18</v>
      </c>
      <c r="N261">
        <v>3.2629262279642267E-2</v>
      </c>
      <c r="O261" t="s">
        <v>6</v>
      </c>
    </row>
    <row r="262" spans="2:15" x14ac:dyDescent="0.45">
      <c r="B262" t="s">
        <v>234</v>
      </c>
      <c r="C262" t="s">
        <v>19</v>
      </c>
      <c r="D262">
        <v>1.5172157572161565E-2</v>
      </c>
      <c r="E262" t="s">
        <v>6</v>
      </c>
      <c r="G262" t="s">
        <v>235</v>
      </c>
      <c r="H262" t="s">
        <v>19</v>
      </c>
      <c r="I262">
        <v>3.3749323176501596E-2</v>
      </c>
      <c r="J262" t="s">
        <v>6</v>
      </c>
      <c r="L262" t="s">
        <v>236</v>
      </c>
      <c r="M262" t="s">
        <v>19</v>
      </c>
      <c r="N262">
        <v>3.3185987072695822E-2</v>
      </c>
      <c r="O262" t="s">
        <v>6</v>
      </c>
    </row>
    <row r="263" spans="2:15" x14ac:dyDescent="0.45">
      <c r="B263" t="s">
        <v>234</v>
      </c>
      <c r="C263" t="s">
        <v>20</v>
      </c>
      <c r="D263">
        <v>3.6786718933239858E-4</v>
      </c>
      <c r="E263" t="s">
        <v>6</v>
      </c>
      <c r="G263" t="s">
        <v>235</v>
      </c>
      <c r="H263" t="s">
        <v>20</v>
      </c>
      <c r="I263">
        <v>5.0535979232164054E-2</v>
      </c>
      <c r="J263" t="s">
        <v>6</v>
      </c>
      <c r="L263" t="s">
        <v>236</v>
      </c>
      <c r="M263" t="s">
        <v>20</v>
      </c>
      <c r="N263">
        <v>5.2354245039571347E-2</v>
      </c>
      <c r="O263" t="s">
        <v>6</v>
      </c>
    </row>
    <row r="264" spans="2:15" x14ac:dyDescent="0.45">
      <c r="B264" t="s">
        <v>234</v>
      </c>
      <c r="C264" t="s">
        <v>21</v>
      </c>
      <c r="D264">
        <v>2.202037972967507E-2</v>
      </c>
      <c r="E264" t="s">
        <v>6</v>
      </c>
      <c r="G264" t="s">
        <v>235</v>
      </c>
      <c r="H264" t="s">
        <v>21</v>
      </c>
      <c r="I264">
        <v>2.5809396940155323E-2</v>
      </c>
      <c r="J264" t="s">
        <v>6</v>
      </c>
      <c r="L264" t="s">
        <v>236</v>
      </c>
      <c r="M264" t="s">
        <v>21</v>
      </c>
      <c r="N264">
        <v>2.4889162239422152E-2</v>
      </c>
      <c r="O264" t="s">
        <v>6</v>
      </c>
    </row>
    <row r="265" spans="2:15" x14ac:dyDescent="0.45">
      <c r="B265" t="s">
        <v>234</v>
      </c>
      <c r="C265" t="s">
        <v>22</v>
      </c>
      <c r="D265">
        <v>8.9013920750736414E-2</v>
      </c>
      <c r="E265" t="s">
        <v>6</v>
      </c>
      <c r="G265" t="s">
        <v>235</v>
      </c>
      <c r="H265" t="s">
        <v>22</v>
      </c>
      <c r="I265">
        <v>1.9109331070175779E-2</v>
      </c>
      <c r="J265" t="s">
        <v>6</v>
      </c>
      <c r="L265" t="s">
        <v>236</v>
      </c>
      <c r="M265" t="s">
        <v>22</v>
      </c>
      <c r="N265">
        <v>1.7787289141202377E-2</v>
      </c>
      <c r="O265" t="s">
        <v>6</v>
      </c>
    </row>
    <row r="266" spans="2:15" x14ac:dyDescent="0.45">
      <c r="B266" t="s">
        <v>234</v>
      </c>
      <c r="C266" t="s">
        <v>23</v>
      </c>
      <c r="D266">
        <v>0.12848325153502335</v>
      </c>
      <c r="E266" t="s">
        <v>6</v>
      </c>
      <c r="G266" t="s">
        <v>235</v>
      </c>
      <c r="H266" t="s">
        <v>23</v>
      </c>
      <c r="I266">
        <v>1.9175238303231566E-2</v>
      </c>
      <c r="J266" t="s">
        <v>6</v>
      </c>
      <c r="L266" t="s">
        <v>236</v>
      </c>
      <c r="M266" t="s">
        <v>23</v>
      </c>
      <c r="N266">
        <v>1.8564867081659345E-2</v>
      </c>
      <c r="O266" t="s">
        <v>6</v>
      </c>
    </row>
    <row r="267" spans="2:15" x14ac:dyDescent="0.45">
      <c r="B267" t="s">
        <v>234</v>
      </c>
      <c r="C267" t="s">
        <v>24</v>
      </c>
      <c r="D267">
        <v>9.6711798025065451E-2</v>
      </c>
      <c r="E267" t="s">
        <v>6</v>
      </c>
      <c r="G267" t="s">
        <v>235</v>
      </c>
      <c r="H267" t="s">
        <v>24</v>
      </c>
      <c r="I267">
        <v>1.9646092853120724E-2</v>
      </c>
      <c r="J267" t="s">
        <v>6</v>
      </c>
      <c r="L267" t="s">
        <v>236</v>
      </c>
      <c r="M267" t="s">
        <v>24</v>
      </c>
      <c r="N267">
        <v>1.9832951946705788E-2</v>
      </c>
      <c r="O267" t="s">
        <v>6</v>
      </c>
    </row>
    <row r="268" spans="2:15" x14ac:dyDescent="0.45">
      <c r="B268" t="s">
        <v>234</v>
      </c>
      <c r="C268" t="s">
        <v>25</v>
      </c>
      <c r="D268">
        <v>2.3200510882734476E-2</v>
      </c>
      <c r="E268" t="s">
        <v>6</v>
      </c>
      <c r="G268" t="s">
        <v>235</v>
      </c>
      <c r="H268" t="s">
        <v>25</v>
      </c>
      <c r="I268">
        <v>1.9316770215654009E-2</v>
      </c>
      <c r="J268" t="s">
        <v>6</v>
      </c>
      <c r="L268" t="s">
        <v>236</v>
      </c>
      <c r="M268" t="s">
        <v>25</v>
      </c>
      <c r="N268">
        <v>2.0463506318506339E-2</v>
      </c>
      <c r="O268" t="s">
        <v>6</v>
      </c>
    </row>
    <row r="269" spans="2:15" x14ac:dyDescent="0.45">
      <c r="B269" t="s">
        <v>234</v>
      </c>
      <c r="C269" t="s">
        <v>26</v>
      </c>
      <c r="D269">
        <v>0</v>
      </c>
      <c r="E269" t="s">
        <v>6</v>
      </c>
      <c r="G269" t="s">
        <v>235</v>
      </c>
      <c r="H269" t="s">
        <v>26</v>
      </c>
      <c r="I269">
        <v>8.6154477377687971E-2</v>
      </c>
      <c r="J269" t="s">
        <v>6</v>
      </c>
      <c r="L269" t="s">
        <v>236</v>
      </c>
      <c r="M269" t="s">
        <v>26</v>
      </c>
      <c r="N269">
        <v>8.865104393251054E-2</v>
      </c>
      <c r="O269" t="s">
        <v>6</v>
      </c>
    </row>
    <row r="270" spans="2:15" x14ac:dyDescent="0.45">
      <c r="B270" t="s">
        <v>234</v>
      </c>
      <c r="C270" t="s">
        <v>27</v>
      </c>
      <c r="D270">
        <v>2.8840590771973666E-3</v>
      </c>
      <c r="E270" t="s">
        <v>6</v>
      </c>
      <c r="G270" t="s">
        <v>235</v>
      </c>
      <c r="H270" t="s">
        <v>27</v>
      </c>
      <c r="I270">
        <v>4.354495991320885E-2</v>
      </c>
      <c r="J270" t="s">
        <v>6</v>
      </c>
      <c r="L270" t="s">
        <v>236</v>
      </c>
      <c r="M270" t="s">
        <v>27</v>
      </c>
      <c r="N270">
        <v>4.3628717188745988E-2</v>
      </c>
      <c r="O270" t="s">
        <v>6</v>
      </c>
    </row>
    <row r="271" spans="2:15" x14ac:dyDescent="0.45">
      <c r="B271" t="s">
        <v>234</v>
      </c>
      <c r="C271" t="s">
        <v>28</v>
      </c>
      <c r="D271">
        <v>4.3343388910275095E-2</v>
      </c>
      <c r="E271" t="s">
        <v>6</v>
      </c>
      <c r="G271" t="s">
        <v>235</v>
      </c>
      <c r="H271" t="s">
        <v>28</v>
      </c>
      <c r="I271">
        <v>3.3355975075820686E-2</v>
      </c>
      <c r="J271" t="s">
        <v>6</v>
      </c>
      <c r="L271" t="s">
        <v>236</v>
      </c>
      <c r="M271" t="s">
        <v>28</v>
      </c>
      <c r="N271">
        <v>3.3260655758814199E-2</v>
      </c>
      <c r="O271" t="s">
        <v>6</v>
      </c>
    </row>
    <row r="272" spans="2:15" x14ac:dyDescent="0.45">
      <c r="B272" t="s">
        <v>234</v>
      </c>
      <c r="C272" t="s">
        <v>29</v>
      </c>
      <c r="D272">
        <v>7.4446326933824539E-2</v>
      </c>
      <c r="E272" t="s">
        <v>6</v>
      </c>
      <c r="G272" t="s">
        <v>235</v>
      </c>
      <c r="H272" t="s">
        <v>29</v>
      </c>
      <c r="I272">
        <v>3.2770075882905009E-2</v>
      </c>
      <c r="J272" t="s">
        <v>6</v>
      </c>
      <c r="L272" t="s">
        <v>236</v>
      </c>
      <c r="M272" t="s">
        <v>29</v>
      </c>
      <c r="N272">
        <v>3.2708886965935324E-2</v>
      </c>
      <c r="O272" t="s">
        <v>6</v>
      </c>
    </row>
    <row r="273" spans="2:15" x14ac:dyDescent="0.45">
      <c r="B273" t="s">
        <v>234</v>
      </c>
      <c r="C273" t="s">
        <v>30</v>
      </c>
      <c r="D273">
        <v>3.598417921323456E-2</v>
      </c>
      <c r="E273" t="s">
        <v>6</v>
      </c>
      <c r="G273" t="s">
        <v>235</v>
      </c>
      <c r="H273" t="s">
        <v>30</v>
      </c>
      <c r="I273">
        <v>3.2210490437978162E-2</v>
      </c>
      <c r="J273" t="s">
        <v>6</v>
      </c>
      <c r="L273" t="s">
        <v>236</v>
      </c>
      <c r="M273" t="s">
        <v>30</v>
      </c>
      <c r="N273">
        <v>3.217854463638594E-2</v>
      </c>
      <c r="O273" t="s">
        <v>6</v>
      </c>
    </row>
    <row r="274" spans="2:15" x14ac:dyDescent="0.45">
      <c r="B274" t="s">
        <v>234</v>
      </c>
      <c r="C274" t="s">
        <v>31</v>
      </c>
      <c r="D274">
        <v>1.6730030655606025E-3</v>
      </c>
      <c r="E274" t="s">
        <v>6</v>
      </c>
      <c r="G274" t="s">
        <v>235</v>
      </c>
      <c r="H274" t="s">
        <v>31</v>
      </c>
      <c r="I274">
        <v>3.2482639869093229E-2</v>
      </c>
      <c r="J274" t="s">
        <v>6</v>
      </c>
      <c r="L274" t="s">
        <v>236</v>
      </c>
      <c r="M274" t="s">
        <v>31</v>
      </c>
      <c r="N274">
        <v>3.3136687171693213E-2</v>
      </c>
      <c r="O274" t="s">
        <v>6</v>
      </c>
    </row>
    <row r="275" spans="2:15" x14ac:dyDescent="0.45">
      <c r="B275" t="s">
        <v>237</v>
      </c>
      <c r="C275" t="s">
        <v>5</v>
      </c>
      <c r="D275">
        <v>0</v>
      </c>
      <c r="E275" t="s">
        <v>6</v>
      </c>
      <c r="G275" t="s">
        <v>238</v>
      </c>
      <c r="H275" t="s">
        <v>5</v>
      </c>
      <c r="I275">
        <v>0.10674951638983977</v>
      </c>
      <c r="J275" t="s">
        <v>6</v>
      </c>
      <c r="L275" t="s">
        <v>239</v>
      </c>
      <c r="M275" t="s">
        <v>5</v>
      </c>
      <c r="N275">
        <v>0.10777914147317541</v>
      </c>
      <c r="O275" t="s">
        <v>6</v>
      </c>
    </row>
    <row r="276" spans="2:15" x14ac:dyDescent="0.45">
      <c r="B276" t="s">
        <v>237</v>
      </c>
      <c r="C276" t="s">
        <v>9</v>
      </c>
      <c r="D276">
        <v>6.7036119061060151E-5</v>
      </c>
      <c r="E276" t="s">
        <v>6</v>
      </c>
      <c r="G276" t="s">
        <v>238</v>
      </c>
      <c r="H276" t="s">
        <v>9</v>
      </c>
      <c r="I276">
        <v>5.2384575090869849E-2</v>
      </c>
      <c r="J276" t="s">
        <v>6</v>
      </c>
      <c r="L276" t="s">
        <v>239</v>
      </c>
      <c r="M276" t="s">
        <v>9</v>
      </c>
      <c r="N276">
        <v>5.2702151559475614E-2</v>
      </c>
      <c r="O276" t="s">
        <v>6</v>
      </c>
    </row>
    <row r="277" spans="2:15" x14ac:dyDescent="0.45">
      <c r="B277" t="s">
        <v>237</v>
      </c>
      <c r="C277" t="s">
        <v>10</v>
      </c>
      <c r="D277">
        <v>2.3814271995006454E-2</v>
      </c>
      <c r="E277" t="s">
        <v>6</v>
      </c>
      <c r="G277" t="s">
        <v>238</v>
      </c>
      <c r="H277" t="s">
        <v>10</v>
      </c>
      <c r="I277">
        <v>3.942040973678114E-2</v>
      </c>
      <c r="J277" t="s">
        <v>6</v>
      </c>
      <c r="L277" t="s">
        <v>239</v>
      </c>
      <c r="M277" t="s">
        <v>10</v>
      </c>
      <c r="N277">
        <v>3.8919993347260887E-2</v>
      </c>
      <c r="O277" t="s">
        <v>6</v>
      </c>
    </row>
    <row r="278" spans="2:15" x14ac:dyDescent="0.45">
      <c r="B278" t="s">
        <v>237</v>
      </c>
      <c r="C278" t="s">
        <v>11</v>
      </c>
      <c r="D278">
        <v>5.5539560842890821E-2</v>
      </c>
      <c r="E278" t="s">
        <v>6</v>
      </c>
      <c r="G278" t="s">
        <v>238</v>
      </c>
      <c r="H278" t="s">
        <v>11</v>
      </c>
      <c r="I278">
        <v>3.9075571176870841E-2</v>
      </c>
      <c r="J278" t="s">
        <v>6</v>
      </c>
      <c r="L278" t="s">
        <v>239</v>
      </c>
      <c r="M278" t="s">
        <v>11</v>
      </c>
      <c r="N278">
        <v>3.8745489421863538E-2</v>
      </c>
      <c r="O278" t="s">
        <v>6</v>
      </c>
    </row>
    <row r="279" spans="2:15" x14ac:dyDescent="0.45">
      <c r="B279" t="s">
        <v>237</v>
      </c>
      <c r="C279" t="s">
        <v>12</v>
      </c>
      <c r="D279">
        <v>1.9304432320264232E-2</v>
      </c>
      <c r="E279" t="s">
        <v>6</v>
      </c>
      <c r="G279" t="s">
        <v>238</v>
      </c>
      <c r="H279" t="s">
        <v>12</v>
      </c>
      <c r="I279">
        <v>3.8731754999073845E-2</v>
      </c>
      <c r="J279" t="s">
        <v>6</v>
      </c>
      <c r="L279" t="s">
        <v>239</v>
      </c>
      <c r="M279" t="s">
        <v>12</v>
      </c>
      <c r="N279">
        <v>3.9238773078378683E-2</v>
      </c>
      <c r="O279" t="s">
        <v>6</v>
      </c>
    </row>
    <row r="280" spans="2:15" x14ac:dyDescent="0.45">
      <c r="B280" t="s">
        <v>237</v>
      </c>
      <c r="C280" t="s">
        <v>13</v>
      </c>
      <c r="D280">
        <v>0</v>
      </c>
      <c r="E280" t="s">
        <v>6</v>
      </c>
      <c r="G280" t="s">
        <v>238</v>
      </c>
      <c r="H280" t="s">
        <v>13</v>
      </c>
      <c r="I280">
        <v>4.0149770437245921E-2</v>
      </c>
      <c r="J280" t="s">
        <v>6</v>
      </c>
      <c r="L280" t="s">
        <v>239</v>
      </c>
      <c r="M280" t="s">
        <v>13</v>
      </c>
      <c r="N280">
        <v>4.0238323786351393E-2</v>
      </c>
      <c r="O280" t="s">
        <v>6</v>
      </c>
    </row>
    <row r="281" spans="2:15" x14ac:dyDescent="0.45">
      <c r="B281" t="s">
        <v>237</v>
      </c>
      <c r="C281" t="s">
        <v>14</v>
      </c>
      <c r="D281">
        <v>1.889345933794233E-5</v>
      </c>
      <c r="E281" t="s">
        <v>6</v>
      </c>
      <c r="G281" t="s">
        <v>238</v>
      </c>
      <c r="H281" t="s">
        <v>14</v>
      </c>
      <c r="I281">
        <v>8.2136277506724933E-2</v>
      </c>
      <c r="J281" t="s">
        <v>6</v>
      </c>
      <c r="L281" t="s">
        <v>239</v>
      </c>
      <c r="M281" t="s">
        <v>14</v>
      </c>
      <c r="N281">
        <v>8.8924798124718138E-2</v>
      </c>
      <c r="O281" t="s">
        <v>6</v>
      </c>
    </row>
    <row r="282" spans="2:15" x14ac:dyDescent="0.45">
      <c r="B282" t="s">
        <v>237</v>
      </c>
      <c r="C282" t="s">
        <v>15</v>
      </c>
      <c r="D282">
        <v>2.2169516661264804E-2</v>
      </c>
      <c r="E282" t="s">
        <v>6</v>
      </c>
      <c r="G282" t="s">
        <v>238</v>
      </c>
      <c r="H282" t="s">
        <v>15</v>
      </c>
      <c r="I282">
        <v>4.3479430221146399E-2</v>
      </c>
      <c r="J282" t="s">
        <v>6</v>
      </c>
      <c r="L282" t="s">
        <v>239</v>
      </c>
      <c r="M282" t="s">
        <v>15</v>
      </c>
      <c r="N282">
        <v>4.3324483991490539E-2</v>
      </c>
      <c r="O282" t="s">
        <v>6</v>
      </c>
    </row>
    <row r="283" spans="2:15" x14ac:dyDescent="0.45">
      <c r="B283" t="s">
        <v>237</v>
      </c>
      <c r="C283" t="s">
        <v>16</v>
      </c>
      <c r="D283">
        <v>0.10866805611881994</v>
      </c>
      <c r="E283" t="s">
        <v>6</v>
      </c>
      <c r="G283" t="s">
        <v>238</v>
      </c>
      <c r="H283" t="s">
        <v>16</v>
      </c>
      <c r="I283">
        <v>3.456231560400734E-2</v>
      </c>
      <c r="J283" t="s">
        <v>6</v>
      </c>
      <c r="L283" t="s">
        <v>239</v>
      </c>
      <c r="M283" t="s">
        <v>16</v>
      </c>
      <c r="N283">
        <v>3.2793787992066621E-2</v>
      </c>
      <c r="O283" t="s">
        <v>6</v>
      </c>
    </row>
    <row r="284" spans="2:15" x14ac:dyDescent="0.45">
      <c r="B284" t="s">
        <v>237</v>
      </c>
      <c r="C284" t="s">
        <v>17</v>
      </c>
      <c r="D284">
        <v>0.14647611293153506</v>
      </c>
      <c r="E284" t="s">
        <v>6</v>
      </c>
      <c r="G284" t="s">
        <v>238</v>
      </c>
      <c r="H284" t="s">
        <v>17</v>
      </c>
      <c r="I284">
        <v>3.4063738400076461E-2</v>
      </c>
      <c r="J284" t="s">
        <v>6</v>
      </c>
      <c r="L284" t="s">
        <v>239</v>
      </c>
      <c r="M284" t="s">
        <v>17</v>
      </c>
      <c r="N284">
        <v>3.2956853346184811E-2</v>
      </c>
      <c r="O284" t="s">
        <v>6</v>
      </c>
    </row>
    <row r="285" spans="2:15" x14ac:dyDescent="0.45">
      <c r="B285" t="s">
        <v>237</v>
      </c>
      <c r="C285" t="s">
        <v>18</v>
      </c>
      <c r="D285">
        <v>9.3471693670206885E-2</v>
      </c>
      <c r="E285" t="s">
        <v>6</v>
      </c>
      <c r="G285" t="s">
        <v>238</v>
      </c>
      <c r="H285" t="s">
        <v>18</v>
      </c>
      <c r="I285">
        <v>3.3689158770724752E-2</v>
      </c>
      <c r="J285" t="s">
        <v>6</v>
      </c>
      <c r="L285" t="s">
        <v>239</v>
      </c>
      <c r="M285" t="s">
        <v>18</v>
      </c>
      <c r="N285">
        <v>3.3326917758104986E-2</v>
      </c>
      <c r="O285" t="s">
        <v>6</v>
      </c>
    </row>
    <row r="286" spans="2:15" x14ac:dyDescent="0.45">
      <c r="B286" t="s">
        <v>237</v>
      </c>
      <c r="C286" t="s">
        <v>19</v>
      </c>
      <c r="D286">
        <v>1.1498947696768697E-2</v>
      </c>
      <c r="E286" t="s">
        <v>6</v>
      </c>
      <c r="G286" t="s">
        <v>238</v>
      </c>
      <c r="H286" t="s">
        <v>19</v>
      </c>
      <c r="I286">
        <v>3.1181798867891377E-2</v>
      </c>
      <c r="J286" t="s">
        <v>6</v>
      </c>
      <c r="L286" t="s">
        <v>239</v>
      </c>
      <c r="M286" t="s">
        <v>19</v>
      </c>
      <c r="N286">
        <v>3.3849488112915598E-2</v>
      </c>
      <c r="O286" t="s">
        <v>6</v>
      </c>
    </row>
    <row r="287" spans="2:15" x14ac:dyDescent="0.45">
      <c r="B287" t="s">
        <v>237</v>
      </c>
      <c r="C287" t="s">
        <v>20</v>
      </c>
      <c r="D287">
        <v>2.6205166885370383E-4</v>
      </c>
      <c r="E287" t="s">
        <v>6</v>
      </c>
      <c r="G287" t="s">
        <v>238</v>
      </c>
      <c r="H287" t="s">
        <v>20</v>
      </c>
      <c r="I287">
        <v>4.5998797263641977E-2</v>
      </c>
      <c r="J287" t="s">
        <v>6</v>
      </c>
      <c r="L287" t="s">
        <v>239</v>
      </c>
      <c r="M287" t="s">
        <v>20</v>
      </c>
      <c r="N287">
        <v>4.997750779753328E-2</v>
      </c>
      <c r="O287" t="s">
        <v>6</v>
      </c>
    </row>
    <row r="288" spans="2:15" x14ac:dyDescent="0.45">
      <c r="B288" t="s">
        <v>237</v>
      </c>
      <c r="C288" t="s">
        <v>21</v>
      </c>
      <c r="D288">
        <v>2.8070246877946587E-2</v>
      </c>
      <c r="E288" t="s">
        <v>6</v>
      </c>
      <c r="G288" t="s">
        <v>238</v>
      </c>
      <c r="H288" t="s">
        <v>21</v>
      </c>
      <c r="I288">
        <v>2.1251387770241388E-2</v>
      </c>
      <c r="J288" t="s">
        <v>6</v>
      </c>
      <c r="L288" t="s">
        <v>239</v>
      </c>
      <c r="M288" t="s">
        <v>21</v>
      </c>
      <c r="N288">
        <v>2.5450058542466385E-2</v>
      </c>
      <c r="O288" t="s">
        <v>6</v>
      </c>
    </row>
    <row r="289" spans="2:15" x14ac:dyDescent="0.45">
      <c r="B289" t="s">
        <v>237</v>
      </c>
      <c r="C289" t="s">
        <v>22</v>
      </c>
      <c r="D289">
        <v>9.5377283424498804E-2</v>
      </c>
      <c r="E289" t="s">
        <v>6</v>
      </c>
      <c r="G289" t="s">
        <v>238</v>
      </c>
      <c r="H289" t="s">
        <v>22</v>
      </c>
      <c r="I289">
        <v>1.7472718439976321E-2</v>
      </c>
      <c r="J289" t="s">
        <v>6</v>
      </c>
      <c r="L289" t="s">
        <v>239</v>
      </c>
      <c r="M289" t="s">
        <v>22</v>
      </c>
      <c r="N289">
        <v>1.8887587002999029E-2</v>
      </c>
      <c r="O289" t="s">
        <v>6</v>
      </c>
    </row>
    <row r="290" spans="2:15" x14ac:dyDescent="0.45">
      <c r="B290" t="s">
        <v>237</v>
      </c>
      <c r="C290" t="s">
        <v>23</v>
      </c>
      <c r="D290">
        <v>0.12777005408705003</v>
      </c>
      <c r="E290" t="s">
        <v>6</v>
      </c>
      <c r="G290" t="s">
        <v>238</v>
      </c>
      <c r="H290" t="s">
        <v>23</v>
      </c>
      <c r="I290">
        <v>1.894535854689796E-2</v>
      </c>
      <c r="J290" t="s">
        <v>6</v>
      </c>
      <c r="L290" t="s">
        <v>239</v>
      </c>
      <c r="M290" t="s">
        <v>23</v>
      </c>
      <c r="N290">
        <v>1.8626727806265217E-2</v>
      </c>
      <c r="O290" t="s">
        <v>6</v>
      </c>
    </row>
    <row r="291" spans="2:15" x14ac:dyDescent="0.45">
      <c r="B291" t="s">
        <v>237</v>
      </c>
      <c r="C291" t="s">
        <v>24</v>
      </c>
      <c r="D291">
        <v>9.5014615712288045E-2</v>
      </c>
      <c r="E291" t="s">
        <v>6</v>
      </c>
      <c r="G291" t="s">
        <v>238</v>
      </c>
      <c r="H291" t="s">
        <v>24</v>
      </c>
      <c r="I291">
        <v>2.0929507298744453E-2</v>
      </c>
      <c r="J291" t="s">
        <v>6</v>
      </c>
      <c r="L291" t="s">
        <v>239</v>
      </c>
      <c r="M291" t="s">
        <v>24</v>
      </c>
      <c r="N291">
        <v>1.8982865015524517E-2</v>
      </c>
      <c r="O291" t="s">
        <v>6</v>
      </c>
    </row>
    <row r="292" spans="2:15" x14ac:dyDescent="0.45">
      <c r="B292" t="s">
        <v>237</v>
      </c>
      <c r="C292" t="s">
        <v>25</v>
      </c>
      <c r="D292">
        <v>1.9706905844423962E-2</v>
      </c>
      <c r="E292" t="s">
        <v>6</v>
      </c>
      <c r="G292" t="s">
        <v>238</v>
      </c>
      <c r="H292" t="s">
        <v>25</v>
      </c>
      <c r="I292">
        <v>1.925614883278208E-2</v>
      </c>
      <c r="J292" t="s">
        <v>6</v>
      </c>
      <c r="L292" t="s">
        <v>239</v>
      </c>
      <c r="M292" t="s">
        <v>25</v>
      </c>
      <c r="N292">
        <v>1.9005725925780776E-2</v>
      </c>
      <c r="O292" t="s">
        <v>6</v>
      </c>
    </row>
    <row r="293" spans="2:15" x14ac:dyDescent="0.45">
      <c r="B293" t="s">
        <v>237</v>
      </c>
      <c r="C293" t="s">
        <v>26</v>
      </c>
      <c r="D293">
        <v>0</v>
      </c>
      <c r="E293" t="s">
        <v>6</v>
      </c>
      <c r="G293" t="s">
        <v>238</v>
      </c>
      <c r="H293" t="s">
        <v>26</v>
      </c>
      <c r="I293">
        <v>9.4856508866638906E-2</v>
      </c>
      <c r="J293" t="s">
        <v>6</v>
      </c>
      <c r="L293" t="s">
        <v>239</v>
      </c>
      <c r="M293" t="s">
        <v>26</v>
      </c>
      <c r="N293">
        <v>8.8026077598743521E-2</v>
      </c>
      <c r="O293" t="s">
        <v>6</v>
      </c>
    </row>
    <row r="294" spans="2:15" x14ac:dyDescent="0.45">
      <c r="B294" t="s">
        <v>237</v>
      </c>
      <c r="C294" t="s">
        <v>27</v>
      </c>
      <c r="D294">
        <v>3.4871952473597865E-3</v>
      </c>
      <c r="E294" t="s">
        <v>6</v>
      </c>
      <c r="G294" t="s">
        <v>238</v>
      </c>
      <c r="H294" t="s">
        <v>27</v>
      </c>
      <c r="I294">
        <v>4.4350140617461765E-2</v>
      </c>
      <c r="J294" t="s">
        <v>6</v>
      </c>
      <c r="L294" t="s">
        <v>239</v>
      </c>
      <c r="M294" t="s">
        <v>27</v>
      </c>
      <c r="N294">
        <v>4.4240591440378153E-2</v>
      </c>
      <c r="O294" t="s">
        <v>6</v>
      </c>
    </row>
    <row r="295" spans="2:15" x14ac:dyDescent="0.45">
      <c r="B295" t="s">
        <v>237</v>
      </c>
      <c r="C295" t="s">
        <v>28</v>
      </c>
      <c r="D295">
        <v>4.514682051305436E-2</v>
      </c>
      <c r="E295" t="s">
        <v>6</v>
      </c>
      <c r="G295" t="s">
        <v>238</v>
      </c>
      <c r="H295" t="s">
        <v>28</v>
      </c>
      <c r="I295">
        <v>3.439373648413243E-2</v>
      </c>
      <c r="J295" t="s">
        <v>6</v>
      </c>
      <c r="L295" t="s">
        <v>239</v>
      </c>
      <c r="M295" t="s">
        <v>28</v>
      </c>
      <c r="N295">
        <v>3.3875145126424915E-2</v>
      </c>
      <c r="O295" t="s">
        <v>6</v>
      </c>
    </row>
    <row r="296" spans="2:15" x14ac:dyDescent="0.45">
      <c r="B296" t="s">
        <v>237</v>
      </c>
      <c r="C296" t="s">
        <v>29</v>
      </c>
      <c r="D296">
        <v>7.1727283590041435E-2</v>
      </c>
      <c r="E296" t="s">
        <v>6</v>
      </c>
      <c r="G296" t="s">
        <v>238</v>
      </c>
      <c r="H296" t="s">
        <v>29</v>
      </c>
      <c r="I296">
        <v>3.5565043336314384E-2</v>
      </c>
      <c r="J296" t="s">
        <v>6</v>
      </c>
      <c r="L296" t="s">
        <v>239</v>
      </c>
      <c r="M296" t="s">
        <v>29</v>
      </c>
      <c r="N296">
        <v>3.3302338155955472E-2</v>
      </c>
      <c r="O296" t="s">
        <v>6</v>
      </c>
    </row>
    <row r="297" spans="2:15" x14ac:dyDescent="0.45">
      <c r="B297" t="s">
        <v>237</v>
      </c>
      <c r="C297" t="s">
        <v>30</v>
      </c>
      <c r="D297">
        <v>3.1262250021236421E-2</v>
      </c>
      <c r="E297" t="s">
        <v>6</v>
      </c>
      <c r="G297" t="s">
        <v>238</v>
      </c>
      <c r="H297" t="s">
        <v>30</v>
      </c>
      <c r="I297">
        <v>3.5801533255701498E-2</v>
      </c>
      <c r="J297" t="s">
        <v>6</v>
      </c>
      <c r="L297" t="s">
        <v>239</v>
      </c>
      <c r="M297" t="s">
        <v>30</v>
      </c>
      <c r="N297">
        <v>3.320439053329096E-2</v>
      </c>
      <c r="O297" t="s">
        <v>6</v>
      </c>
    </row>
    <row r="298" spans="2:15" x14ac:dyDescent="0.45">
      <c r="B298" t="s">
        <v>237</v>
      </c>
      <c r="C298" t="s">
        <v>31</v>
      </c>
      <c r="D298">
        <v>1.1467711980876173E-3</v>
      </c>
      <c r="E298" t="s">
        <v>6</v>
      </c>
      <c r="G298" t="s">
        <v>238</v>
      </c>
      <c r="H298" t="s">
        <v>31</v>
      </c>
      <c r="I298">
        <v>3.5554802086210605E-2</v>
      </c>
      <c r="J298" t="s">
        <v>6</v>
      </c>
      <c r="L298" t="s">
        <v>239</v>
      </c>
      <c r="M298" t="s">
        <v>31</v>
      </c>
      <c r="N298">
        <v>3.3620783062653169E-2</v>
      </c>
      <c r="O298" t="s">
        <v>6</v>
      </c>
    </row>
    <row r="299" spans="2:15" x14ac:dyDescent="0.45">
      <c r="B299" t="s">
        <v>240</v>
      </c>
      <c r="C299" t="s">
        <v>5</v>
      </c>
      <c r="D299">
        <v>0</v>
      </c>
      <c r="E299" t="s">
        <v>6</v>
      </c>
      <c r="G299" t="s">
        <v>241</v>
      </c>
      <c r="H299" t="s">
        <v>5</v>
      </c>
      <c r="I299">
        <v>0.11784472695822994</v>
      </c>
      <c r="J299" t="s">
        <v>6</v>
      </c>
      <c r="L299" t="s">
        <v>242</v>
      </c>
      <c r="M299" t="s">
        <v>5</v>
      </c>
      <c r="N299">
        <v>0.103538424477688</v>
      </c>
      <c r="O299" t="s">
        <v>6</v>
      </c>
    </row>
    <row r="300" spans="2:15" x14ac:dyDescent="0.45">
      <c r="B300" t="s">
        <v>240</v>
      </c>
      <c r="C300" t="s">
        <v>9</v>
      </c>
      <c r="D300">
        <v>6.1472924467181826E-5</v>
      </c>
      <c r="E300" t="s">
        <v>6</v>
      </c>
      <c r="G300" t="s">
        <v>241</v>
      </c>
      <c r="H300" t="s">
        <v>9</v>
      </c>
      <c r="I300">
        <v>5.7633340164048211E-2</v>
      </c>
      <c r="J300" t="s">
        <v>6</v>
      </c>
      <c r="L300" t="s">
        <v>242</v>
      </c>
      <c r="M300" t="s">
        <v>9</v>
      </c>
      <c r="N300">
        <v>4.9929432244280508E-2</v>
      </c>
      <c r="O300" t="s">
        <v>6</v>
      </c>
    </row>
    <row r="301" spans="2:15" x14ac:dyDescent="0.45">
      <c r="B301" t="s">
        <v>240</v>
      </c>
      <c r="C301" t="s">
        <v>10</v>
      </c>
      <c r="D301">
        <v>2.3612547324799164E-2</v>
      </c>
      <c r="E301" t="s">
        <v>6</v>
      </c>
      <c r="G301" t="s">
        <v>241</v>
      </c>
      <c r="H301" t="s">
        <v>10</v>
      </c>
      <c r="I301">
        <v>4.183884269223969E-2</v>
      </c>
      <c r="J301" t="s">
        <v>6</v>
      </c>
      <c r="L301" t="s">
        <v>242</v>
      </c>
      <c r="M301" t="s">
        <v>10</v>
      </c>
      <c r="N301">
        <v>3.7430333984413963E-2</v>
      </c>
      <c r="O301" t="s">
        <v>6</v>
      </c>
    </row>
    <row r="302" spans="2:15" x14ac:dyDescent="0.45">
      <c r="B302" t="s">
        <v>240</v>
      </c>
      <c r="C302" t="s">
        <v>11</v>
      </c>
      <c r="D302">
        <v>5.9748390440271512E-2</v>
      </c>
      <c r="E302" t="s">
        <v>6</v>
      </c>
      <c r="G302" t="s">
        <v>241</v>
      </c>
      <c r="H302" t="s">
        <v>11</v>
      </c>
      <c r="I302">
        <v>4.2017698421480412E-2</v>
      </c>
      <c r="J302" t="s">
        <v>6</v>
      </c>
      <c r="L302" t="s">
        <v>242</v>
      </c>
      <c r="M302" t="s">
        <v>11</v>
      </c>
      <c r="N302">
        <v>3.7891832301817599E-2</v>
      </c>
      <c r="O302" t="s">
        <v>6</v>
      </c>
    </row>
    <row r="303" spans="2:15" x14ac:dyDescent="0.45">
      <c r="B303" t="s">
        <v>240</v>
      </c>
      <c r="C303" t="s">
        <v>12</v>
      </c>
      <c r="D303">
        <v>2.3957747255242374E-2</v>
      </c>
      <c r="E303" t="s">
        <v>6</v>
      </c>
      <c r="G303" t="s">
        <v>241</v>
      </c>
      <c r="H303" t="s">
        <v>12</v>
      </c>
      <c r="I303">
        <v>4.1272129741243467E-2</v>
      </c>
      <c r="J303" t="s">
        <v>6</v>
      </c>
      <c r="L303" t="s">
        <v>242</v>
      </c>
      <c r="M303" t="s">
        <v>12</v>
      </c>
      <c r="N303">
        <v>3.8569525474297053E-2</v>
      </c>
      <c r="O303" t="s">
        <v>6</v>
      </c>
    </row>
    <row r="304" spans="2:15" x14ac:dyDescent="0.45">
      <c r="B304" t="s">
        <v>240</v>
      </c>
      <c r="C304" t="s">
        <v>13</v>
      </c>
      <c r="D304">
        <v>9.6657381384895595E-5</v>
      </c>
      <c r="E304" t="s">
        <v>6</v>
      </c>
      <c r="G304" t="s">
        <v>241</v>
      </c>
      <c r="H304" t="s">
        <v>13</v>
      </c>
      <c r="I304">
        <v>4.2194822728891898E-2</v>
      </c>
      <c r="J304" t="s">
        <v>6</v>
      </c>
      <c r="L304" t="s">
        <v>242</v>
      </c>
      <c r="M304" t="s">
        <v>13</v>
      </c>
      <c r="N304">
        <v>3.9299503182961888E-2</v>
      </c>
      <c r="O304" t="s">
        <v>6</v>
      </c>
    </row>
    <row r="305" spans="2:15" x14ac:dyDescent="0.45">
      <c r="B305" t="s">
        <v>240</v>
      </c>
      <c r="C305" t="s">
        <v>14</v>
      </c>
      <c r="D305">
        <v>8.3763549643432487E-6</v>
      </c>
      <c r="E305" t="s">
        <v>6</v>
      </c>
      <c r="G305" t="s">
        <v>241</v>
      </c>
      <c r="H305" t="s">
        <v>14</v>
      </c>
      <c r="I305">
        <v>8.1469803218289116E-2</v>
      </c>
      <c r="J305" t="s">
        <v>6</v>
      </c>
      <c r="L305" t="s">
        <v>242</v>
      </c>
      <c r="M305" t="s">
        <v>14</v>
      </c>
      <c r="N305">
        <v>8.3142302235992616E-2</v>
      </c>
      <c r="O305" t="s">
        <v>6</v>
      </c>
    </row>
    <row r="306" spans="2:15" x14ac:dyDescent="0.45">
      <c r="B306" t="s">
        <v>240</v>
      </c>
      <c r="C306" t="s">
        <v>15</v>
      </c>
      <c r="D306">
        <v>1.9501567893609413E-2</v>
      </c>
      <c r="E306" t="s">
        <v>6</v>
      </c>
      <c r="G306" t="s">
        <v>241</v>
      </c>
      <c r="H306" t="s">
        <v>15</v>
      </c>
      <c r="I306">
        <v>3.9547949197393933E-2</v>
      </c>
      <c r="J306" t="s">
        <v>6</v>
      </c>
      <c r="L306" t="s">
        <v>242</v>
      </c>
      <c r="M306" t="s">
        <v>15</v>
      </c>
      <c r="N306">
        <v>4.1725244613741552E-2</v>
      </c>
      <c r="O306" t="s">
        <v>6</v>
      </c>
    </row>
    <row r="307" spans="2:15" x14ac:dyDescent="0.45">
      <c r="B307" t="s">
        <v>240</v>
      </c>
      <c r="C307" t="s">
        <v>16</v>
      </c>
      <c r="D307">
        <v>0.10164935505194311</v>
      </c>
      <c r="E307" t="s">
        <v>6</v>
      </c>
      <c r="G307" t="s">
        <v>241</v>
      </c>
      <c r="H307" t="s">
        <v>16</v>
      </c>
      <c r="I307">
        <v>3.2644291122315393E-2</v>
      </c>
      <c r="J307" t="s">
        <v>6</v>
      </c>
      <c r="L307" t="s">
        <v>242</v>
      </c>
      <c r="M307" t="s">
        <v>16</v>
      </c>
      <c r="N307">
        <v>3.1689557331173568E-2</v>
      </c>
      <c r="O307" t="s">
        <v>6</v>
      </c>
    </row>
    <row r="308" spans="2:15" x14ac:dyDescent="0.45">
      <c r="B308" t="s">
        <v>240</v>
      </c>
      <c r="C308" t="s">
        <v>17</v>
      </c>
      <c r="D308">
        <v>0.13446349126086818</v>
      </c>
      <c r="E308" t="s">
        <v>6</v>
      </c>
      <c r="G308" t="s">
        <v>241</v>
      </c>
      <c r="H308" t="s">
        <v>17</v>
      </c>
      <c r="I308">
        <v>3.354338843249275E-2</v>
      </c>
      <c r="J308" t="s">
        <v>6</v>
      </c>
      <c r="L308" t="s">
        <v>242</v>
      </c>
      <c r="M308" t="s">
        <v>17</v>
      </c>
      <c r="N308">
        <v>3.1870172136507301E-2</v>
      </c>
      <c r="O308" t="s">
        <v>6</v>
      </c>
    </row>
    <row r="309" spans="2:15" x14ac:dyDescent="0.45">
      <c r="B309" t="s">
        <v>240</v>
      </c>
      <c r="C309" t="s">
        <v>18</v>
      </c>
      <c r="D309">
        <v>8.7180883439004056E-2</v>
      </c>
      <c r="E309" t="s">
        <v>6</v>
      </c>
      <c r="G309" t="s">
        <v>241</v>
      </c>
      <c r="H309" t="s">
        <v>18</v>
      </c>
      <c r="I309">
        <v>3.279344721915281E-2</v>
      </c>
      <c r="J309" t="s">
        <v>6</v>
      </c>
      <c r="L309" t="s">
        <v>242</v>
      </c>
      <c r="M309" t="s">
        <v>18</v>
      </c>
      <c r="N309">
        <v>3.227380026235873E-2</v>
      </c>
      <c r="O309" t="s">
        <v>6</v>
      </c>
    </row>
    <row r="310" spans="2:15" x14ac:dyDescent="0.45">
      <c r="B310" t="s">
        <v>240</v>
      </c>
      <c r="C310" t="s">
        <v>19</v>
      </c>
      <c r="D310">
        <v>1.2691239485328649E-2</v>
      </c>
      <c r="E310" t="s">
        <v>6</v>
      </c>
      <c r="G310" t="s">
        <v>241</v>
      </c>
      <c r="H310" t="s">
        <v>19</v>
      </c>
      <c r="I310">
        <v>2.9809521512262946E-2</v>
      </c>
      <c r="J310" t="s">
        <v>6</v>
      </c>
      <c r="L310" t="s">
        <v>242</v>
      </c>
      <c r="M310" t="s">
        <v>19</v>
      </c>
      <c r="N310">
        <v>3.2449342236711642E-2</v>
      </c>
      <c r="O310" t="s">
        <v>6</v>
      </c>
    </row>
    <row r="311" spans="2:15" x14ac:dyDescent="0.45">
      <c r="B311" t="s">
        <v>240</v>
      </c>
      <c r="C311" t="s">
        <v>20</v>
      </c>
      <c r="D311">
        <v>1.934700366638743E-4</v>
      </c>
      <c r="E311" t="s">
        <v>6</v>
      </c>
      <c r="G311" t="s">
        <v>241</v>
      </c>
      <c r="H311" t="s">
        <v>20</v>
      </c>
      <c r="I311">
        <v>3.6845383839793633E-2</v>
      </c>
      <c r="J311" t="s">
        <v>6</v>
      </c>
      <c r="L311" t="s">
        <v>242</v>
      </c>
      <c r="M311" t="s">
        <v>20</v>
      </c>
      <c r="N311">
        <v>6.0896007986357366E-2</v>
      </c>
      <c r="O311" t="s">
        <v>6</v>
      </c>
    </row>
    <row r="312" spans="2:15" x14ac:dyDescent="0.45">
      <c r="B312" t="s">
        <v>240</v>
      </c>
      <c r="C312" t="s">
        <v>21</v>
      </c>
      <c r="D312">
        <v>2.701494868188048E-2</v>
      </c>
      <c r="E312" t="s">
        <v>6</v>
      </c>
      <c r="G312" t="s">
        <v>241</v>
      </c>
      <c r="H312" t="s">
        <v>21</v>
      </c>
      <c r="I312">
        <v>1.8189115651559926E-2</v>
      </c>
      <c r="J312" t="s">
        <v>6</v>
      </c>
      <c r="L312" t="s">
        <v>242</v>
      </c>
      <c r="M312" t="s">
        <v>21</v>
      </c>
      <c r="N312">
        <v>3.0642333362102831E-2</v>
      </c>
      <c r="O312" t="s">
        <v>6</v>
      </c>
    </row>
    <row r="313" spans="2:15" x14ac:dyDescent="0.45">
      <c r="B313" t="s">
        <v>240</v>
      </c>
      <c r="C313" t="s">
        <v>22</v>
      </c>
      <c r="D313">
        <v>9.9979034236110792E-2</v>
      </c>
      <c r="E313" t="s">
        <v>6</v>
      </c>
      <c r="G313" t="s">
        <v>241</v>
      </c>
      <c r="H313" t="s">
        <v>22</v>
      </c>
      <c r="I313">
        <v>1.6396099692993642E-2</v>
      </c>
      <c r="J313" t="s">
        <v>6</v>
      </c>
      <c r="L313" t="s">
        <v>242</v>
      </c>
      <c r="M313" t="s">
        <v>22</v>
      </c>
      <c r="N313">
        <v>2.2170099541915903E-2</v>
      </c>
      <c r="O313" t="s">
        <v>6</v>
      </c>
    </row>
    <row r="314" spans="2:15" x14ac:dyDescent="0.45">
      <c r="B314" t="s">
        <v>240</v>
      </c>
      <c r="C314" t="s">
        <v>23</v>
      </c>
      <c r="D314">
        <v>0.12932278778516657</v>
      </c>
      <c r="E314" t="s">
        <v>6</v>
      </c>
      <c r="G314" t="s">
        <v>241</v>
      </c>
      <c r="H314" t="s">
        <v>23</v>
      </c>
      <c r="I314">
        <v>1.8492842964861322E-2</v>
      </c>
      <c r="J314" t="s">
        <v>6</v>
      </c>
      <c r="L314" t="s">
        <v>242</v>
      </c>
      <c r="M314" t="s">
        <v>23</v>
      </c>
      <c r="N314">
        <v>2.2107101370299684E-2</v>
      </c>
      <c r="O314" t="s">
        <v>6</v>
      </c>
    </row>
    <row r="315" spans="2:15" x14ac:dyDescent="0.45">
      <c r="B315" t="s">
        <v>240</v>
      </c>
      <c r="C315" t="s">
        <v>24</v>
      </c>
      <c r="D315">
        <v>9.4535706380402609E-2</v>
      </c>
      <c r="E315" t="s">
        <v>6</v>
      </c>
      <c r="G315" t="s">
        <v>241</v>
      </c>
      <c r="H315" t="s">
        <v>24</v>
      </c>
      <c r="I315">
        <v>1.8991701070429575E-2</v>
      </c>
      <c r="J315" t="s">
        <v>6</v>
      </c>
      <c r="L315" t="s">
        <v>242</v>
      </c>
      <c r="M315" t="s">
        <v>24</v>
      </c>
      <c r="N315">
        <v>2.2361181628090344E-2</v>
      </c>
      <c r="O315" t="s">
        <v>6</v>
      </c>
    </row>
    <row r="316" spans="2:15" x14ac:dyDescent="0.45">
      <c r="B316" t="s">
        <v>240</v>
      </c>
      <c r="C316" t="s">
        <v>25</v>
      </c>
      <c r="D316">
        <v>2.1417626569567513E-2</v>
      </c>
      <c r="E316" t="s">
        <v>6</v>
      </c>
      <c r="G316" t="s">
        <v>241</v>
      </c>
      <c r="H316" t="s">
        <v>25</v>
      </c>
      <c r="I316">
        <v>1.5858049122157568E-2</v>
      </c>
      <c r="J316" t="s">
        <v>6</v>
      </c>
      <c r="L316" t="s">
        <v>242</v>
      </c>
      <c r="M316" t="s">
        <v>25</v>
      </c>
      <c r="N316">
        <v>2.234282233493733E-2</v>
      </c>
      <c r="O316" t="s">
        <v>6</v>
      </c>
    </row>
    <row r="317" spans="2:15" x14ac:dyDescent="0.45">
      <c r="B317" t="s">
        <v>240</v>
      </c>
      <c r="C317" t="s">
        <v>26</v>
      </c>
      <c r="D317">
        <v>0</v>
      </c>
      <c r="E317" t="s">
        <v>6</v>
      </c>
      <c r="G317" t="s">
        <v>241</v>
      </c>
      <c r="H317" t="s">
        <v>26</v>
      </c>
      <c r="I317">
        <v>9.4092113279375736E-2</v>
      </c>
      <c r="J317" t="s">
        <v>6</v>
      </c>
      <c r="L317" t="s">
        <v>242</v>
      </c>
      <c r="M317" t="s">
        <v>26</v>
      </c>
      <c r="N317">
        <v>8.4462549349177005E-2</v>
      </c>
      <c r="O317" t="s">
        <v>6</v>
      </c>
    </row>
    <row r="318" spans="2:15" x14ac:dyDescent="0.45">
      <c r="B318" t="s">
        <v>240</v>
      </c>
      <c r="C318" t="s">
        <v>27</v>
      </c>
      <c r="D318">
        <v>3.4752196362281174E-3</v>
      </c>
      <c r="E318" t="s">
        <v>6</v>
      </c>
      <c r="G318" t="s">
        <v>241</v>
      </c>
      <c r="H318" t="s">
        <v>27</v>
      </c>
      <c r="I318">
        <v>4.5507618892894855E-2</v>
      </c>
      <c r="J318" t="s">
        <v>6</v>
      </c>
      <c r="L318" t="s">
        <v>242</v>
      </c>
      <c r="M318" t="s">
        <v>27</v>
      </c>
      <c r="N318">
        <v>4.3780809543536359E-2</v>
      </c>
      <c r="O318" t="s">
        <v>6</v>
      </c>
    </row>
    <row r="319" spans="2:15" x14ac:dyDescent="0.45">
      <c r="B319" t="s">
        <v>240</v>
      </c>
      <c r="C319" t="s">
        <v>28</v>
      </c>
      <c r="D319">
        <v>4.9623732300795649E-2</v>
      </c>
      <c r="E319" t="s">
        <v>6</v>
      </c>
      <c r="G319" t="s">
        <v>241</v>
      </c>
      <c r="H319" t="s">
        <v>28</v>
      </c>
      <c r="I319">
        <v>3.468230863497964E-2</v>
      </c>
      <c r="J319" t="s">
        <v>6</v>
      </c>
      <c r="L319" t="s">
        <v>242</v>
      </c>
      <c r="M319" t="s">
        <v>28</v>
      </c>
      <c r="N319">
        <v>3.2945181985700095E-2</v>
      </c>
      <c r="O319" t="s">
        <v>6</v>
      </c>
    </row>
    <row r="320" spans="2:15" x14ac:dyDescent="0.45">
      <c r="B320" t="s">
        <v>240</v>
      </c>
      <c r="C320" t="s">
        <v>29</v>
      </c>
      <c r="D320">
        <v>7.5790410549673171E-2</v>
      </c>
      <c r="E320" t="s">
        <v>6</v>
      </c>
      <c r="G320" t="s">
        <v>241</v>
      </c>
      <c r="H320" t="s">
        <v>29</v>
      </c>
      <c r="I320">
        <v>3.6747247124108318E-2</v>
      </c>
      <c r="J320" t="s">
        <v>6</v>
      </c>
      <c r="L320" t="s">
        <v>242</v>
      </c>
      <c r="M320" t="s">
        <v>29</v>
      </c>
      <c r="N320">
        <v>3.2885898619070646E-2</v>
      </c>
      <c r="O320" t="s">
        <v>6</v>
      </c>
    </row>
    <row r="321" spans="2:15" x14ac:dyDescent="0.45">
      <c r="B321" t="s">
        <v>240</v>
      </c>
      <c r="C321" t="s">
        <v>30</v>
      </c>
      <c r="D321">
        <v>3.438122455476457E-2</v>
      </c>
      <c r="E321" t="s">
        <v>6</v>
      </c>
      <c r="G321" t="s">
        <v>241</v>
      </c>
      <c r="H321" t="s">
        <v>30</v>
      </c>
      <c r="I321">
        <v>3.6148916404857255E-2</v>
      </c>
      <c r="J321" t="s">
        <v>6</v>
      </c>
      <c r="L321" t="s">
        <v>242</v>
      </c>
      <c r="M321" t="s">
        <v>30</v>
      </c>
      <c r="N321">
        <v>3.296670046830405E-2</v>
      </c>
      <c r="O321" t="s">
        <v>6</v>
      </c>
    </row>
    <row r="322" spans="2:15" x14ac:dyDescent="0.45">
      <c r="B322" t="s">
        <v>240</v>
      </c>
      <c r="C322" t="s">
        <v>31</v>
      </c>
      <c r="D322">
        <v>1.2941104568626116E-3</v>
      </c>
      <c r="E322" t="s">
        <v>6</v>
      </c>
      <c r="G322" t="s">
        <v>241</v>
      </c>
      <c r="H322" t="s">
        <v>31</v>
      </c>
      <c r="I322">
        <v>3.5438641913946696E-2</v>
      </c>
      <c r="J322" t="s">
        <v>6</v>
      </c>
      <c r="L322" t="s">
        <v>242</v>
      </c>
      <c r="M322" t="s">
        <v>31</v>
      </c>
      <c r="N322">
        <v>3.2629843328560566E-2</v>
      </c>
      <c r="O322" t="s">
        <v>6</v>
      </c>
    </row>
    <row r="323" spans="2:15" x14ac:dyDescent="0.45">
      <c r="B323" t="s">
        <v>243</v>
      </c>
      <c r="C323" t="s">
        <v>5</v>
      </c>
      <c r="D323">
        <v>0</v>
      </c>
      <c r="E323" t="s">
        <v>6</v>
      </c>
      <c r="G323" t="s">
        <v>244</v>
      </c>
      <c r="H323" t="s">
        <v>5</v>
      </c>
      <c r="I323">
        <v>0.10807842878351978</v>
      </c>
      <c r="J323" t="s">
        <v>6</v>
      </c>
      <c r="L323" t="s">
        <v>245</v>
      </c>
      <c r="M323" t="s">
        <v>5</v>
      </c>
      <c r="N323">
        <v>9.55623733780393E-2</v>
      </c>
      <c r="O323" t="s">
        <v>6</v>
      </c>
    </row>
    <row r="324" spans="2:15" x14ac:dyDescent="0.45">
      <c r="B324" t="s">
        <v>243</v>
      </c>
      <c r="C324" t="s">
        <v>9</v>
      </c>
      <c r="D324">
        <v>3.1789776248009837E-5</v>
      </c>
      <c r="E324" t="s">
        <v>6</v>
      </c>
      <c r="G324" t="s">
        <v>244</v>
      </c>
      <c r="H324" t="s">
        <v>9</v>
      </c>
      <c r="I324">
        <v>5.2525669251222006E-2</v>
      </c>
      <c r="J324" t="s">
        <v>6</v>
      </c>
      <c r="L324" t="s">
        <v>245</v>
      </c>
      <c r="M324" t="s">
        <v>9</v>
      </c>
      <c r="N324">
        <v>4.626958300110727E-2</v>
      </c>
      <c r="O324" t="s">
        <v>6</v>
      </c>
    </row>
    <row r="325" spans="2:15" x14ac:dyDescent="0.45">
      <c r="B325" t="s">
        <v>243</v>
      </c>
      <c r="C325" t="s">
        <v>10</v>
      </c>
      <c r="D325">
        <v>2.5567055514845765E-2</v>
      </c>
      <c r="E325" t="s">
        <v>6</v>
      </c>
      <c r="G325" t="s">
        <v>244</v>
      </c>
      <c r="H325" t="s">
        <v>10</v>
      </c>
      <c r="I325">
        <v>3.9344154886448462E-2</v>
      </c>
      <c r="J325" t="s">
        <v>6</v>
      </c>
      <c r="L325" t="s">
        <v>245</v>
      </c>
      <c r="M325" t="s">
        <v>10</v>
      </c>
      <c r="N325">
        <v>3.6469625903179072E-2</v>
      </c>
      <c r="O325" t="s">
        <v>6</v>
      </c>
    </row>
    <row r="326" spans="2:15" x14ac:dyDescent="0.45">
      <c r="B326" t="s">
        <v>243</v>
      </c>
      <c r="C326" t="s">
        <v>11</v>
      </c>
      <c r="D326">
        <v>5.9609665281466669E-2</v>
      </c>
      <c r="E326" t="s">
        <v>6</v>
      </c>
      <c r="G326" t="s">
        <v>244</v>
      </c>
      <c r="H326" t="s">
        <v>11</v>
      </c>
      <c r="I326">
        <v>3.9399054297257805E-2</v>
      </c>
      <c r="J326" t="s">
        <v>6</v>
      </c>
      <c r="L326" t="s">
        <v>245</v>
      </c>
      <c r="M326" t="s">
        <v>11</v>
      </c>
      <c r="N326">
        <v>3.6958756228280792E-2</v>
      </c>
      <c r="O326" t="s">
        <v>6</v>
      </c>
    </row>
    <row r="327" spans="2:15" x14ac:dyDescent="0.45">
      <c r="B327" t="s">
        <v>243</v>
      </c>
      <c r="C327" t="s">
        <v>12</v>
      </c>
      <c r="D327">
        <v>2.1672278766094007E-2</v>
      </c>
      <c r="E327" t="s">
        <v>6</v>
      </c>
      <c r="G327" t="s">
        <v>244</v>
      </c>
      <c r="H327" t="s">
        <v>12</v>
      </c>
      <c r="I327">
        <v>3.9162341816176859E-2</v>
      </c>
      <c r="J327" t="s">
        <v>6</v>
      </c>
      <c r="L327" t="s">
        <v>245</v>
      </c>
      <c r="M327" t="s">
        <v>12</v>
      </c>
      <c r="N327">
        <v>3.7891265274908985E-2</v>
      </c>
      <c r="O327" t="s">
        <v>6</v>
      </c>
    </row>
    <row r="328" spans="2:15" x14ac:dyDescent="0.45">
      <c r="B328" t="s">
        <v>243</v>
      </c>
      <c r="C328" t="s">
        <v>13</v>
      </c>
      <c r="D328">
        <v>1.6983182805886073E-5</v>
      </c>
      <c r="E328" t="s">
        <v>6</v>
      </c>
      <c r="G328" t="s">
        <v>244</v>
      </c>
      <c r="H328" t="s">
        <v>13</v>
      </c>
      <c r="I328">
        <v>4.090876098537484E-2</v>
      </c>
      <c r="J328" t="s">
        <v>6</v>
      </c>
      <c r="L328" t="s">
        <v>245</v>
      </c>
      <c r="M328" t="s">
        <v>13</v>
      </c>
      <c r="N328">
        <v>3.7158511191933072E-2</v>
      </c>
      <c r="O328" t="s">
        <v>6</v>
      </c>
    </row>
    <row r="329" spans="2:15" x14ac:dyDescent="0.45">
      <c r="B329" t="s">
        <v>243</v>
      </c>
      <c r="C329" t="s">
        <v>14</v>
      </c>
      <c r="D329">
        <v>1.9295472781747658E-5</v>
      </c>
      <c r="E329" t="s">
        <v>6</v>
      </c>
      <c r="G329" t="s">
        <v>244</v>
      </c>
      <c r="H329" t="s">
        <v>14</v>
      </c>
      <c r="I329">
        <v>8.5167300434399323E-2</v>
      </c>
      <c r="J329" t="s">
        <v>6</v>
      </c>
      <c r="L329" t="s">
        <v>245</v>
      </c>
      <c r="M329" t="s">
        <v>14</v>
      </c>
      <c r="N329">
        <v>8.3461032775223376E-2</v>
      </c>
      <c r="O329" t="s">
        <v>6</v>
      </c>
    </row>
    <row r="330" spans="2:15" x14ac:dyDescent="0.45">
      <c r="B330" t="s">
        <v>243</v>
      </c>
      <c r="C330" t="s">
        <v>15</v>
      </c>
      <c r="D330">
        <v>2.0919054319047239E-2</v>
      </c>
      <c r="E330" t="s">
        <v>6</v>
      </c>
      <c r="G330" t="s">
        <v>244</v>
      </c>
      <c r="H330" t="s">
        <v>15</v>
      </c>
      <c r="I330">
        <v>4.368250426005188E-2</v>
      </c>
      <c r="J330" t="s">
        <v>6</v>
      </c>
      <c r="L330" t="s">
        <v>245</v>
      </c>
      <c r="M330" t="s">
        <v>15</v>
      </c>
      <c r="N330">
        <v>4.221740618637701E-2</v>
      </c>
      <c r="O330" t="s">
        <v>6</v>
      </c>
    </row>
    <row r="331" spans="2:15" x14ac:dyDescent="0.45">
      <c r="B331" t="s">
        <v>243</v>
      </c>
      <c r="C331" t="s">
        <v>16</v>
      </c>
      <c r="D331">
        <v>0.10414330052765297</v>
      </c>
      <c r="E331" t="s">
        <v>6</v>
      </c>
      <c r="G331" t="s">
        <v>244</v>
      </c>
      <c r="H331" t="s">
        <v>16</v>
      </c>
      <c r="I331">
        <v>3.5594007125518336E-2</v>
      </c>
      <c r="J331" t="s">
        <v>6</v>
      </c>
      <c r="L331" t="s">
        <v>245</v>
      </c>
      <c r="M331" t="s">
        <v>16</v>
      </c>
      <c r="N331">
        <v>3.1997153089139328E-2</v>
      </c>
      <c r="O331" t="s">
        <v>6</v>
      </c>
    </row>
    <row r="332" spans="2:15" x14ac:dyDescent="0.45">
      <c r="B332" t="s">
        <v>243</v>
      </c>
      <c r="C332" t="s">
        <v>17</v>
      </c>
      <c r="D332">
        <v>0.13660875327124988</v>
      </c>
      <c r="E332" t="s">
        <v>6</v>
      </c>
      <c r="G332" t="s">
        <v>244</v>
      </c>
      <c r="H332" t="s">
        <v>17</v>
      </c>
      <c r="I332">
        <v>3.5975619505507692E-2</v>
      </c>
      <c r="J332" t="s">
        <v>6</v>
      </c>
      <c r="L332" t="s">
        <v>245</v>
      </c>
      <c r="M332" t="s">
        <v>17</v>
      </c>
      <c r="N332">
        <v>3.2525099814605343E-2</v>
      </c>
      <c r="O332" t="s">
        <v>6</v>
      </c>
    </row>
    <row r="333" spans="2:15" x14ac:dyDescent="0.45">
      <c r="B333" t="s">
        <v>243</v>
      </c>
      <c r="C333" t="s">
        <v>18</v>
      </c>
      <c r="D333">
        <v>8.8350950978656723E-2</v>
      </c>
      <c r="E333" t="s">
        <v>6</v>
      </c>
      <c r="G333" t="s">
        <v>244</v>
      </c>
      <c r="H333" t="s">
        <v>18</v>
      </c>
      <c r="I333">
        <v>3.570042348512565E-2</v>
      </c>
      <c r="J333" t="s">
        <v>6</v>
      </c>
      <c r="L333" t="s">
        <v>245</v>
      </c>
      <c r="M333" t="s">
        <v>18</v>
      </c>
      <c r="N333">
        <v>3.178210873522884E-2</v>
      </c>
      <c r="O333" t="s">
        <v>6</v>
      </c>
    </row>
    <row r="334" spans="2:15" x14ac:dyDescent="0.45">
      <c r="B334" t="s">
        <v>243</v>
      </c>
      <c r="C334" t="s">
        <v>19</v>
      </c>
      <c r="D334">
        <v>1.2254725429003381E-2</v>
      </c>
      <c r="E334" t="s">
        <v>6</v>
      </c>
      <c r="G334" t="s">
        <v>244</v>
      </c>
      <c r="H334" t="s">
        <v>19</v>
      </c>
      <c r="I334">
        <v>3.3274525818774138E-2</v>
      </c>
      <c r="J334" t="s">
        <v>6</v>
      </c>
      <c r="L334" t="s">
        <v>245</v>
      </c>
      <c r="M334" t="s">
        <v>19</v>
      </c>
      <c r="N334">
        <v>3.0972625079976127E-2</v>
      </c>
      <c r="O334" t="s">
        <v>6</v>
      </c>
    </row>
    <row r="335" spans="2:15" x14ac:dyDescent="0.45">
      <c r="B335" t="s">
        <v>243</v>
      </c>
      <c r="C335" t="s">
        <v>20</v>
      </c>
      <c r="D335">
        <v>2.516703088307617E-4</v>
      </c>
      <c r="E335" t="s">
        <v>6</v>
      </c>
      <c r="G335" t="s">
        <v>244</v>
      </c>
      <c r="H335" t="s">
        <v>20</v>
      </c>
      <c r="I335">
        <v>4.3538718211716662E-2</v>
      </c>
      <c r="J335" t="s">
        <v>6</v>
      </c>
      <c r="L335" t="s">
        <v>245</v>
      </c>
      <c r="M335" t="s">
        <v>20</v>
      </c>
      <c r="N335">
        <v>7.3254972766901308E-2</v>
      </c>
      <c r="O335" t="s">
        <v>6</v>
      </c>
    </row>
    <row r="336" spans="2:15" x14ac:dyDescent="0.45">
      <c r="B336" t="s">
        <v>243</v>
      </c>
      <c r="C336" t="s">
        <v>21</v>
      </c>
      <c r="D336">
        <v>2.7302801016020964E-2</v>
      </c>
      <c r="E336" t="s">
        <v>6</v>
      </c>
      <c r="G336" t="s">
        <v>244</v>
      </c>
      <c r="H336" t="s">
        <v>21</v>
      </c>
      <c r="I336">
        <v>2.177747700790017E-2</v>
      </c>
      <c r="J336" t="s">
        <v>6</v>
      </c>
      <c r="L336" t="s">
        <v>245</v>
      </c>
      <c r="M336" t="s">
        <v>21</v>
      </c>
      <c r="N336">
        <v>3.5488375595676885E-2</v>
      </c>
      <c r="O336" t="s">
        <v>6</v>
      </c>
    </row>
    <row r="337" spans="2:15" x14ac:dyDescent="0.45">
      <c r="B337" t="s">
        <v>243</v>
      </c>
      <c r="C337" t="s">
        <v>22</v>
      </c>
      <c r="D337">
        <v>9.6969530155242317E-2</v>
      </c>
      <c r="E337" t="s">
        <v>6</v>
      </c>
      <c r="G337" t="s">
        <v>244</v>
      </c>
      <c r="H337" t="s">
        <v>22</v>
      </c>
      <c r="I337">
        <v>1.849644884366021E-2</v>
      </c>
      <c r="J337" t="s">
        <v>6</v>
      </c>
      <c r="L337" t="s">
        <v>245</v>
      </c>
      <c r="M337" t="s">
        <v>22</v>
      </c>
      <c r="N337">
        <v>2.6860998498587862E-2</v>
      </c>
      <c r="O337" t="s">
        <v>6</v>
      </c>
    </row>
    <row r="338" spans="2:15" x14ac:dyDescent="0.45">
      <c r="B338" t="s">
        <v>243</v>
      </c>
      <c r="C338" t="s">
        <v>23</v>
      </c>
      <c r="D338">
        <v>0.12742444422615351</v>
      </c>
      <c r="E338" t="s">
        <v>6</v>
      </c>
      <c r="G338" t="s">
        <v>244</v>
      </c>
      <c r="H338" t="s">
        <v>23</v>
      </c>
      <c r="I338">
        <v>2.0751160225408422E-2</v>
      </c>
      <c r="J338" t="s">
        <v>6</v>
      </c>
      <c r="L338" t="s">
        <v>245</v>
      </c>
      <c r="M338" t="s">
        <v>23</v>
      </c>
      <c r="N338">
        <v>2.8158916554327042E-2</v>
      </c>
      <c r="O338" t="s">
        <v>6</v>
      </c>
    </row>
    <row r="339" spans="2:15" x14ac:dyDescent="0.45">
      <c r="B339" t="s">
        <v>243</v>
      </c>
      <c r="C339" t="s">
        <v>24</v>
      </c>
      <c r="D339">
        <v>9.3609582427953808E-2</v>
      </c>
      <c r="E339" t="s">
        <v>6</v>
      </c>
      <c r="G339" t="s">
        <v>244</v>
      </c>
      <c r="H339" t="s">
        <v>24</v>
      </c>
      <c r="I339">
        <v>2.0731245009347549E-2</v>
      </c>
      <c r="J339" t="s">
        <v>6</v>
      </c>
      <c r="L339" t="s">
        <v>245</v>
      </c>
      <c r="M339" t="s">
        <v>24</v>
      </c>
      <c r="N339">
        <v>2.8720749696515217E-2</v>
      </c>
      <c r="O339" t="s">
        <v>6</v>
      </c>
    </row>
    <row r="340" spans="2:15" x14ac:dyDescent="0.45">
      <c r="B340" t="s">
        <v>243</v>
      </c>
      <c r="C340" t="s">
        <v>25</v>
      </c>
      <c r="D340">
        <v>2.0390589709921421E-2</v>
      </c>
      <c r="E340" t="s">
        <v>6</v>
      </c>
      <c r="G340" t="s">
        <v>244</v>
      </c>
      <c r="H340" t="s">
        <v>25</v>
      </c>
      <c r="I340">
        <v>1.8057678063771447E-2</v>
      </c>
      <c r="J340" t="s">
        <v>6</v>
      </c>
      <c r="L340" t="s">
        <v>245</v>
      </c>
      <c r="M340" t="s">
        <v>25</v>
      </c>
      <c r="N340">
        <v>2.830621519391464E-2</v>
      </c>
      <c r="O340" t="s">
        <v>6</v>
      </c>
    </row>
    <row r="341" spans="2:15" x14ac:dyDescent="0.45">
      <c r="B341" t="s">
        <v>243</v>
      </c>
      <c r="C341" t="s">
        <v>26</v>
      </c>
      <c r="D341">
        <v>0</v>
      </c>
      <c r="E341" t="s">
        <v>6</v>
      </c>
      <c r="G341" t="s">
        <v>244</v>
      </c>
      <c r="H341" t="s">
        <v>26</v>
      </c>
      <c r="I341">
        <v>8.8708289984177818E-2</v>
      </c>
      <c r="J341" t="s">
        <v>6</v>
      </c>
      <c r="L341" t="s">
        <v>245</v>
      </c>
      <c r="M341" t="s">
        <v>26</v>
      </c>
      <c r="N341">
        <v>7.8881612507890012E-2</v>
      </c>
      <c r="O341" t="s">
        <v>6</v>
      </c>
    </row>
    <row r="342" spans="2:15" x14ac:dyDescent="0.45">
      <c r="B342" t="s">
        <v>243</v>
      </c>
      <c r="C342" t="s">
        <v>27</v>
      </c>
      <c r="D342">
        <v>3.654013963294614E-3</v>
      </c>
      <c r="E342" t="s">
        <v>6</v>
      </c>
      <c r="G342" t="s">
        <v>244</v>
      </c>
      <c r="H342" t="s">
        <v>27</v>
      </c>
      <c r="I342">
        <v>4.2150396678822914E-2</v>
      </c>
      <c r="J342" t="s">
        <v>6</v>
      </c>
      <c r="L342" t="s">
        <v>245</v>
      </c>
      <c r="M342" t="s">
        <v>27</v>
      </c>
      <c r="N342">
        <v>3.8153313495033675E-2</v>
      </c>
      <c r="O342" t="s">
        <v>6</v>
      </c>
    </row>
    <row r="343" spans="2:15" x14ac:dyDescent="0.45">
      <c r="B343" t="s">
        <v>243</v>
      </c>
      <c r="C343" t="s">
        <v>28</v>
      </c>
      <c r="D343">
        <v>4.9701043375378076E-2</v>
      </c>
      <c r="E343" t="s">
        <v>6</v>
      </c>
      <c r="G343" t="s">
        <v>244</v>
      </c>
      <c r="H343" t="s">
        <v>28</v>
      </c>
      <c r="I343">
        <v>3.3839600169848751E-2</v>
      </c>
      <c r="J343" t="s">
        <v>6</v>
      </c>
      <c r="L343" t="s">
        <v>245</v>
      </c>
      <c r="M343" t="s">
        <v>28</v>
      </c>
      <c r="N343">
        <v>2.9094012139699612E-2</v>
      </c>
      <c r="O343" t="s">
        <v>6</v>
      </c>
    </row>
    <row r="344" spans="2:15" x14ac:dyDescent="0.45">
      <c r="B344" t="s">
        <v>243</v>
      </c>
      <c r="C344" t="s">
        <v>29</v>
      </c>
      <c r="D344">
        <v>7.6833462875181183E-2</v>
      </c>
      <c r="E344" t="s">
        <v>6</v>
      </c>
      <c r="G344" t="s">
        <v>244</v>
      </c>
      <c r="H344" t="s">
        <v>29</v>
      </c>
      <c r="I344">
        <v>3.5033292053021033E-2</v>
      </c>
      <c r="J344" t="s">
        <v>6</v>
      </c>
      <c r="L344" t="s">
        <v>245</v>
      </c>
      <c r="M344" t="s">
        <v>29</v>
      </c>
      <c r="N344">
        <v>3.0146375237686891E-2</v>
      </c>
      <c r="O344" t="s">
        <v>6</v>
      </c>
    </row>
    <row r="345" spans="2:15" x14ac:dyDescent="0.45">
      <c r="B345" t="s">
        <v>243</v>
      </c>
      <c r="C345" t="s">
        <v>30</v>
      </c>
      <c r="D345">
        <v>3.3368578852393735E-2</v>
      </c>
      <c r="E345" t="s">
        <v>6</v>
      </c>
      <c r="G345" t="s">
        <v>244</v>
      </c>
      <c r="H345" t="s">
        <v>30</v>
      </c>
      <c r="I345">
        <v>3.4530191324050337E-2</v>
      </c>
      <c r="J345" t="s">
        <v>6</v>
      </c>
      <c r="L345" t="s">
        <v>245</v>
      </c>
      <c r="M345" t="s">
        <v>30</v>
      </c>
      <c r="N345">
        <v>3.0089357963714265E-2</v>
      </c>
      <c r="O345" t="s">
        <v>6</v>
      </c>
    </row>
    <row r="346" spans="2:15" x14ac:dyDescent="0.45">
      <c r="B346" t="s">
        <v>243</v>
      </c>
      <c r="C346" t="s">
        <v>31</v>
      </c>
      <c r="D346">
        <v>1.3004305697769454E-3</v>
      </c>
      <c r="E346" t="s">
        <v>6</v>
      </c>
      <c r="G346" t="s">
        <v>244</v>
      </c>
      <c r="H346" t="s">
        <v>31</v>
      </c>
      <c r="I346">
        <v>3.3572711778897611E-2</v>
      </c>
      <c r="J346" t="s">
        <v>6</v>
      </c>
      <c r="L346" t="s">
        <v>245</v>
      </c>
      <c r="M346" t="s">
        <v>31</v>
      </c>
      <c r="N346">
        <v>2.9579559692050617E-2</v>
      </c>
      <c r="O346" t="s">
        <v>6</v>
      </c>
    </row>
    <row r="347" spans="2:15" x14ac:dyDescent="0.45">
      <c r="B347" t="s">
        <v>246</v>
      </c>
      <c r="C347" t="s">
        <v>5</v>
      </c>
      <c r="D347">
        <v>0</v>
      </c>
      <c r="E347" t="s">
        <v>6</v>
      </c>
      <c r="G347" t="s">
        <v>247</v>
      </c>
      <c r="H347" t="s">
        <v>5</v>
      </c>
      <c r="I347">
        <v>0.10701062934092449</v>
      </c>
      <c r="J347" t="s">
        <v>6</v>
      </c>
      <c r="L347" t="s">
        <v>248</v>
      </c>
      <c r="M347" t="s">
        <v>5</v>
      </c>
      <c r="N347">
        <v>9.9812263608646326E-2</v>
      </c>
      <c r="O347" t="s">
        <v>6</v>
      </c>
    </row>
    <row r="348" spans="2:15" x14ac:dyDescent="0.45">
      <c r="B348" t="s">
        <v>246</v>
      </c>
      <c r="C348" t="s">
        <v>9</v>
      </c>
      <c r="D348">
        <v>1.8409622659947277E-4</v>
      </c>
      <c r="E348" t="s">
        <v>6</v>
      </c>
      <c r="G348" t="s">
        <v>247</v>
      </c>
      <c r="H348" t="s">
        <v>9</v>
      </c>
      <c r="I348">
        <v>5.1874151546882512E-2</v>
      </c>
      <c r="J348" t="s">
        <v>6</v>
      </c>
      <c r="L348" t="s">
        <v>248</v>
      </c>
      <c r="M348" t="s">
        <v>9</v>
      </c>
      <c r="N348">
        <v>4.8674723604123261E-2</v>
      </c>
      <c r="O348" t="s">
        <v>6</v>
      </c>
    </row>
    <row r="349" spans="2:15" x14ac:dyDescent="0.45">
      <c r="B349" t="s">
        <v>246</v>
      </c>
      <c r="C349" t="s">
        <v>10</v>
      </c>
      <c r="D349">
        <v>2.8453951126776428E-2</v>
      </c>
      <c r="E349" t="s">
        <v>6</v>
      </c>
      <c r="G349" t="s">
        <v>247</v>
      </c>
      <c r="H349" t="s">
        <v>10</v>
      </c>
      <c r="I349">
        <v>3.9073612816372942E-2</v>
      </c>
      <c r="J349" t="s">
        <v>6</v>
      </c>
      <c r="L349" t="s">
        <v>248</v>
      </c>
      <c r="M349" t="s">
        <v>10</v>
      </c>
      <c r="N349">
        <v>3.6526701686122091E-2</v>
      </c>
      <c r="O349" t="s">
        <v>6</v>
      </c>
    </row>
    <row r="350" spans="2:15" x14ac:dyDescent="0.45">
      <c r="B350" t="s">
        <v>246</v>
      </c>
      <c r="C350" t="s">
        <v>11</v>
      </c>
      <c r="D350">
        <v>6.3315592971136828E-2</v>
      </c>
      <c r="E350" t="s">
        <v>6</v>
      </c>
      <c r="G350" t="s">
        <v>247</v>
      </c>
      <c r="H350" t="s">
        <v>11</v>
      </c>
      <c r="I350">
        <v>3.9582562165637061E-2</v>
      </c>
      <c r="J350" t="s">
        <v>6</v>
      </c>
      <c r="L350" t="s">
        <v>248</v>
      </c>
      <c r="M350" t="s">
        <v>11</v>
      </c>
      <c r="N350">
        <v>3.7743022814868361E-2</v>
      </c>
      <c r="O350" t="s">
        <v>6</v>
      </c>
    </row>
    <row r="351" spans="2:15" x14ac:dyDescent="0.45">
      <c r="B351" t="s">
        <v>246</v>
      </c>
      <c r="C351" t="s">
        <v>12</v>
      </c>
      <c r="D351">
        <v>2.323780011768611E-2</v>
      </c>
      <c r="E351" t="s">
        <v>6</v>
      </c>
      <c r="G351" t="s">
        <v>247</v>
      </c>
      <c r="H351" t="s">
        <v>12</v>
      </c>
      <c r="I351">
        <v>3.8921832724719864E-2</v>
      </c>
      <c r="J351" t="s">
        <v>6</v>
      </c>
      <c r="L351" t="s">
        <v>248</v>
      </c>
      <c r="M351" t="s">
        <v>12</v>
      </c>
      <c r="N351">
        <v>3.8178404267735513E-2</v>
      </c>
      <c r="O351" t="s">
        <v>6</v>
      </c>
    </row>
    <row r="352" spans="2:15" x14ac:dyDescent="0.45">
      <c r="B352" t="s">
        <v>246</v>
      </c>
      <c r="C352" t="s">
        <v>13</v>
      </c>
      <c r="D352">
        <v>1.7524842800401226E-5</v>
      </c>
      <c r="E352" t="s">
        <v>6</v>
      </c>
      <c r="G352" t="s">
        <v>247</v>
      </c>
      <c r="H352" t="s">
        <v>13</v>
      </c>
      <c r="I352">
        <v>4.0855701199523059E-2</v>
      </c>
      <c r="J352" t="s">
        <v>6</v>
      </c>
      <c r="L352" t="s">
        <v>248</v>
      </c>
      <c r="M352" t="s">
        <v>13</v>
      </c>
      <c r="N352">
        <v>3.8481715034082868E-2</v>
      </c>
      <c r="O352" t="s">
        <v>6</v>
      </c>
    </row>
    <row r="353" spans="2:15" x14ac:dyDescent="0.45">
      <c r="B353" t="s">
        <v>246</v>
      </c>
      <c r="C353" t="s">
        <v>14</v>
      </c>
      <c r="D353">
        <v>2.316295877256008E-6</v>
      </c>
      <c r="E353" t="s">
        <v>6</v>
      </c>
      <c r="G353" t="s">
        <v>247</v>
      </c>
      <c r="H353" t="s">
        <v>14</v>
      </c>
      <c r="I353">
        <v>8.0445215807711717E-2</v>
      </c>
      <c r="J353" t="s">
        <v>6</v>
      </c>
      <c r="L353" t="s">
        <v>248</v>
      </c>
      <c r="M353" t="s">
        <v>14</v>
      </c>
      <c r="N353">
        <v>8.1264357539775817E-2</v>
      </c>
      <c r="O353" t="s">
        <v>6</v>
      </c>
    </row>
    <row r="354" spans="2:15" x14ac:dyDescent="0.45">
      <c r="B354" t="s">
        <v>246</v>
      </c>
      <c r="C354" t="s">
        <v>15</v>
      </c>
      <c r="D354">
        <v>2.113207060972893E-2</v>
      </c>
      <c r="E354" t="s">
        <v>6</v>
      </c>
      <c r="G354" t="s">
        <v>247</v>
      </c>
      <c r="H354" t="s">
        <v>15</v>
      </c>
      <c r="I354">
        <v>4.3170562746486799E-2</v>
      </c>
      <c r="J354" t="s">
        <v>6</v>
      </c>
      <c r="L354" t="s">
        <v>248</v>
      </c>
      <c r="M354" t="s">
        <v>15</v>
      </c>
      <c r="N354">
        <v>4.117701147369935E-2</v>
      </c>
      <c r="O354" t="s">
        <v>6</v>
      </c>
    </row>
    <row r="355" spans="2:15" x14ac:dyDescent="0.45">
      <c r="B355" t="s">
        <v>246</v>
      </c>
      <c r="C355" t="s">
        <v>16</v>
      </c>
      <c r="D355">
        <v>9.9288336371424091E-2</v>
      </c>
      <c r="E355" t="s">
        <v>6</v>
      </c>
      <c r="G355" t="s">
        <v>247</v>
      </c>
      <c r="H355" t="s">
        <v>16</v>
      </c>
      <c r="I355">
        <v>3.7556024265766506E-2</v>
      </c>
      <c r="J355" t="s">
        <v>6</v>
      </c>
      <c r="L355" t="s">
        <v>248</v>
      </c>
      <c r="M355" t="s">
        <v>16</v>
      </c>
      <c r="N355">
        <v>3.1353528930727279E-2</v>
      </c>
      <c r="O355" t="s">
        <v>6</v>
      </c>
    </row>
    <row r="356" spans="2:15" x14ac:dyDescent="0.45">
      <c r="B356" t="s">
        <v>246</v>
      </c>
      <c r="C356" t="s">
        <v>17</v>
      </c>
      <c r="D356">
        <v>0.12658626374214635</v>
      </c>
      <c r="E356" t="s">
        <v>6</v>
      </c>
      <c r="G356" t="s">
        <v>247</v>
      </c>
      <c r="H356" t="s">
        <v>17</v>
      </c>
      <c r="I356">
        <v>3.7708331926733882E-2</v>
      </c>
      <c r="J356" t="s">
        <v>6</v>
      </c>
      <c r="L356" t="s">
        <v>248</v>
      </c>
      <c r="M356" t="s">
        <v>17</v>
      </c>
      <c r="N356">
        <v>3.1705471757406942E-2</v>
      </c>
      <c r="O356" t="s">
        <v>6</v>
      </c>
    </row>
    <row r="357" spans="2:15" x14ac:dyDescent="0.45">
      <c r="B357" t="s">
        <v>246</v>
      </c>
      <c r="C357" t="s">
        <v>18</v>
      </c>
      <c r="D357">
        <v>8.1947327213552051E-2</v>
      </c>
      <c r="E357" t="s">
        <v>6</v>
      </c>
      <c r="G357" t="s">
        <v>247</v>
      </c>
      <c r="H357" t="s">
        <v>18</v>
      </c>
      <c r="I357">
        <v>3.5780498846304014E-2</v>
      </c>
      <c r="J357" t="s">
        <v>6</v>
      </c>
      <c r="L357" t="s">
        <v>248</v>
      </c>
      <c r="M357" t="s">
        <v>18</v>
      </c>
      <c r="N357">
        <v>3.1381736497883318E-2</v>
      </c>
      <c r="O357" t="s">
        <v>6</v>
      </c>
    </row>
    <row r="358" spans="2:15" x14ac:dyDescent="0.45">
      <c r="B358" t="s">
        <v>246</v>
      </c>
      <c r="C358" t="s">
        <v>19</v>
      </c>
      <c r="D358">
        <v>1.0844676681696265E-2</v>
      </c>
      <c r="E358" t="s">
        <v>6</v>
      </c>
      <c r="G358" t="s">
        <v>247</v>
      </c>
      <c r="H358" t="s">
        <v>19</v>
      </c>
      <c r="I358">
        <v>3.219962368694048E-2</v>
      </c>
      <c r="J358" t="s">
        <v>6</v>
      </c>
      <c r="L358" t="s">
        <v>248</v>
      </c>
      <c r="M358" t="s">
        <v>19</v>
      </c>
      <c r="N358">
        <v>3.0960004432170923E-2</v>
      </c>
      <c r="O358" t="s">
        <v>6</v>
      </c>
    </row>
    <row r="359" spans="2:15" x14ac:dyDescent="0.45">
      <c r="B359" t="s">
        <v>246</v>
      </c>
      <c r="C359" t="s">
        <v>20</v>
      </c>
      <c r="D359">
        <v>1.3002029883204755E-4</v>
      </c>
      <c r="E359" t="s">
        <v>6</v>
      </c>
      <c r="G359" t="s">
        <v>247</v>
      </c>
      <c r="H359" t="s">
        <v>20</v>
      </c>
      <c r="I359">
        <v>4.127538804373538E-2</v>
      </c>
      <c r="J359" t="s">
        <v>6</v>
      </c>
      <c r="L359" t="s">
        <v>248</v>
      </c>
      <c r="M359" t="s">
        <v>20</v>
      </c>
      <c r="N359">
        <v>6.7970195744085499E-2</v>
      </c>
      <c r="O359" t="s">
        <v>6</v>
      </c>
    </row>
    <row r="360" spans="2:15" x14ac:dyDescent="0.45">
      <c r="B360" t="s">
        <v>246</v>
      </c>
      <c r="C360" t="s">
        <v>21</v>
      </c>
      <c r="D360">
        <v>2.9066652476966826E-2</v>
      </c>
      <c r="E360" t="s">
        <v>6</v>
      </c>
      <c r="G360" t="s">
        <v>247</v>
      </c>
      <c r="H360" t="s">
        <v>21</v>
      </c>
      <c r="I360">
        <v>1.9891203921701135E-2</v>
      </c>
      <c r="J360" t="s">
        <v>6</v>
      </c>
      <c r="L360" t="s">
        <v>248</v>
      </c>
      <c r="M360" t="s">
        <v>21</v>
      </c>
      <c r="N360">
        <v>3.3067760174848977E-2</v>
      </c>
      <c r="O360" t="s">
        <v>6</v>
      </c>
    </row>
    <row r="361" spans="2:15" x14ac:dyDescent="0.45">
      <c r="B361" t="s">
        <v>246</v>
      </c>
      <c r="C361" t="s">
        <v>22</v>
      </c>
      <c r="D361">
        <v>0.10086787779044949</v>
      </c>
      <c r="E361" t="s">
        <v>6</v>
      </c>
      <c r="G361" t="s">
        <v>247</v>
      </c>
      <c r="H361" t="s">
        <v>22</v>
      </c>
      <c r="I361">
        <v>1.8667573767552268E-2</v>
      </c>
      <c r="J361" t="s">
        <v>6</v>
      </c>
      <c r="L361" t="s">
        <v>248</v>
      </c>
      <c r="M361" t="s">
        <v>22</v>
      </c>
      <c r="N361">
        <v>2.403346274855786E-2</v>
      </c>
      <c r="O361" t="s">
        <v>6</v>
      </c>
    </row>
    <row r="362" spans="2:15" x14ac:dyDescent="0.45">
      <c r="B362" t="s">
        <v>246</v>
      </c>
      <c r="C362" t="s">
        <v>23</v>
      </c>
      <c r="D362">
        <v>0.12725797197742245</v>
      </c>
      <c r="E362" t="s">
        <v>6</v>
      </c>
      <c r="G362" t="s">
        <v>247</v>
      </c>
      <c r="H362" t="s">
        <v>23</v>
      </c>
      <c r="I362">
        <v>2.1310627020080308E-2</v>
      </c>
      <c r="J362" t="s">
        <v>6</v>
      </c>
      <c r="L362" t="s">
        <v>248</v>
      </c>
      <c r="M362" t="s">
        <v>23</v>
      </c>
      <c r="N362">
        <v>2.5019675879526755E-2</v>
      </c>
      <c r="O362" t="s">
        <v>6</v>
      </c>
    </row>
    <row r="363" spans="2:15" x14ac:dyDescent="0.45">
      <c r="B363" t="s">
        <v>246</v>
      </c>
      <c r="C363" t="s">
        <v>24</v>
      </c>
      <c r="D363">
        <v>9.105926930726109E-2</v>
      </c>
      <c r="E363" t="s">
        <v>6</v>
      </c>
      <c r="G363" t="s">
        <v>247</v>
      </c>
      <c r="H363" t="s">
        <v>24</v>
      </c>
      <c r="I363">
        <v>2.1405205651300864E-2</v>
      </c>
      <c r="J363" t="s">
        <v>6</v>
      </c>
      <c r="L363" t="s">
        <v>248</v>
      </c>
      <c r="M363" t="s">
        <v>24</v>
      </c>
      <c r="N363">
        <v>2.5591960945749156E-2</v>
      </c>
      <c r="O363" t="s">
        <v>6</v>
      </c>
    </row>
    <row r="364" spans="2:15" x14ac:dyDescent="0.45">
      <c r="B364" t="s">
        <v>246</v>
      </c>
      <c r="C364" t="s">
        <v>25</v>
      </c>
      <c r="D364">
        <v>1.950623162504032E-2</v>
      </c>
      <c r="E364" t="s">
        <v>6</v>
      </c>
      <c r="G364" t="s">
        <v>247</v>
      </c>
      <c r="H364" t="s">
        <v>25</v>
      </c>
      <c r="I364">
        <v>1.7741896922769583E-2</v>
      </c>
      <c r="J364" t="s">
        <v>6</v>
      </c>
      <c r="L364" t="s">
        <v>248</v>
      </c>
      <c r="M364" t="s">
        <v>25</v>
      </c>
      <c r="N364">
        <v>2.5227975280729474E-2</v>
      </c>
      <c r="O364" t="s">
        <v>6</v>
      </c>
    </row>
    <row r="365" spans="2:15" x14ac:dyDescent="0.45">
      <c r="B365" t="s">
        <v>246</v>
      </c>
      <c r="C365" t="s">
        <v>26</v>
      </c>
      <c r="D365">
        <v>0</v>
      </c>
      <c r="E365" t="s">
        <v>6</v>
      </c>
      <c r="G365" t="s">
        <v>247</v>
      </c>
      <c r="H365" t="s">
        <v>26</v>
      </c>
      <c r="I365">
        <v>9.2068975924681606E-2</v>
      </c>
      <c r="J365" t="s">
        <v>6</v>
      </c>
      <c r="L365" t="s">
        <v>248</v>
      </c>
      <c r="M365" t="s">
        <v>26</v>
      </c>
      <c r="N365">
        <v>8.2191097945046629E-2</v>
      </c>
      <c r="O365" t="s">
        <v>6</v>
      </c>
    </row>
    <row r="366" spans="2:15" x14ac:dyDescent="0.45">
      <c r="B366" t="s">
        <v>246</v>
      </c>
      <c r="C366" t="s">
        <v>27</v>
      </c>
      <c r="D366">
        <v>4.3842165631865736E-3</v>
      </c>
      <c r="E366" t="s">
        <v>6</v>
      </c>
      <c r="G366" t="s">
        <v>247</v>
      </c>
      <c r="H366" t="s">
        <v>27</v>
      </c>
      <c r="I366">
        <v>4.2222077226675911E-2</v>
      </c>
      <c r="J366" t="s">
        <v>6</v>
      </c>
      <c r="L366" t="s">
        <v>248</v>
      </c>
      <c r="M366" t="s">
        <v>27</v>
      </c>
      <c r="N366">
        <v>4.2403666485847737E-2</v>
      </c>
      <c r="O366" t="s">
        <v>6</v>
      </c>
    </row>
    <row r="367" spans="2:15" x14ac:dyDescent="0.45">
      <c r="B367" t="s">
        <v>246</v>
      </c>
      <c r="C367" t="s">
        <v>28</v>
      </c>
      <c r="D367">
        <v>5.6730987555348847E-2</v>
      </c>
      <c r="E367" t="s">
        <v>6</v>
      </c>
      <c r="G367" t="s">
        <v>247</v>
      </c>
      <c r="H367" t="s">
        <v>28</v>
      </c>
      <c r="I367">
        <v>3.3736780272473905E-2</v>
      </c>
      <c r="J367" t="s">
        <v>6</v>
      </c>
      <c r="L367" t="s">
        <v>248</v>
      </c>
      <c r="M367" t="s">
        <v>28</v>
      </c>
      <c r="N367">
        <v>3.1208412080175305E-2</v>
      </c>
      <c r="O367" t="s">
        <v>6</v>
      </c>
    </row>
    <row r="368" spans="2:15" x14ac:dyDescent="0.45">
      <c r="B368" t="s">
        <v>246</v>
      </c>
      <c r="C368" t="s">
        <v>29</v>
      </c>
      <c r="D368">
        <v>8.014244181229957E-2</v>
      </c>
      <c r="E368" t="s">
        <v>6</v>
      </c>
      <c r="G368" t="s">
        <v>247</v>
      </c>
      <c r="H368" t="s">
        <v>29</v>
      </c>
      <c r="I368">
        <v>3.6381927491376614E-2</v>
      </c>
      <c r="J368" t="s">
        <v>6</v>
      </c>
      <c r="L368" t="s">
        <v>248</v>
      </c>
      <c r="M368" t="s">
        <v>29</v>
      </c>
      <c r="N368">
        <v>3.1915386125444124E-2</v>
      </c>
      <c r="O368" t="s">
        <v>6</v>
      </c>
    </row>
    <row r="369" spans="2:15" x14ac:dyDescent="0.45">
      <c r="B369" t="s">
        <v>246</v>
      </c>
      <c r="C369" t="s">
        <v>30</v>
      </c>
      <c r="D369">
        <v>3.4602251388398404E-2</v>
      </c>
      <c r="E369" t="s">
        <v>6</v>
      </c>
      <c r="G369" t="s">
        <v>247</v>
      </c>
      <c r="H369" t="s">
        <v>30</v>
      </c>
      <c r="I369">
        <v>3.6230071915994505E-2</v>
      </c>
      <c r="J369" t="s">
        <v>6</v>
      </c>
      <c r="L369" t="s">
        <v>248</v>
      </c>
      <c r="M369" t="s">
        <v>30</v>
      </c>
      <c r="N369">
        <v>3.2348213100137468E-2</v>
      </c>
      <c r="O369" t="s">
        <v>6</v>
      </c>
    </row>
    <row r="370" spans="2:15" x14ac:dyDescent="0.45">
      <c r="B370" t="s">
        <v>246</v>
      </c>
      <c r="C370" t="s">
        <v>31</v>
      </c>
      <c r="D370">
        <v>1.2421230053701051E-3</v>
      </c>
      <c r="E370" t="s">
        <v>6</v>
      </c>
      <c r="G370" t="s">
        <v>247</v>
      </c>
      <c r="H370" t="s">
        <v>31</v>
      </c>
      <c r="I370">
        <v>3.4889524767654452E-2</v>
      </c>
      <c r="J370" t="s">
        <v>6</v>
      </c>
      <c r="L370" t="s">
        <v>248</v>
      </c>
      <c r="M370" t="s">
        <v>31</v>
      </c>
      <c r="N370">
        <v>3.1763251842605852E-2</v>
      </c>
      <c r="O370" t="s">
        <v>6</v>
      </c>
    </row>
    <row r="371" spans="2:15" x14ac:dyDescent="0.45">
      <c r="B371" t="s">
        <v>249</v>
      </c>
      <c r="C371" t="s">
        <v>5</v>
      </c>
      <c r="D371">
        <v>0</v>
      </c>
      <c r="E371" t="s">
        <v>6</v>
      </c>
      <c r="G371" t="s">
        <v>250</v>
      </c>
      <c r="H371" t="s">
        <v>5</v>
      </c>
      <c r="I371">
        <v>0.11346281393390917</v>
      </c>
      <c r="J371" t="s">
        <v>6</v>
      </c>
      <c r="L371" t="s">
        <v>251</v>
      </c>
      <c r="M371" t="s">
        <v>5</v>
      </c>
      <c r="N371">
        <v>0.10053361325658904</v>
      </c>
      <c r="O371" t="s">
        <v>6</v>
      </c>
    </row>
    <row r="372" spans="2:15" x14ac:dyDescent="0.45">
      <c r="B372" t="s">
        <v>249</v>
      </c>
      <c r="C372" t="s">
        <v>9</v>
      </c>
      <c r="D372">
        <v>1.8224881575930798E-4</v>
      </c>
      <c r="E372" t="s">
        <v>6</v>
      </c>
      <c r="G372" t="s">
        <v>250</v>
      </c>
      <c r="H372" t="s">
        <v>9</v>
      </c>
      <c r="I372">
        <v>5.3901069389674143E-2</v>
      </c>
      <c r="J372" t="s">
        <v>6</v>
      </c>
      <c r="L372" t="s">
        <v>251</v>
      </c>
      <c r="M372" t="s">
        <v>9</v>
      </c>
      <c r="N372">
        <v>5.1814987019693164E-2</v>
      </c>
      <c r="O372" t="s">
        <v>6</v>
      </c>
    </row>
    <row r="373" spans="2:15" x14ac:dyDescent="0.45">
      <c r="B373" t="s">
        <v>249</v>
      </c>
      <c r="C373" t="s">
        <v>10</v>
      </c>
      <c r="D373">
        <v>2.9801971993867696E-2</v>
      </c>
      <c r="E373" t="s">
        <v>6</v>
      </c>
      <c r="G373" t="s">
        <v>250</v>
      </c>
      <c r="H373" t="s">
        <v>10</v>
      </c>
      <c r="I373">
        <v>3.9770301893783742E-2</v>
      </c>
      <c r="J373" t="s">
        <v>6</v>
      </c>
      <c r="L373" t="s">
        <v>251</v>
      </c>
      <c r="M373" t="s">
        <v>10</v>
      </c>
      <c r="N373">
        <v>3.8348030248410346E-2</v>
      </c>
      <c r="O373" t="s">
        <v>6</v>
      </c>
    </row>
    <row r="374" spans="2:15" x14ac:dyDescent="0.45">
      <c r="B374" t="s">
        <v>249</v>
      </c>
      <c r="C374" t="s">
        <v>11</v>
      </c>
      <c r="D374">
        <v>6.479403203611743E-2</v>
      </c>
      <c r="E374" t="s">
        <v>6</v>
      </c>
      <c r="G374" t="s">
        <v>250</v>
      </c>
      <c r="H374" t="s">
        <v>11</v>
      </c>
      <c r="I374">
        <v>4.123403553369781E-2</v>
      </c>
      <c r="J374" t="s">
        <v>6</v>
      </c>
      <c r="L374" t="s">
        <v>251</v>
      </c>
      <c r="M374" t="s">
        <v>11</v>
      </c>
      <c r="N374">
        <v>3.6910252200849057E-2</v>
      </c>
      <c r="O374" t="s">
        <v>6</v>
      </c>
    </row>
    <row r="375" spans="2:15" x14ac:dyDescent="0.45">
      <c r="B375" t="s">
        <v>249</v>
      </c>
      <c r="C375" t="s">
        <v>12</v>
      </c>
      <c r="D375">
        <v>2.6165587777902719E-2</v>
      </c>
      <c r="E375" t="s">
        <v>6</v>
      </c>
      <c r="G375" t="s">
        <v>250</v>
      </c>
      <c r="H375" t="s">
        <v>12</v>
      </c>
      <c r="I375">
        <v>3.9735007062886817E-2</v>
      </c>
      <c r="J375" t="s">
        <v>6</v>
      </c>
      <c r="L375" t="s">
        <v>251</v>
      </c>
      <c r="M375" t="s">
        <v>12</v>
      </c>
      <c r="N375">
        <v>3.7687535883910307E-2</v>
      </c>
      <c r="O375" t="s">
        <v>6</v>
      </c>
    </row>
    <row r="376" spans="2:15" x14ac:dyDescent="0.45">
      <c r="B376" t="s">
        <v>249</v>
      </c>
      <c r="C376" t="s">
        <v>13</v>
      </c>
      <c r="D376">
        <v>1.8326686128201765E-4</v>
      </c>
      <c r="E376" t="s">
        <v>6</v>
      </c>
      <c r="G376" t="s">
        <v>250</v>
      </c>
      <c r="H376" t="s">
        <v>13</v>
      </c>
      <c r="I376">
        <v>4.0946812838000217E-2</v>
      </c>
      <c r="J376" t="s">
        <v>6</v>
      </c>
      <c r="L376" t="s">
        <v>251</v>
      </c>
      <c r="M376" t="s">
        <v>13</v>
      </c>
      <c r="N376">
        <v>3.7814616024605292E-2</v>
      </c>
      <c r="O376" t="s">
        <v>6</v>
      </c>
    </row>
    <row r="377" spans="2:15" x14ac:dyDescent="0.45">
      <c r="B377" t="s">
        <v>249</v>
      </c>
      <c r="C377" t="s">
        <v>14</v>
      </c>
      <c r="D377">
        <v>1.4505284124698504E-7</v>
      </c>
      <c r="E377" t="s">
        <v>6</v>
      </c>
      <c r="G377" t="s">
        <v>250</v>
      </c>
      <c r="H377" t="s">
        <v>14</v>
      </c>
      <c r="I377">
        <v>8.1391458778860115E-2</v>
      </c>
      <c r="J377" t="s">
        <v>6</v>
      </c>
      <c r="L377" t="s">
        <v>251</v>
      </c>
      <c r="M377" t="s">
        <v>14</v>
      </c>
      <c r="N377">
        <v>7.7037148050264737E-2</v>
      </c>
      <c r="O377" t="s">
        <v>6</v>
      </c>
    </row>
    <row r="378" spans="2:15" x14ac:dyDescent="0.45">
      <c r="B378" t="s">
        <v>249</v>
      </c>
      <c r="C378" t="s">
        <v>15</v>
      </c>
      <c r="D378">
        <v>1.9258606193643377E-2</v>
      </c>
      <c r="E378" t="s">
        <v>6</v>
      </c>
      <c r="G378" t="s">
        <v>250</v>
      </c>
      <c r="H378" t="s">
        <v>15</v>
      </c>
      <c r="I378">
        <v>3.9375199404814362E-2</v>
      </c>
      <c r="J378" t="s">
        <v>6</v>
      </c>
      <c r="L378" t="s">
        <v>251</v>
      </c>
      <c r="M378" t="s">
        <v>15</v>
      </c>
      <c r="N378">
        <v>3.7143984851759661E-2</v>
      </c>
      <c r="O378" t="s">
        <v>6</v>
      </c>
    </row>
    <row r="379" spans="2:15" x14ac:dyDescent="0.45">
      <c r="B379" t="s">
        <v>249</v>
      </c>
      <c r="C379" t="s">
        <v>16</v>
      </c>
      <c r="D379">
        <v>9.521288612781223E-2</v>
      </c>
      <c r="E379" t="s">
        <v>6</v>
      </c>
      <c r="G379" t="s">
        <v>250</v>
      </c>
      <c r="H379" t="s">
        <v>16</v>
      </c>
      <c r="I379">
        <v>3.6453147483647336E-2</v>
      </c>
      <c r="J379" t="s">
        <v>6</v>
      </c>
      <c r="L379" t="s">
        <v>251</v>
      </c>
      <c r="M379" t="s">
        <v>16</v>
      </c>
      <c r="N379">
        <v>2.869374932867369E-2</v>
      </c>
      <c r="O379" t="s">
        <v>6</v>
      </c>
    </row>
    <row r="380" spans="2:15" x14ac:dyDescent="0.45">
      <c r="B380" t="s">
        <v>249</v>
      </c>
      <c r="C380" t="s">
        <v>17</v>
      </c>
      <c r="D380">
        <v>0.12453725100059126</v>
      </c>
      <c r="E380" t="s">
        <v>6</v>
      </c>
      <c r="G380" t="s">
        <v>250</v>
      </c>
      <c r="H380" t="s">
        <v>17</v>
      </c>
      <c r="I380">
        <v>3.8765188995791747E-2</v>
      </c>
      <c r="J380" t="s">
        <v>6</v>
      </c>
      <c r="L380" t="s">
        <v>251</v>
      </c>
      <c r="M380" t="s">
        <v>17</v>
      </c>
      <c r="N380">
        <v>3.0363010531033168E-2</v>
      </c>
      <c r="O380" t="s">
        <v>6</v>
      </c>
    </row>
    <row r="381" spans="2:15" x14ac:dyDescent="0.45">
      <c r="B381" t="s">
        <v>249</v>
      </c>
      <c r="C381" t="s">
        <v>18</v>
      </c>
      <c r="D381">
        <v>8.4093048199493731E-2</v>
      </c>
      <c r="E381" t="s">
        <v>6</v>
      </c>
      <c r="G381" t="s">
        <v>250</v>
      </c>
      <c r="H381" t="s">
        <v>18</v>
      </c>
      <c r="I381">
        <v>3.7703711694362728E-2</v>
      </c>
      <c r="J381" t="s">
        <v>6</v>
      </c>
      <c r="L381" t="s">
        <v>251</v>
      </c>
      <c r="M381" t="s">
        <v>18</v>
      </c>
      <c r="N381">
        <v>3.0506772472813609E-2</v>
      </c>
      <c r="O381" t="s">
        <v>6</v>
      </c>
    </row>
    <row r="382" spans="2:15" x14ac:dyDescent="0.45">
      <c r="B382" t="s">
        <v>249</v>
      </c>
      <c r="C382" t="s">
        <v>19</v>
      </c>
      <c r="D382">
        <v>1.184632608255826E-2</v>
      </c>
      <c r="E382" t="s">
        <v>6</v>
      </c>
      <c r="G382" t="s">
        <v>250</v>
      </c>
      <c r="H382" t="s">
        <v>19</v>
      </c>
      <c r="I382">
        <v>3.3499080486150093E-2</v>
      </c>
      <c r="J382" t="s">
        <v>6</v>
      </c>
      <c r="L382" t="s">
        <v>251</v>
      </c>
      <c r="M382" t="s">
        <v>19</v>
      </c>
      <c r="N382">
        <v>3.0291358662801478E-2</v>
      </c>
      <c r="O382" t="s">
        <v>6</v>
      </c>
    </row>
    <row r="383" spans="2:15" x14ac:dyDescent="0.45">
      <c r="B383" t="s">
        <v>249</v>
      </c>
      <c r="C383" t="s">
        <v>20</v>
      </c>
      <c r="D383">
        <v>5.6523996034022473E-5</v>
      </c>
      <c r="E383" t="s">
        <v>6</v>
      </c>
      <c r="G383" t="s">
        <v>250</v>
      </c>
      <c r="H383" t="s">
        <v>20</v>
      </c>
      <c r="I383">
        <v>3.6394245599538876E-2</v>
      </c>
      <c r="J383" t="s">
        <v>6</v>
      </c>
      <c r="L383" t="s">
        <v>251</v>
      </c>
      <c r="M383" t="s">
        <v>20</v>
      </c>
      <c r="N383">
        <v>7.0780471301462186E-2</v>
      </c>
      <c r="O383" t="s">
        <v>6</v>
      </c>
    </row>
    <row r="384" spans="2:15" x14ac:dyDescent="0.45">
      <c r="B384" t="s">
        <v>249</v>
      </c>
      <c r="C384" t="s">
        <v>21</v>
      </c>
      <c r="D384">
        <v>2.595574532940341E-2</v>
      </c>
      <c r="E384" t="s">
        <v>6</v>
      </c>
      <c r="G384" t="s">
        <v>250</v>
      </c>
      <c r="H384" t="s">
        <v>21</v>
      </c>
      <c r="I384">
        <v>1.8801562177208693E-2</v>
      </c>
      <c r="J384" t="s">
        <v>6</v>
      </c>
      <c r="L384" t="s">
        <v>251</v>
      </c>
      <c r="M384" t="s">
        <v>21</v>
      </c>
      <c r="N384">
        <v>3.5302326235394824E-2</v>
      </c>
      <c r="O384" t="s">
        <v>6</v>
      </c>
    </row>
    <row r="385" spans="2:15" x14ac:dyDescent="0.45">
      <c r="B385" t="s">
        <v>249</v>
      </c>
      <c r="C385" t="s">
        <v>22</v>
      </c>
      <c r="D385">
        <v>9.8138235884388497E-2</v>
      </c>
      <c r="E385" t="s">
        <v>6</v>
      </c>
      <c r="G385" t="s">
        <v>250</v>
      </c>
      <c r="H385" t="s">
        <v>22</v>
      </c>
      <c r="I385">
        <v>1.9267908270169946E-2</v>
      </c>
      <c r="J385" t="s">
        <v>6</v>
      </c>
      <c r="L385" t="s">
        <v>251</v>
      </c>
      <c r="M385" t="s">
        <v>22</v>
      </c>
      <c r="N385">
        <v>2.6287540000526504E-2</v>
      </c>
      <c r="O385" t="s">
        <v>6</v>
      </c>
    </row>
    <row r="386" spans="2:15" x14ac:dyDescent="0.45">
      <c r="B386" t="s">
        <v>249</v>
      </c>
      <c r="C386" t="s">
        <v>23</v>
      </c>
      <c r="D386">
        <v>0.12749647226305855</v>
      </c>
      <c r="E386" t="s">
        <v>6</v>
      </c>
      <c r="G386" t="s">
        <v>250</v>
      </c>
      <c r="H386" t="s">
        <v>23</v>
      </c>
      <c r="I386">
        <v>2.3167431572947282E-2</v>
      </c>
      <c r="J386" t="s">
        <v>6</v>
      </c>
      <c r="L386" t="s">
        <v>251</v>
      </c>
      <c r="M386" t="s">
        <v>23</v>
      </c>
      <c r="N386">
        <v>2.721946840153389E-2</v>
      </c>
      <c r="O386" t="s">
        <v>6</v>
      </c>
    </row>
    <row r="387" spans="2:15" x14ac:dyDescent="0.45">
      <c r="B387" t="s">
        <v>249</v>
      </c>
      <c r="C387" t="s">
        <v>24</v>
      </c>
      <c r="D387">
        <v>9.2436035478487971E-2</v>
      </c>
      <c r="E387" t="s">
        <v>6</v>
      </c>
      <c r="G387" t="s">
        <v>250</v>
      </c>
      <c r="H387" t="s">
        <v>24</v>
      </c>
      <c r="I387">
        <v>2.2493718580334585E-2</v>
      </c>
      <c r="J387" t="s">
        <v>6</v>
      </c>
      <c r="L387" t="s">
        <v>251</v>
      </c>
      <c r="M387" t="s">
        <v>24</v>
      </c>
      <c r="N387">
        <v>2.6654232606009153E-2</v>
      </c>
      <c r="O387" t="s">
        <v>6</v>
      </c>
    </row>
    <row r="388" spans="2:15" x14ac:dyDescent="0.45">
      <c r="B388" t="s">
        <v>249</v>
      </c>
      <c r="C388" t="s">
        <v>25</v>
      </c>
      <c r="D388">
        <v>1.9564372127416803E-2</v>
      </c>
      <c r="E388" t="s">
        <v>6</v>
      </c>
      <c r="G388" t="s">
        <v>250</v>
      </c>
      <c r="H388" t="s">
        <v>25</v>
      </c>
      <c r="I388">
        <v>1.8047198359181282E-2</v>
      </c>
      <c r="J388" t="s">
        <v>6</v>
      </c>
      <c r="L388" t="s">
        <v>251</v>
      </c>
      <c r="M388" t="s">
        <v>25</v>
      </c>
      <c r="N388">
        <v>2.6418834403840932E-2</v>
      </c>
      <c r="O388" t="s">
        <v>6</v>
      </c>
    </row>
    <row r="389" spans="2:15" x14ac:dyDescent="0.45">
      <c r="B389" t="s">
        <v>249</v>
      </c>
      <c r="C389" t="s">
        <v>26</v>
      </c>
      <c r="D389">
        <v>0</v>
      </c>
      <c r="E389" t="s">
        <v>6</v>
      </c>
      <c r="G389" t="s">
        <v>250</v>
      </c>
      <c r="H389" t="s">
        <v>26</v>
      </c>
      <c r="I389">
        <v>8.2674866618451331E-2</v>
      </c>
      <c r="J389" t="s">
        <v>6</v>
      </c>
      <c r="L389" t="s">
        <v>251</v>
      </c>
      <c r="M389" t="s">
        <v>26</v>
      </c>
      <c r="N389">
        <v>8.5720485375207225E-2</v>
      </c>
      <c r="O389" t="s">
        <v>6</v>
      </c>
    </row>
    <row r="390" spans="2:15" x14ac:dyDescent="0.45">
      <c r="B390" t="s">
        <v>249</v>
      </c>
      <c r="C390" t="s">
        <v>27</v>
      </c>
      <c r="D390">
        <v>3.7509897985811371E-3</v>
      </c>
      <c r="E390" t="s">
        <v>6</v>
      </c>
      <c r="G390" t="s">
        <v>250</v>
      </c>
      <c r="H390" t="s">
        <v>27</v>
      </c>
      <c r="I390">
        <v>4.115737897395131E-2</v>
      </c>
      <c r="J390" t="s">
        <v>6</v>
      </c>
      <c r="L390" t="s">
        <v>251</v>
      </c>
      <c r="M390" t="s">
        <v>27</v>
      </c>
      <c r="N390">
        <v>4.044836660280416E-2</v>
      </c>
      <c r="O390" t="s">
        <v>6</v>
      </c>
    </row>
    <row r="391" spans="2:15" x14ac:dyDescent="0.45">
      <c r="B391" t="s">
        <v>249</v>
      </c>
      <c r="C391" t="s">
        <v>28</v>
      </c>
      <c r="D391">
        <v>5.5121032756598895E-2</v>
      </c>
      <c r="E391" t="s">
        <v>6</v>
      </c>
      <c r="G391" t="s">
        <v>250</v>
      </c>
      <c r="H391" t="s">
        <v>28</v>
      </c>
      <c r="I391">
        <v>3.4367216265914081E-2</v>
      </c>
      <c r="J391" t="s">
        <v>6</v>
      </c>
      <c r="L391" t="s">
        <v>251</v>
      </c>
      <c r="M391" t="s">
        <v>28</v>
      </c>
      <c r="N391">
        <v>2.9635492104138593E-2</v>
      </c>
      <c r="O391" t="s">
        <v>6</v>
      </c>
    </row>
    <row r="392" spans="2:15" x14ac:dyDescent="0.45">
      <c r="B392" t="s">
        <v>249</v>
      </c>
      <c r="C392" t="s">
        <v>29</v>
      </c>
      <c r="D392">
        <v>8.1963284564642649E-2</v>
      </c>
      <c r="E392" t="s">
        <v>6</v>
      </c>
      <c r="G392" t="s">
        <v>250</v>
      </c>
      <c r="H392" t="s">
        <v>29</v>
      </c>
      <c r="I392">
        <v>3.834555535714694E-2</v>
      </c>
      <c r="J392" t="s">
        <v>6</v>
      </c>
      <c r="L392" t="s">
        <v>251</v>
      </c>
      <c r="M392" t="s">
        <v>29</v>
      </c>
      <c r="N392">
        <v>3.086767005348862E-2</v>
      </c>
      <c r="O392" t="s">
        <v>6</v>
      </c>
    </row>
    <row r="393" spans="2:15" x14ac:dyDescent="0.45">
      <c r="B393" t="s">
        <v>249</v>
      </c>
      <c r="C393" t="s">
        <v>30</v>
      </c>
      <c r="D393">
        <v>3.8058053685229618E-2</v>
      </c>
      <c r="E393" t="s">
        <v>6</v>
      </c>
      <c r="G393" t="s">
        <v>250</v>
      </c>
      <c r="H393" t="s">
        <v>30</v>
      </c>
      <c r="I393">
        <v>3.6302659155663379E-2</v>
      </c>
      <c r="J393" t="s">
        <v>6</v>
      </c>
      <c r="L393" t="s">
        <v>251</v>
      </c>
      <c r="M393" t="s">
        <v>30</v>
      </c>
      <c r="N393">
        <v>3.1522510119722034E-2</v>
      </c>
      <c r="O393" t="s">
        <v>6</v>
      </c>
    </row>
    <row r="394" spans="2:15" x14ac:dyDescent="0.45">
      <c r="B394" t="s">
        <v>249</v>
      </c>
      <c r="C394" t="s">
        <v>31</v>
      </c>
      <c r="D394">
        <v>1.383883974289337E-3</v>
      </c>
      <c r="E394" t="s">
        <v>6</v>
      </c>
      <c r="G394" t="s">
        <v>250</v>
      </c>
      <c r="H394" t="s">
        <v>31</v>
      </c>
      <c r="I394">
        <v>3.2742431573914065E-2</v>
      </c>
      <c r="J394" t="s">
        <v>6</v>
      </c>
      <c r="L394" t="s">
        <v>251</v>
      </c>
      <c r="M394" t="s">
        <v>31</v>
      </c>
      <c r="N394">
        <v>3.1997544264469713E-2</v>
      </c>
      <c r="O394" t="s">
        <v>6</v>
      </c>
    </row>
    <row r="395" spans="2:15" x14ac:dyDescent="0.45">
      <c r="B395" t="s">
        <v>252</v>
      </c>
      <c r="C395" t="s">
        <v>5</v>
      </c>
      <c r="D395">
        <v>0</v>
      </c>
      <c r="E395" t="s">
        <v>6</v>
      </c>
      <c r="G395" t="s">
        <v>253</v>
      </c>
      <c r="H395" t="s">
        <v>5</v>
      </c>
      <c r="I395">
        <v>0.11278612009938387</v>
      </c>
      <c r="J395" t="s">
        <v>6</v>
      </c>
      <c r="L395" t="s">
        <v>254</v>
      </c>
      <c r="M395" t="s">
        <v>5</v>
      </c>
      <c r="N395">
        <v>0.10295488505965214</v>
      </c>
      <c r="O395" t="s">
        <v>6</v>
      </c>
    </row>
    <row r="396" spans="2:15" x14ac:dyDescent="0.45">
      <c r="B396" t="s">
        <v>252</v>
      </c>
      <c r="C396" t="s">
        <v>9</v>
      </c>
      <c r="D396">
        <v>2.6695205651592263E-4</v>
      </c>
      <c r="E396" t="s">
        <v>6</v>
      </c>
      <c r="G396" t="s">
        <v>253</v>
      </c>
      <c r="H396" t="s">
        <v>9</v>
      </c>
      <c r="I396">
        <v>5.3646291212503264E-2</v>
      </c>
      <c r="J396" t="s">
        <v>6</v>
      </c>
      <c r="L396" t="s">
        <v>254</v>
      </c>
      <c r="M396" t="s">
        <v>9</v>
      </c>
      <c r="N396">
        <v>5.0259745854989803E-2</v>
      </c>
      <c r="O396" t="s">
        <v>6</v>
      </c>
    </row>
    <row r="397" spans="2:15" x14ac:dyDescent="0.45">
      <c r="B397" t="s">
        <v>252</v>
      </c>
      <c r="C397" t="s">
        <v>10</v>
      </c>
      <c r="D397">
        <v>3.3455171758515923E-2</v>
      </c>
      <c r="E397" t="s">
        <v>6</v>
      </c>
      <c r="G397" t="s">
        <v>253</v>
      </c>
      <c r="H397" t="s">
        <v>10</v>
      </c>
      <c r="I397">
        <v>3.8358711374866433E-2</v>
      </c>
      <c r="J397" t="s">
        <v>6</v>
      </c>
      <c r="L397" t="s">
        <v>254</v>
      </c>
      <c r="M397" t="s">
        <v>10</v>
      </c>
      <c r="N397">
        <v>3.6451254836259078E-2</v>
      </c>
      <c r="O397" t="s">
        <v>6</v>
      </c>
    </row>
    <row r="398" spans="2:15" x14ac:dyDescent="0.45">
      <c r="B398" t="s">
        <v>252</v>
      </c>
      <c r="C398" t="s">
        <v>11</v>
      </c>
      <c r="D398">
        <v>6.5587173529224496E-2</v>
      </c>
      <c r="E398" t="s">
        <v>6</v>
      </c>
      <c r="G398" t="s">
        <v>253</v>
      </c>
      <c r="H398" t="s">
        <v>11</v>
      </c>
      <c r="I398">
        <v>3.9066551472243208E-2</v>
      </c>
      <c r="J398" t="s">
        <v>6</v>
      </c>
      <c r="L398" t="s">
        <v>254</v>
      </c>
      <c r="M398" t="s">
        <v>11</v>
      </c>
      <c r="N398">
        <v>3.7414705449422908E-2</v>
      </c>
      <c r="O398" t="s">
        <v>6</v>
      </c>
    </row>
    <row r="399" spans="2:15" x14ac:dyDescent="0.45">
      <c r="B399" t="s">
        <v>252</v>
      </c>
      <c r="C399" t="s">
        <v>12</v>
      </c>
      <c r="D399">
        <v>2.3079513445148556E-2</v>
      </c>
      <c r="E399" t="s">
        <v>6</v>
      </c>
      <c r="G399" t="s">
        <v>253</v>
      </c>
      <c r="H399" t="s">
        <v>12</v>
      </c>
      <c r="I399">
        <v>3.9628009147563072E-2</v>
      </c>
      <c r="J399" t="s">
        <v>6</v>
      </c>
      <c r="L399" t="s">
        <v>254</v>
      </c>
      <c r="M399" t="s">
        <v>12</v>
      </c>
      <c r="N399">
        <v>3.7699619432378179E-2</v>
      </c>
      <c r="O399" t="s">
        <v>6</v>
      </c>
    </row>
    <row r="400" spans="2:15" x14ac:dyDescent="0.45">
      <c r="B400" t="s">
        <v>252</v>
      </c>
      <c r="C400" t="s">
        <v>13</v>
      </c>
      <c r="D400">
        <v>1.4596485168246465E-5</v>
      </c>
      <c r="E400" t="s">
        <v>6</v>
      </c>
      <c r="G400" t="s">
        <v>253</v>
      </c>
      <c r="H400" t="s">
        <v>13</v>
      </c>
      <c r="I400">
        <v>4.118085547247851E-2</v>
      </c>
      <c r="J400" t="s">
        <v>6</v>
      </c>
      <c r="L400" t="s">
        <v>254</v>
      </c>
      <c r="M400" t="s">
        <v>13</v>
      </c>
      <c r="N400">
        <v>3.7379560296356702E-2</v>
      </c>
      <c r="O400" t="s">
        <v>6</v>
      </c>
    </row>
    <row r="401" spans="2:15" x14ac:dyDescent="0.45">
      <c r="B401" t="s">
        <v>252</v>
      </c>
      <c r="C401" t="s">
        <v>14</v>
      </c>
      <c r="D401">
        <v>0</v>
      </c>
      <c r="E401" t="s">
        <v>6</v>
      </c>
      <c r="G401" t="s">
        <v>253</v>
      </c>
      <c r="H401" t="s">
        <v>14</v>
      </c>
      <c r="I401">
        <v>7.6380243002192469E-2</v>
      </c>
      <c r="J401" t="s">
        <v>6</v>
      </c>
      <c r="L401" t="s">
        <v>254</v>
      </c>
      <c r="M401" t="s">
        <v>14</v>
      </c>
      <c r="N401">
        <v>7.837612936537651E-2</v>
      </c>
      <c r="O401" t="s">
        <v>6</v>
      </c>
    </row>
    <row r="402" spans="2:15" x14ac:dyDescent="0.45">
      <c r="B402" t="s">
        <v>252</v>
      </c>
      <c r="C402" t="s">
        <v>15</v>
      </c>
      <c r="D402">
        <v>2.1290422290064878E-2</v>
      </c>
      <c r="E402" t="s">
        <v>6</v>
      </c>
      <c r="G402" t="s">
        <v>253</v>
      </c>
      <c r="H402" t="s">
        <v>15</v>
      </c>
      <c r="I402">
        <v>3.5183718734938467E-2</v>
      </c>
      <c r="J402" t="s">
        <v>6</v>
      </c>
      <c r="L402" t="s">
        <v>254</v>
      </c>
      <c r="M402" t="s">
        <v>15</v>
      </c>
      <c r="N402">
        <v>3.9107051616981171E-2</v>
      </c>
      <c r="O402" t="s">
        <v>6</v>
      </c>
    </row>
    <row r="403" spans="2:15" x14ac:dyDescent="0.45">
      <c r="B403" t="s">
        <v>252</v>
      </c>
      <c r="C403" t="s">
        <v>16</v>
      </c>
      <c r="D403">
        <v>9.6156682930277945E-2</v>
      </c>
      <c r="E403" t="s">
        <v>6</v>
      </c>
      <c r="G403" t="s">
        <v>253</v>
      </c>
      <c r="H403" t="s">
        <v>16</v>
      </c>
      <c r="I403">
        <v>3.1448226143354754E-2</v>
      </c>
      <c r="J403" t="s">
        <v>6</v>
      </c>
      <c r="L403" t="s">
        <v>254</v>
      </c>
      <c r="M403" t="s">
        <v>16</v>
      </c>
      <c r="N403">
        <v>2.9905697605785993E-2</v>
      </c>
      <c r="O403" t="s">
        <v>6</v>
      </c>
    </row>
    <row r="404" spans="2:15" x14ac:dyDescent="0.45">
      <c r="B404" t="s">
        <v>252</v>
      </c>
      <c r="C404" t="s">
        <v>17</v>
      </c>
      <c r="D404">
        <v>0.12217846895680465</v>
      </c>
      <c r="E404" t="s">
        <v>6</v>
      </c>
      <c r="G404" t="s">
        <v>253</v>
      </c>
      <c r="H404" t="s">
        <v>17</v>
      </c>
      <c r="I404">
        <v>3.4676309866861967E-2</v>
      </c>
      <c r="J404" t="s">
        <v>6</v>
      </c>
      <c r="L404" t="s">
        <v>254</v>
      </c>
      <c r="M404" t="s">
        <v>17</v>
      </c>
      <c r="N404">
        <v>3.0508460123430111E-2</v>
      </c>
      <c r="O404" t="s">
        <v>6</v>
      </c>
    </row>
    <row r="405" spans="2:15" x14ac:dyDescent="0.45">
      <c r="B405" t="s">
        <v>252</v>
      </c>
      <c r="C405" t="s">
        <v>18</v>
      </c>
      <c r="D405">
        <v>8.0631869430576986E-2</v>
      </c>
      <c r="E405" t="s">
        <v>6</v>
      </c>
      <c r="G405" t="s">
        <v>253</v>
      </c>
      <c r="H405" t="s">
        <v>18</v>
      </c>
      <c r="I405">
        <v>3.3861896181296175E-2</v>
      </c>
      <c r="J405" t="s">
        <v>6</v>
      </c>
      <c r="L405" t="s">
        <v>254</v>
      </c>
      <c r="M405" t="s">
        <v>18</v>
      </c>
      <c r="N405">
        <v>3.0485156607830188E-2</v>
      </c>
      <c r="O405" t="s">
        <v>6</v>
      </c>
    </row>
    <row r="406" spans="2:15" x14ac:dyDescent="0.45">
      <c r="B406" t="s">
        <v>252</v>
      </c>
      <c r="C406" t="s">
        <v>19</v>
      </c>
      <c r="D406">
        <v>1.0450654818037619E-2</v>
      </c>
      <c r="E406" t="s">
        <v>6</v>
      </c>
      <c r="G406" t="s">
        <v>253</v>
      </c>
      <c r="H406" t="s">
        <v>19</v>
      </c>
      <c r="I406">
        <v>3.1595994232294637E-2</v>
      </c>
      <c r="J406" t="s">
        <v>6</v>
      </c>
      <c r="L406" t="s">
        <v>254</v>
      </c>
      <c r="M406" t="s">
        <v>19</v>
      </c>
      <c r="N406">
        <v>3.0255621244852135E-2</v>
      </c>
      <c r="O406" t="s">
        <v>6</v>
      </c>
    </row>
    <row r="407" spans="2:15" x14ac:dyDescent="0.45">
      <c r="B407" t="s">
        <v>252</v>
      </c>
      <c r="C407" t="s">
        <v>20</v>
      </c>
      <c r="D407">
        <v>2.895955198001119E-5</v>
      </c>
      <c r="E407" t="s">
        <v>6</v>
      </c>
      <c r="G407" t="s">
        <v>253</v>
      </c>
      <c r="H407" t="s">
        <v>20</v>
      </c>
      <c r="I407">
        <v>4.5360768981123144E-2</v>
      </c>
      <c r="J407" t="s">
        <v>6</v>
      </c>
      <c r="L407" t="s">
        <v>254</v>
      </c>
      <c r="M407" t="s">
        <v>20</v>
      </c>
      <c r="N407">
        <v>7.1078199170687695E-2</v>
      </c>
      <c r="O407" t="s">
        <v>6</v>
      </c>
    </row>
    <row r="408" spans="2:15" x14ac:dyDescent="0.45">
      <c r="B408" t="s">
        <v>252</v>
      </c>
      <c r="C408" t="s">
        <v>21</v>
      </c>
      <c r="D408">
        <v>2.9418380274606731E-2</v>
      </c>
      <c r="E408" t="s">
        <v>6</v>
      </c>
      <c r="G408" t="s">
        <v>253</v>
      </c>
      <c r="H408" t="s">
        <v>21</v>
      </c>
      <c r="I408">
        <v>2.4713100953340214E-2</v>
      </c>
      <c r="J408" t="s">
        <v>6</v>
      </c>
      <c r="L408" t="s">
        <v>254</v>
      </c>
      <c r="M408" t="s">
        <v>21</v>
      </c>
      <c r="N408">
        <v>3.5507878853277289E-2</v>
      </c>
      <c r="O408" t="s">
        <v>6</v>
      </c>
    </row>
    <row r="409" spans="2:15" x14ac:dyDescent="0.45">
      <c r="B409" t="s">
        <v>252</v>
      </c>
      <c r="C409" t="s">
        <v>22</v>
      </c>
      <c r="D409">
        <v>0.1042242529463403</v>
      </c>
      <c r="E409" t="s">
        <v>6</v>
      </c>
      <c r="G409" t="s">
        <v>253</v>
      </c>
      <c r="H409" t="s">
        <v>22</v>
      </c>
      <c r="I409">
        <v>2.2831979856915888E-2</v>
      </c>
      <c r="J409" t="s">
        <v>6</v>
      </c>
      <c r="L409" t="s">
        <v>254</v>
      </c>
      <c r="M409" t="s">
        <v>22</v>
      </c>
      <c r="N409">
        <v>2.6808642363676034E-2</v>
      </c>
      <c r="O409" t="s">
        <v>6</v>
      </c>
    </row>
    <row r="410" spans="2:15" x14ac:dyDescent="0.45">
      <c r="B410" t="s">
        <v>252</v>
      </c>
      <c r="C410" t="s">
        <v>23</v>
      </c>
      <c r="D410">
        <v>0.12659508526246849</v>
      </c>
      <c r="E410" t="s">
        <v>6</v>
      </c>
      <c r="G410" t="s">
        <v>253</v>
      </c>
      <c r="H410" t="s">
        <v>23</v>
      </c>
      <c r="I410">
        <v>2.5308717179212115E-2</v>
      </c>
      <c r="J410" t="s">
        <v>6</v>
      </c>
      <c r="L410" t="s">
        <v>254</v>
      </c>
      <c r="M410" t="s">
        <v>23</v>
      </c>
      <c r="N410">
        <v>2.6852808193961332E-2</v>
      </c>
      <c r="O410" t="s">
        <v>6</v>
      </c>
    </row>
    <row r="411" spans="2:15" x14ac:dyDescent="0.45">
      <c r="B411" t="s">
        <v>252</v>
      </c>
      <c r="C411" t="s">
        <v>24</v>
      </c>
      <c r="D411">
        <v>8.6509278621040339E-2</v>
      </c>
      <c r="E411" t="s">
        <v>6</v>
      </c>
      <c r="G411" t="s">
        <v>253</v>
      </c>
      <c r="H411" t="s">
        <v>24</v>
      </c>
      <c r="I411">
        <v>2.4082636762396196E-2</v>
      </c>
      <c r="J411" t="s">
        <v>6</v>
      </c>
      <c r="L411" t="s">
        <v>254</v>
      </c>
      <c r="M411" t="s">
        <v>24</v>
      </c>
      <c r="N411">
        <v>2.6543495571315696E-2</v>
      </c>
      <c r="O411" t="s">
        <v>6</v>
      </c>
    </row>
    <row r="412" spans="2:15" x14ac:dyDescent="0.45">
      <c r="B412" t="s">
        <v>252</v>
      </c>
      <c r="C412" t="s">
        <v>25</v>
      </c>
      <c r="D412">
        <v>1.7544662089077481E-2</v>
      </c>
      <c r="E412" t="s">
        <v>6</v>
      </c>
      <c r="G412" t="s">
        <v>253</v>
      </c>
      <c r="H412" t="s">
        <v>25</v>
      </c>
      <c r="I412">
        <v>2.0021432737998075E-2</v>
      </c>
      <c r="J412" t="s">
        <v>6</v>
      </c>
      <c r="L412" t="s">
        <v>254</v>
      </c>
      <c r="M412" t="s">
        <v>25</v>
      </c>
      <c r="N412">
        <v>2.6530581856804094E-2</v>
      </c>
      <c r="O412" t="s">
        <v>6</v>
      </c>
    </row>
    <row r="413" spans="2:15" x14ac:dyDescent="0.45">
      <c r="B413" t="s">
        <v>252</v>
      </c>
      <c r="C413" t="s">
        <v>26</v>
      </c>
      <c r="D413">
        <v>0</v>
      </c>
      <c r="E413" t="s">
        <v>6</v>
      </c>
      <c r="G413" t="s">
        <v>253</v>
      </c>
      <c r="H413" t="s">
        <v>26</v>
      </c>
      <c r="I413">
        <v>8.5895868445302601E-2</v>
      </c>
      <c r="J413" t="s">
        <v>6</v>
      </c>
      <c r="L413" t="s">
        <v>254</v>
      </c>
      <c r="M413" t="s">
        <v>26</v>
      </c>
      <c r="N413">
        <v>8.3271638022110489E-2</v>
      </c>
      <c r="O413" t="s">
        <v>6</v>
      </c>
    </row>
    <row r="414" spans="2:15" x14ac:dyDescent="0.45">
      <c r="B414" t="s">
        <v>252</v>
      </c>
      <c r="C414" t="s">
        <v>27</v>
      </c>
      <c r="D414">
        <v>5.0575938219971127E-3</v>
      </c>
      <c r="E414" t="s">
        <v>6</v>
      </c>
      <c r="G414" t="s">
        <v>253</v>
      </c>
      <c r="H414" t="s">
        <v>27</v>
      </c>
      <c r="I414">
        <v>4.237928519286694E-2</v>
      </c>
      <c r="J414" t="s">
        <v>6</v>
      </c>
      <c r="L414" t="s">
        <v>254</v>
      </c>
      <c r="M414" t="s">
        <v>27</v>
      </c>
      <c r="N414">
        <v>3.9572357792165246E-2</v>
      </c>
      <c r="O414" t="s">
        <v>6</v>
      </c>
    </row>
    <row r="415" spans="2:15" x14ac:dyDescent="0.45">
      <c r="B415" t="s">
        <v>252</v>
      </c>
      <c r="C415" t="s">
        <v>28</v>
      </c>
      <c r="D415">
        <v>5.9226866819301546E-2</v>
      </c>
      <c r="E415" t="s">
        <v>6</v>
      </c>
      <c r="G415" t="s">
        <v>253</v>
      </c>
      <c r="H415" t="s">
        <v>28</v>
      </c>
      <c r="I415">
        <v>3.450632530369363E-2</v>
      </c>
      <c r="J415" t="s">
        <v>6</v>
      </c>
      <c r="L415" t="s">
        <v>254</v>
      </c>
      <c r="M415" t="s">
        <v>28</v>
      </c>
      <c r="N415">
        <v>3.0635568852919799E-2</v>
      </c>
      <c r="O415" t="s">
        <v>6</v>
      </c>
    </row>
    <row r="416" spans="2:15" x14ac:dyDescent="0.45">
      <c r="B416" t="s">
        <v>252</v>
      </c>
      <c r="C416" t="s">
        <v>29</v>
      </c>
      <c r="D416">
        <v>8.1529135899219229E-2</v>
      </c>
      <c r="E416" t="s">
        <v>6</v>
      </c>
      <c r="G416" t="s">
        <v>253</v>
      </c>
      <c r="H416" t="s">
        <v>29</v>
      </c>
      <c r="I416">
        <v>3.7172253015653703E-2</v>
      </c>
      <c r="J416" t="s">
        <v>6</v>
      </c>
      <c r="L416" t="s">
        <v>254</v>
      </c>
      <c r="M416" t="s">
        <v>29</v>
      </c>
      <c r="N416">
        <v>3.1143371406531888E-2</v>
      </c>
      <c r="O416" t="s">
        <v>6</v>
      </c>
    </row>
    <row r="417" spans="2:15" x14ac:dyDescent="0.45">
      <c r="B417" t="s">
        <v>252</v>
      </c>
      <c r="C417" t="s">
        <v>30</v>
      </c>
      <c r="D417">
        <v>3.5645731605869799E-2</v>
      </c>
      <c r="E417" t="s">
        <v>6</v>
      </c>
      <c r="G417" t="s">
        <v>253</v>
      </c>
      <c r="H417" t="s">
        <v>30</v>
      </c>
      <c r="I417">
        <v>3.60516887575048E-2</v>
      </c>
      <c r="J417" t="s">
        <v>6</v>
      </c>
      <c r="L417" t="s">
        <v>254</v>
      </c>
      <c r="M417" t="s">
        <v>30</v>
      </c>
      <c r="N417">
        <v>3.0607973891743568E-2</v>
      </c>
      <c r="O417" t="s">
        <v>6</v>
      </c>
    </row>
    <row r="418" spans="2:15" x14ac:dyDescent="0.45">
      <c r="B418" t="s">
        <v>252</v>
      </c>
      <c r="C418" t="s">
        <v>31</v>
      </c>
      <c r="D418">
        <v>1.1085474077637916E-3</v>
      </c>
      <c r="E418" t="s">
        <v>6</v>
      </c>
      <c r="G418" t="s">
        <v>253</v>
      </c>
      <c r="H418" t="s">
        <v>31</v>
      </c>
      <c r="I418">
        <v>3.3863015874013844E-2</v>
      </c>
      <c r="J418" t="s">
        <v>6</v>
      </c>
      <c r="L418" t="s">
        <v>254</v>
      </c>
      <c r="M418" t="s">
        <v>31</v>
      </c>
      <c r="N418">
        <v>3.0649596531494232E-2</v>
      </c>
      <c r="O418" t="s">
        <v>6</v>
      </c>
    </row>
    <row r="419" spans="2:15" x14ac:dyDescent="0.45">
      <c r="B419" t="s">
        <v>255</v>
      </c>
      <c r="C419" t="s">
        <v>5</v>
      </c>
      <c r="D419">
        <v>0</v>
      </c>
      <c r="E419" t="s">
        <v>6</v>
      </c>
      <c r="G419" t="s">
        <v>256</v>
      </c>
      <c r="H419" t="s">
        <v>5</v>
      </c>
      <c r="I419">
        <v>0.10355646798368265</v>
      </c>
      <c r="J419" t="s">
        <v>6</v>
      </c>
      <c r="L419" t="s">
        <v>257</v>
      </c>
      <c r="M419" t="s">
        <v>5</v>
      </c>
      <c r="N419">
        <v>0.10404466636529812</v>
      </c>
      <c r="O419" t="s">
        <v>6</v>
      </c>
    </row>
    <row r="420" spans="2:15" x14ac:dyDescent="0.45">
      <c r="B420" t="s">
        <v>255</v>
      </c>
      <c r="C420" t="s">
        <v>9</v>
      </c>
      <c r="D420">
        <v>3.0591384444553639E-4</v>
      </c>
      <c r="E420" t="s">
        <v>6</v>
      </c>
      <c r="G420" t="s">
        <v>256</v>
      </c>
      <c r="H420" t="s">
        <v>9</v>
      </c>
      <c r="I420">
        <v>5.1257827139972144E-2</v>
      </c>
      <c r="J420" t="s">
        <v>6</v>
      </c>
      <c r="L420" t="s">
        <v>257</v>
      </c>
      <c r="M420" t="s">
        <v>9</v>
      </c>
      <c r="N420">
        <v>5.0195074875117769E-2</v>
      </c>
      <c r="O420" t="s">
        <v>6</v>
      </c>
    </row>
    <row r="421" spans="2:15" x14ac:dyDescent="0.45">
      <c r="B421" t="s">
        <v>255</v>
      </c>
      <c r="C421" t="s">
        <v>10</v>
      </c>
      <c r="D421">
        <v>3.2252080827652095E-2</v>
      </c>
      <c r="E421" t="s">
        <v>6</v>
      </c>
      <c r="G421" t="s">
        <v>256</v>
      </c>
      <c r="H421" t="s">
        <v>10</v>
      </c>
      <c r="I421">
        <v>3.7563294413613425E-2</v>
      </c>
      <c r="J421" t="s">
        <v>6</v>
      </c>
      <c r="L421" t="s">
        <v>257</v>
      </c>
      <c r="M421" t="s">
        <v>10</v>
      </c>
      <c r="N421">
        <v>3.644721518642529E-2</v>
      </c>
      <c r="O421" t="s">
        <v>6</v>
      </c>
    </row>
    <row r="422" spans="2:15" x14ac:dyDescent="0.45">
      <c r="B422" t="s">
        <v>255</v>
      </c>
      <c r="C422" t="s">
        <v>11</v>
      </c>
      <c r="D422">
        <v>6.4369734403496887E-2</v>
      </c>
      <c r="E422" t="s">
        <v>6</v>
      </c>
      <c r="G422" t="s">
        <v>256</v>
      </c>
      <c r="H422" t="s">
        <v>11</v>
      </c>
      <c r="I422">
        <v>3.6476926084029491E-2</v>
      </c>
      <c r="J422" t="s">
        <v>6</v>
      </c>
      <c r="L422" t="s">
        <v>257</v>
      </c>
      <c r="M422" t="s">
        <v>11</v>
      </c>
      <c r="N422">
        <v>3.7165359505326963E-2</v>
      </c>
      <c r="O422" t="s">
        <v>6</v>
      </c>
    </row>
    <row r="423" spans="2:15" x14ac:dyDescent="0.45">
      <c r="B423" t="s">
        <v>255</v>
      </c>
      <c r="C423" t="s">
        <v>12</v>
      </c>
      <c r="D423">
        <v>2.4616360768021726E-2</v>
      </c>
      <c r="E423" t="s">
        <v>6</v>
      </c>
      <c r="G423" t="s">
        <v>256</v>
      </c>
      <c r="H423" t="s">
        <v>12</v>
      </c>
      <c r="I423">
        <v>3.6755639118227185E-2</v>
      </c>
      <c r="J423" t="s">
        <v>6</v>
      </c>
      <c r="L423" t="s">
        <v>257</v>
      </c>
      <c r="M423" t="s">
        <v>12</v>
      </c>
      <c r="N423">
        <v>3.8037132912110076E-2</v>
      </c>
      <c r="O423" t="s">
        <v>6</v>
      </c>
    </row>
    <row r="424" spans="2:15" x14ac:dyDescent="0.45">
      <c r="B424" t="s">
        <v>255</v>
      </c>
      <c r="C424" t="s">
        <v>13</v>
      </c>
      <c r="D424">
        <v>8.2274076322526443E-5</v>
      </c>
      <c r="E424" t="s">
        <v>6</v>
      </c>
      <c r="G424" t="s">
        <v>256</v>
      </c>
      <c r="H424" t="s">
        <v>13</v>
      </c>
      <c r="I424">
        <v>3.7958513703882396E-2</v>
      </c>
      <c r="J424" t="s">
        <v>6</v>
      </c>
      <c r="L424" t="s">
        <v>257</v>
      </c>
      <c r="M424" t="s">
        <v>13</v>
      </c>
      <c r="N424">
        <v>3.9133876166944581E-2</v>
      </c>
      <c r="O424" t="s">
        <v>6</v>
      </c>
    </row>
    <row r="425" spans="2:15" x14ac:dyDescent="0.45">
      <c r="B425" t="s">
        <v>255</v>
      </c>
      <c r="C425" t="s">
        <v>14</v>
      </c>
      <c r="D425">
        <v>0</v>
      </c>
      <c r="E425" t="s">
        <v>6</v>
      </c>
      <c r="G425" t="s">
        <v>256</v>
      </c>
      <c r="H425" t="s">
        <v>14</v>
      </c>
      <c r="I425">
        <v>7.8068949423644521E-2</v>
      </c>
      <c r="J425" t="s">
        <v>6</v>
      </c>
      <c r="L425" t="s">
        <v>257</v>
      </c>
      <c r="M425" t="s">
        <v>14</v>
      </c>
      <c r="N425">
        <v>7.8569060666355592E-2</v>
      </c>
      <c r="O425" t="s">
        <v>6</v>
      </c>
    </row>
    <row r="426" spans="2:15" x14ac:dyDescent="0.45">
      <c r="B426" t="s">
        <v>255</v>
      </c>
      <c r="C426" t="s">
        <v>15</v>
      </c>
      <c r="D426">
        <v>2.0395419579702881E-2</v>
      </c>
      <c r="E426" t="s">
        <v>6</v>
      </c>
      <c r="G426" t="s">
        <v>256</v>
      </c>
      <c r="H426" t="s">
        <v>15</v>
      </c>
      <c r="I426">
        <v>3.535106684688142E-2</v>
      </c>
      <c r="J426" t="s">
        <v>6</v>
      </c>
      <c r="L426" t="s">
        <v>257</v>
      </c>
      <c r="M426" t="s">
        <v>15</v>
      </c>
      <c r="N426">
        <v>3.9086917076320893E-2</v>
      </c>
      <c r="O426" t="s">
        <v>6</v>
      </c>
    </row>
    <row r="427" spans="2:15" x14ac:dyDescent="0.45">
      <c r="B427" t="s">
        <v>255</v>
      </c>
      <c r="C427" t="s">
        <v>16</v>
      </c>
      <c r="D427">
        <v>9.7155281528547119E-2</v>
      </c>
      <c r="E427" t="s">
        <v>6</v>
      </c>
      <c r="G427" t="s">
        <v>256</v>
      </c>
      <c r="H427" t="s">
        <v>16</v>
      </c>
      <c r="I427">
        <v>2.7824045819524825E-2</v>
      </c>
      <c r="J427" t="s">
        <v>6</v>
      </c>
      <c r="L427" t="s">
        <v>257</v>
      </c>
      <c r="M427" t="s">
        <v>16</v>
      </c>
      <c r="N427">
        <v>2.9810254164796466E-2</v>
      </c>
      <c r="O427" t="s">
        <v>6</v>
      </c>
    </row>
    <row r="428" spans="2:15" x14ac:dyDescent="0.45">
      <c r="B428" t="s">
        <v>255</v>
      </c>
      <c r="C428" t="s">
        <v>17</v>
      </c>
      <c r="D428">
        <v>0.12202432799321213</v>
      </c>
      <c r="E428" t="s">
        <v>6</v>
      </c>
      <c r="G428" t="s">
        <v>256</v>
      </c>
      <c r="H428" t="s">
        <v>17</v>
      </c>
      <c r="I428">
        <v>2.9932236879406954E-2</v>
      </c>
      <c r="J428" t="s">
        <v>6</v>
      </c>
      <c r="L428" t="s">
        <v>257</v>
      </c>
      <c r="M428" t="s">
        <v>17</v>
      </c>
      <c r="N428">
        <v>3.025857060195522E-2</v>
      </c>
      <c r="O428" t="s">
        <v>6</v>
      </c>
    </row>
    <row r="429" spans="2:15" x14ac:dyDescent="0.45">
      <c r="B429" t="s">
        <v>255</v>
      </c>
      <c r="C429" t="s">
        <v>18</v>
      </c>
      <c r="D429">
        <v>8.2722596853264982E-2</v>
      </c>
      <c r="E429" t="s">
        <v>6</v>
      </c>
      <c r="G429" t="s">
        <v>256</v>
      </c>
      <c r="H429" t="s">
        <v>18</v>
      </c>
      <c r="I429">
        <v>3.1618423770287306E-2</v>
      </c>
      <c r="J429" t="s">
        <v>6</v>
      </c>
      <c r="L429" t="s">
        <v>257</v>
      </c>
      <c r="M429" t="s">
        <v>18</v>
      </c>
      <c r="N429">
        <v>3.0174108659364967E-2</v>
      </c>
      <c r="O429" t="s">
        <v>6</v>
      </c>
    </row>
    <row r="430" spans="2:15" x14ac:dyDescent="0.45">
      <c r="B430" t="s">
        <v>255</v>
      </c>
      <c r="C430" t="s">
        <v>19</v>
      </c>
      <c r="D430">
        <v>1.0170247624800767E-2</v>
      </c>
      <c r="E430" t="s">
        <v>6</v>
      </c>
      <c r="G430" t="s">
        <v>256</v>
      </c>
      <c r="H430" t="s">
        <v>19</v>
      </c>
      <c r="I430">
        <v>3.1528899000004218E-2</v>
      </c>
      <c r="J430" t="s">
        <v>6</v>
      </c>
      <c r="L430" t="s">
        <v>257</v>
      </c>
      <c r="M430" t="s">
        <v>19</v>
      </c>
      <c r="N430">
        <v>3.0286177572817593E-2</v>
      </c>
      <c r="O430" t="s">
        <v>6</v>
      </c>
    </row>
    <row r="431" spans="2:15" x14ac:dyDescent="0.45">
      <c r="B431" t="s">
        <v>255</v>
      </c>
      <c r="C431" t="s">
        <v>20</v>
      </c>
      <c r="D431">
        <v>8.0547024187993706E-6</v>
      </c>
      <c r="E431" t="s">
        <v>6</v>
      </c>
      <c r="G431" t="s">
        <v>256</v>
      </c>
      <c r="H431" t="s">
        <v>20</v>
      </c>
      <c r="I431">
        <v>5.7649294520029551E-2</v>
      </c>
      <c r="J431" t="s">
        <v>6</v>
      </c>
      <c r="L431" t="s">
        <v>257</v>
      </c>
      <c r="M431" t="s">
        <v>20</v>
      </c>
      <c r="N431">
        <v>6.8310019589040857E-2</v>
      </c>
      <c r="O431" t="s">
        <v>6</v>
      </c>
    </row>
    <row r="432" spans="2:15" x14ac:dyDescent="0.45">
      <c r="B432" t="s">
        <v>255</v>
      </c>
      <c r="C432" t="s">
        <v>21</v>
      </c>
      <c r="D432">
        <v>2.8226138319048227E-2</v>
      </c>
      <c r="E432" t="s">
        <v>6</v>
      </c>
      <c r="G432" t="s">
        <v>256</v>
      </c>
      <c r="H432" t="s">
        <v>21</v>
      </c>
      <c r="I432">
        <v>3.0618727173633259E-2</v>
      </c>
      <c r="J432" t="s">
        <v>6</v>
      </c>
      <c r="L432" t="s">
        <v>257</v>
      </c>
      <c r="M432" t="s">
        <v>21</v>
      </c>
      <c r="N432">
        <v>3.3858012167631617E-2</v>
      </c>
      <c r="O432" t="s">
        <v>6</v>
      </c>
    </row>
    <row r="433" spans="2:15" x14ac:dyDescent="0.45">
      <c r="B433" t="s">
        <v>255</v>
      </c>
      <c r="C433" t="s">
        <v>22</v>
      </c>
      <c r="D433">
        <v>0.10330230679512827</v>
      </c>
      <c r="E433" t="s">
        <v>6</v>
      </c>
      <c r="G433" t="s">
        <v>256</v>
      </c>
      <c r="H433" t="s">
        <v>22</v>
      </c>
      <c r="I433">
        <v>2.4112093568910361E-2</v>
      </c>
      <c r="J433" t="s">
        <v>6</v>
      </c>
      <c r="L433" t="s">
        <v>257</v>
      </c>
      <c r="M433" t="s">
        <v>22</v>
      </c>
      <c r="N433">
        <v>2.4855852113360589E-2</v>
      </c>
      <c r="O433" t="s">
        <v>6</v>
      </c>
    </row>
    <row r="434" spans="2:15" x14ac:dyDescent="0.45">
      <c r="B434" t="s">
        <v>255</v>
      </c>
      <c r="C434" t="s">
        <v>23</v>
      </c>
      <c r="D434">
        <v>0.12957504329166189</v>
      </c>
      <c r="E434" t="s">
        <v>6</v>
      </c>
      <c r="G434" t="s">
        <v>256</v>
      </c>
      <c r="H434" t="s">
        <v>23</v>
      </c>
      <c r="I434">
        <v>2.4186931539683452E-2</v>
      </c>
      <c r="J434" t="s">
        <v>6</v>
      </c>
      <c r="L434" t="s">
        <v>257</v>
      </c>
      <c r="M434" t="s">
        <v>23</v>
      </c>
      <c r="N434">
        <v>2.5323017037862609E-2</v>
      </c>
      <c r="O434" t="s">
        <v>6</v>
      </c>
    </row>
    <row r="435" spans="2:15" x14ac:dyDescent="0.45">
      <c r="B435" t="s">
        <v>255</v>
      </c>
      <c r="C435" t="s">
        <v>24</v>
      </c>
      <c r="D435">
        <v>8.8759323704739435E-2</v>
      </c>
      <c r="E435" t="s">
        <v>6</v>
      </c>
      <c r="G435" t="s">
        <v>256</v>
      </c>
      <c r="H435" t="s">
        <v>24</v>
      </c>
      <c r="I435">
        <v>2.3462108736888393E-2</v>
      </c>
      <c r="J435" t="s">
        <v>6</v>
      </c>
      <c r="L435" t="s">
        <v>257</v>
      </c>
      <c r="M435" t="s">
        <v>24</v>
      </c>
      <c r="N435">
        <v>2.5697869785651216E-2</v>
      </c>
      <c r="O435" t="s">
        <v>6</v>
      </c>
    </row>
    <row r="436" spans="2:15" x14ac:dyDescent="0.45">
      <c r="B436" t="s">
        <v>255</v>
      </c>
      <c r="C436" t="s">
        <v>25</v>
      </c>
      <c r="D436">
        <v>1.7173592867584568E-2</v>
      </c>
      <c r="E436" t="s">
        <v>6</v>
      </c>
      <c r="G436" t="s">
        <v>256</v>
      </c>
      <c r="H436" t="s">
        <v>25</v>
      </c>
      <c r="I436">
        <v>2.2046995488098464E-2</v>
      </c>
      <c r="J436" t="s">
        <v>6</v>
      </c>
      <c r="L436" t="s">
        <v>257</v>
      </c>
      <c r="M436" t="s">
        <v>25</v>
      </c>
      <c r="N436">
        <v>2.5350412561831844E-2</v>
      </c>
      <c r="O436" t="s">
        <v>6</v>
      </c>
    </row>
    <row r="437" spans="2:15" x14ac:dyDescent="0.45">
      <c r="B437" t="s">
        <v>255</v>
      </c>
      <c r="C437" t="s">
        <v>26</v>
      </c>
      <c r="D437">
        <v>0</v>
      </c>
      <c r="E437" t="s">
        <v>6</v>
      </c>
      <c r="G437" t="s">
        <v>256</v>
      </c>
      <c r="H437" t="s">
        <v>26</v>
      </c>
      <c r="I437">
        <v>9.4587248289069489E-2</v>
      </c>
      <c r="J437" t="s">
        <v>6</v>
      </c>
      <c r="L437" t="s">
        <v>257</v>
      </c>
      <c r="M437" t="s">
        <v>26</v>
      </c>
      <c r="N437">
        <v>8.3612056041097477E-2</v>
      </c>
      <c r="O437" t="s">
        <v>6</v>
      </c>
    </row>
    <row r="438" spans="2:15" x14ac:dyDescent="0.45">
      <c r="B438" t="s">
        <v>255</v>
      </c>
      <c r="C438" t="s">
        <v>27</v>
      </c>
      <c r="D438">
        <v>4.4043410268655549E-3</v>
      </c>
      <c r="E438" t="s">
        <v>6</v>
      </c>
      <c r="G438" t="s">
        <v>256</v>
      </c>
      <c r="H438" t="s">
        <v>27</v>
      </c>
      <c r="I438">
        <v>4.5279381555199151E-2</v>
      </c>
      <c r="J438" t="s">
        <v>6</v>
      </c>
      <c r="L438" t="s">
        <v>257</v>
      </c>
      <c r="M438" t="s">
        <v>27</v>
      </c>
      <c r="N438">
        <v>4.2170042513667759E-2</v>
      </c>
      <c r="O438" t="s">
        <v>6</v>
      </c>
    </row>
    <row r="439" spans="2:15" x14ac:dyDescent="0.45">
      <c r="B439" t="s">
        <v>255</v>
      </c>
      <c r="C439" t="s">
        <v>28</v>
      </c>
      <c r="D439">
        <v>5.5876005189737503E-2</v>
      </c>
      <c r="E439" t="s">
        <v>6</v>
      </c>
      <c r="G439" t="s">
        <v>256</v>
      </c>
      <c r="H439" t="s">
        <v>28</v>
      </c>
      <c r="I439">
        <v>3.488177195561059E-2</v>
      </c>
      <c r="J439" t="s">
        <v>6</v>
      </c>
      <c r="L439" t="s">
        <v>257</v>
      </c>
      <c r="M439" t="s">
        <v>28</v>
      </c>
      <c r="N439">
        <v>3.1811488394165026E-2</v>
      </c>
      <c r="O439" t="s">
        <v>6</v>
      </c>
    </row>
    <row r="440" spans="2:15" x14ac:dyDescent="0.45">
      <c r="B440" t="s">
        <v>255</v>
      </c>
      <c r="C440" t="s">
        <v>29</v>
      </c>
      <c r="D440">
        <v>8.1360243362105802E-2</v>
      </c>
      <c r="E440" t="s">
        <v>6</v>
      </c>
      <c r="G440" t="s">
        <v>256</v>
      </c>
      <c r="H440" t="s">
        <v>29</v>
      </c>
      <c r="I440">
        <v>3.5219851997980917E-2</v>
      </c>
      <c r="J440" t="s">
        <v>6</v>
      </c>
      <c r="L440" t="s">
        <v>257</v>
      </c>
      <c r="M440" t="s">
        <v>29</v>
      </c>
      <c r="N440">
        <v>3.1529660790421035E-2</v>
      </c>
      <c r="O440" t="s">
        <v>6</v>
      </c>
    </row>
    <row r="441" spans="2:15" x14ac:dyDescent="0.45">
      <c r="B441" t="s">
        <v>255</v>
      </c>
      <c r="C441" t="s">
        <v>30</v>
      </c>
      <c r="D441">
        <v>3.6090401274707744E-2</v>
      </c>
      <c r="E441" t="s">
        <v>6</v>
      </c>
      <c r="G441" t="s">
        <v>256</v>
      </c>
      <c r="H441" t="s">
        <v>30</v>
      </c>
      <c r="I441">
        <v>3.4594892121878225E-2</v>
      </c>
      <c r="J441" t="s">
        <v>6</v>
      </c>
      <c r="L441" t="s">
        <v>257</v>
      </c>
      <c r="M441" t="s">
        <v>30</v>
      </c>
      <c r="N441">
        <v>3.2088064362300092E-2</v>
      </c>
      <c r="O441" t="s">
        <v>6</v>
      </c>
    </row>
    <row r="442" spans="2:15" x14ac:dyDescent="0.45">
      <c r="B442" t="s">
        <v>255</v>
      </c>
      <c r="C442" t="s">
        <v>31</v>
      </c>
      <c r="D442">
        <v>1.1303119665319395E-3</v>
      </c>
      <c r="E442" t="s">
        <v>6</v>
      </c>
      <c r="G442" t="s">
        <v>256</v>
      </c>
      <c r="H442" t="s">
        <v>31</v>
      </c>
      <c r="I442">
        <v>3.5468412869861514E-2</v>
      </c>
      <c r="J442" t="s">
        <v>6</v>
      </c>
      <c r="L442" t="s">
        <v>257</v>
      </c>
      <c r="M442" t="s">
        <v>31</v>
      </c>
      <c r="N442">
        <v>3.2185090890137755E-2</v>
      </c>
      <c r="O442" t="s">
        <v>6</v>
      </c>
    </row>
    <row r="443" spans="2:15" x14ac:dyDescent="0.45">
      <c r="B443" t="s">
        <v>258</v>
      </c>
      <c r="C443" t="s">
        <v>5</v>
      </c>
      <c r="D443">
        <v>0</v>
      </c>
      <c r="E443" t="s">
        <v>6</v>
      </c>
      <c r="G443" t="s">
        <v>259</v>
      </c>
      <c r="H443" t="s">
        <v>5</v>
      </c>
      <c r="I443">
        <v>9.6530075671213841E-2</v>
      </c>
      <c r="J443" t="s">
        <v>6</v>
      </c>
      <c r="L443" t="s">
        <v>260</v>
      </c>
      <c r="M443" t="s">
        <v>5</v>
      </c>
      <c r="N443">
        <v>9.9554482277332546E-2</v>
      </c>
      <c r="O443" t="s">
        <v>6</v>
      </c>
    </row>
    <row r="444" spans="2:15" x14ac:dyDescent="0.45">
      <c r="B444" t="s">
        <v>258</v>
      </c>
      <c r="C444" t="s">
        <v>9</v>
      </c>
      <c r="D444">
        <v>3.3542623123993687E-6</v>
      </c>
      <c r="E444" t="s">
        <v>6</v>
      </c>
      <c r="G444" t="s">
        <v>259</v>
      </c>
      <c r="H444" t="s">
        <v>9</v>
      </c>
      <c r="I444">
        <v>4.8216638154385767E-2</v>
      </c>
      <c r="J444" t="s">
        <v>6</v>
      </c>
      <c r="L444" t="s">
        <v>260</v>
      </c>
      <c r="M444" t="s">
        <v>9</v>
      </c>
      <c r="N444">
        <v>4.9252917603800038E-2</v>
      </c>
      <c r="O444" t="s">
        <v>6</v>
      </c>
    </row>
    <row r="445" spans="2:15" x14ac:dyDescent="0.45">
      <c r="B445" t="s">
        <v>258</v>
      </c>
      <c r="C445" t="s">
        <v>10</v>
      </c>
      <c r="D445">
        <v>2.5841158812169425E-2</v>
      </c>
      <c r="E445" t="s">
        <v>6</v>
      </c>
      <c r="G445" t="s">
        <v>259</v>
      </c>
      <c r="H445" t="s">
        <v>10</v>
      </c>
      <c r="I445">
        <v>3.66966411240515E-2</v>
      </c>
      <c r="J445" t="s">
        <v>6</v>
      </c>
      <c r="L445" t="s">
        <v>260</v>
      </c>
      <c r="M445" t="s">
        <v>10</v>
      </c>
      <c r="N445">
        <v>3.6290437133893329E-2</v>
      </c>
      <c r="O445" t="s">
        <v>6</v>
      </c>
    </row>
    <row r="446" spans="2:15" x14ac:dyDescent="0.45">
      <c r="B446" t="s">
        <v>258</v>
      </c>
      <c r="C446" t="s">
        <v>11</v>
      </c>
      <c r="D446">
        <v>6.4249969878498028E-2</v>
      </c>
      <c r="E446" t="s">
        <v>6</v>
      </c>
      <c r="G446" t="s">
        <v>259</v>
      </c>
      <c r="H446" t="s">
        <v>11</v>
      </c>
      <c r="I446">
        <v>3.5657932587083468E-2</v>
      </c>
      <c r="J446" t="s">
        <v>6</v>
      </c>
      <c r="L446" t="s">
        <v>260</v>
      </c>
      <c r="M446" t="s">
        <v>11</v>
      </c>
      <c r="N446">
        <v>3.5315094802298316E-2</v>
      </c>
      <c r="O446" t="s">
        <v>6</v>
      </c>
    </row>
    <row r="447" spans="2:15" x14ac:dyDescent="0.45">
      <c r="B447" t="s">
        <v>258</v>
      </c>
      <c r="C447" t="s">
        <v>12</v>
      </c>
      <c r="D447">
        <v>2.8941016465027884E-2</v>
      </c>
      <c r="E447" t="s">
        <v>6</v>
      </c>
      <c r="G447" t="s">
        <v>259</v>
      </c>
      <c r="H447" t="s">
        <v>12</v>
      </c>
      <c r="I447">
        <v>3.541952162789818E-2</v>
      </c>
      <c r="J447" t="s">
        <v>6</v>
      </c>
      <c r="L447" t="s">
        <v>260</v>
      </c>
      <c r="M447" t="s">
        <v>12</v>
      </c>
      <c r="N447">
        <v>3.6223266774365277E-2</v>
      </c>
      <c r="O447" t="s">
        <v>6</v>
      </c>
    </row>
    <row r="448" spans="2:15" x14ac:dyDescent="0.45">
      <c r="B448" t="s">
        <v>258</v>
      </c>
      <c r="C448" t="s">
        <v>13</v>
      </c>
      <c r="D448">
        <v>4.6977273773511429E-4</v>
      </c>
      <c r="E448" t="s">
        <v>6</v>
      </c>
      <c r="G448" t="s">
        <v>259</v>
      </c>
      <c r="H448" t="s">
        <v>13</v>
      </c>
      <c r="I448">
        <v>3.6616603079007361E-2</v>
      </c>
      <c r="J448" t="s">
        <v>6</v>
      </c>
      <c r="L448" t="s">
        <v>260</v>
      </c>
      <c r="M448" t="s">
        <v>13</v>
      </c>
      <c r="N448">
        <v>3.7256705870485726E-2</v>
      </c>
      <c r="O448" t="s">
        <v>6</v>
      </c>
    </row>
    <row r="449" spans="2:15" x14ac:dyDescent="0.45">
      <c r="B449" t="s">
        <v>258</v>
      </c>
      <c r="C449" t="s">
        <v>14</v>
      </c>
      <c r="D449">
        <v>3.5882480803562893E-6</v>
      </c>
      <c r="E449" t="s">
        <v>6</v>
      </c>
      <c r="G449" t="s">
        <v>259</v>
      </c>
      <c r="H449" t="s">
        <v>14</v>
      </c>
      <c r="I449">
        <v>8.1539226295320275E-2</v>
      </c>
      <c r="J449" t="s">
        <v>6</v>
      </c>
      <c r="L449" t="s">
        <v>260</v>
      </c>
      <c r="M449" t="s">
        <v>14</v>
      </c>
      <c r="N449">
        <v>7.9605771134829487E-2</v>
      </c>
      <c r="O449" t="s">
        <v>6</v>
      </c>
    </row>
    <row r="450" spans="2:15" x14ac:dyDescent="0.45">
      <c r="B450" t="s">
        <v>258</v>
      </c>
      <c r="C450" t="s">
        <v>15</v>
      </c>
      <c r="D450">
        <v>1.4341747788206955E-2</v>
      </c>
      <c r="E450" t="s">
        <v>6</v>
      </c>
      <c r="G450" t="s">
        <v>259</v>
      </c>
      <c r="H450" t="s">
        <v>15</v>
      </c>
      <c r="I450">
        <v>3.7715520634731999E-2</v>
      </c>
      <c r="J450" t="s">
        <v>6</v>
      </c>
      <c r="L450" t="s">
        <v>260</v>
      </c>
      <c r="M450" t="s">
        <v>15</v>
      </c>
      <c r="N450">
        <v>3.7055290865865738E-2</v>
      </c>
      <c r="O450" t="s">
        <v>6</v>
      </c>
    </row>
    <row r="451" spans="2:15" x14ac:dyDescent="0.45">
      <c r="B451" t="s">
        <v>258</v>
      </c>
      <c r="C451" t="s">
        <v>16</v>
      </c>
      <c r="D451">
        <v>8.9926916591505562E-2</v>
      </c>
      <c r="E451" t="s">
        <v>6</v>
      </c>
      <c r="G451" t="s">
        <v>259</v>
      </c>
      <c r="H451" t="s">
        <v>16</v>
      </c>
      <c r="I451">
        <v>2.7161380152273987E-2</v>
      </c>
      <c r="J451" t="s">
        <v>6</v>
      </c>
      <c r="L451" t="s">
        <v>260</v>
      </c>
      <c r="M451" t="s">
        <v>16</v>
      </c>
      <c r="N451">
        <v>2.7874108579790287E-2</v>
      </c>
      <c r="O451" t="s">
        <v>6</v>
      </c>
    </row>
    <row r="452" spans="2:15" x14ac:dyDescent="0.45">
      <c r="B452" t="s">
        <v>258</v>
      </c>
      <c r="C452" t="s">
        <v>17</v>
      </c>
      <c r="D452">
        <v>0.12500634726346097</v>
      </c>
      <c r="E452" t="s">
        <v>6</v>
      </c>
      <c r="G452" t="s">
        <v>259</v>
      </c>
      <c r="H452" t="s">
        <v>17</v>
      </c>
      <c r="I452">
        <v>2.7934611148402486E-2</v>
      </c>
      <c r="J452" t="s">
        <v>6</v>
      </c>
      <c r="L452" t="s">
        <v>260</v>
      </c>
      <c r="M452" t="s">
        <v>17</v>
      </c>
      <c r="N452">
        <v>2.8327548925309511E-2</v>
      </c>
      <c r="O452" t="s">
        <v>6</v>
      </c>
    </row>
    <row r="453" spans="2:15" x14ac:dyDescent="0.45">
      <c r="B453" t="s">
        <v>258</v>
      </c>
      <c r="C453" t="s">
        <v>18</v>
      </c>
      <c r="D453">
        <v>8.9048311734121588E-2</v>
      </c>
      <c r="E453" t="s">
        <v>6</v>
      </c>
      <c r="G453" t="s">
        <v>259</v>
      </c>
      <c r="H453" t="s">
        <v>18</v>
      </c>
      <c r="I453">
        <v>3.0119604215272915E-2</v>
      </c>
      <c r="J453" t="s">
        <v>6</v>
      </c>
      <c r="L453" t="s">
        <v>260</v>
      </c>
      <c r="M453" t="s">
        <v>18</v>
      </c>
      <c r="N453">
        <v>3.0079230546318846E-2</v>
      </c>
      <c r="O453" t="s">
        <v>6</v>
      </c>
    </row>
    <row r="454" spans="2:15" x14ac:dyDescent="0.45">
      <c r="B454" t="s">
        <v>258</v>
      </c>
      <c r="C454" t="s">
        <v>19</v>
      </c>
      <c r="D454">
        <v>1.4402688956634418E-2</v>
      </c>
      <c r="E454" t="s">
        <v>6</v>
      </c>
      <c r="G454" t="s">
        <v>259</v>
      </c>
      <c r="H454" t="s">
        <v>19</v>
      </c>
      <c r="I454">
        <v>3.131662611017845E-2</v>
      </c>
      <c r="J454" t="s">
        <v>6</v>
      </c>
      <c r="L454" t="s">
        <v>260</v>
      </c>
      <c r="M454" t="s">
        <v>19</v>
      </c>
      <c r="N454">
        <v>3.1526898198521301E-2</v>
      </c>
      <c r="O454" t="s">
        <v>6</v>
      </c>
    </row>
    <row r="455" spans="2:15" x14ac:dyDescent="0.45">
      <c r="B455" t="s">
        <v>258</v>
      </c>
      <c r="C455" t="s">
        <v>20</v>
      </c>
      <c r="D455">
        <v>1.1474883317417523E-4</v>
      </c>
      <c r="E455" t="s">
        <v>6</v>
      </c>
      <c r="G455" t="s">
        <v>259</v>
      </c>
      <c r="H455" t="s">
        <v>20</v>
      </c>
      <c r="I455">
        <v>6.5933019138603638E-2</v>
      </c>
      <c r="J455" t="s">
        <v>6</v>
      </c>
      <c r="L455" t="s">
        <v>260</v>
      </c>
      <c r="M455" t="s">
        <v>20</v>
      </c>
      <c r="N455">
        <v>6.9845727001932034E-2</v>
      </c>
      <c r="O455" t="s">
        <v>6</v>
      </c>
    </row>
    <row r="456" spans="2:15" x14ac:dyDescent="0.45">
      <c r="B456" t="s">
        <v>258</v>
      </c>
      <c r="C456" t="s">
        <v>21</v>
      </c>
      <c r="D456">
        <v>2.1898724096201659E-2</v>
      </c>
      <c r="E456" t="s">
        <v>6</v>
      </c>
      <c r="G456" t="s">
        <v>259</v>
      </c>
      <c r="H456" t="s">
        <v>21</v>
      </c>
      <c r="I456">
        <v>3.3630806760601192E-2</v>
      </c>
      <c r="J456" t="s">
        <v>6</v>
      </c>
      <c r="L456" t="s">
        <v>260</v>
      </c>
      <c r="M456" t="s">
        <v>21</v>
      </c>
      <c r="N456">
        <v>3.4994306363311148E-2</v>
      </c>
      <c r="O456" t="s">
        <v>6</v>
      </c>
    </row>
    <row r="457" spans="2:15" x14ac:dyDescent="0.45">
      <c r="B457" t="s">
        <v>258</v>
      </c>
      <c r="C457" t="s">
        <v>22</v>
      </c>
      <c r="D457">
        <v>9.477951104876349E-2</v>
      </c>
      <c r="E457" t="s">
        <v>6</v>
      </c>
      <c r="G457" t="s">
        <v>259</v>
      </c>
      <c r="H457" t="s">
        <v>22</v>
      </c>
      <c r="I457">
        <v>2.5416305377013698E-2</v>
      </c>
      <c r="J457" t="s">
        <v>6</v>
      </c>
      <c r="L457" t="s">
        <v>260</v>
      </c>
      <c r="M457" t="s">
        <v>22</v>
      </c>
      <c r="N457">
        <v>2.5695497625310006E-2</v>
      </c>
      <c r="O457" t="s">
        <v>6</v>
      </c>
    </row>
    <row r="458" spans="2:15" x14ac:dyDescent="0.45">
      <c r="B458" t="s">
        <v>258</v>
      </c>
      <c r="C458" t="s">
        <v>23</v>
      </c>
      <c r="D458">
        <v>0.12687999883983928</v>
      </c>
      <c r="E458" t="s">
        <v>6</v>
      </c>
      <c r="G458" t="s">
        <v>259</v>
      </c>
      <c r="H458" t="s">
        <v>23</v>
      </c>
      <c r="I458">
        <v>2.5386550599981437E-2</v>
      </c>
      <c r="J458" t="s">
        <v>6</v>
      </c>
      <c r="L458" t="s">
        <v>260</v>
      </c>
      <c r="M458" t="s">
        <v>23</v>
      </c>
      <c r="N458">
        <v>2.574601812870567E-2</v>
      </c>
      <c r="O458" t="s">
        <v>6</v>
      </c>
    </row>
    <row r="459" spans="2:15" x14ac:dyDescent="0.45">
      <c r="B459" t="s">
        <v>258</v>
      </c>
      <c r="C459" t="s">
        <v>24</v>
      </c>
      <c r="D459">
        <v>9.4534432337629398E-2</v>
      </c>
      <c r="E459" t="s">
        <v>6</v>
      </c>
      <c r="G459" t="s">
        <v>259</v>
      </c>
      <c r="H459" t="s">
        <v>24</v>
      </c>
      <c r="I459">
        <v>2.4781752432414005E-2</v>
      </c>
      <c r="J459" t="s">
        <v>6</v>
      </c>
      <c r="L459" t="s">
        <v>260</v>
      </c>
      <c r="M459" t="s">
        <v>24</v>
      </c>
      <c r="N459">
        <v>2.5739028124782667E-2</v>
      </c>
      <c r="O459" t="s">
        <v>6</v>
      </c>
    </row>
    <row r="460" spans="2:15" x14ac:dyDescent="0.45">
      <c r="B460" t="s">
        <v>258</v>
      </c>
      <c r="C460" t="s">
        <v>25</v>
      </c>
      <c r="D460">
        <v>2.1918081232255051E-2</v>
      </c>
      <c r="E460" t="s">
        <v>6</v>
      </c>
      <c r="G460" t="s">
        <v>259</v>
      </c>
      <c r="H460" t="s">
        <v>25</v>
      </c>
      <c r="I460">
        <v>2.4435665269351734E-2</v>
      </c>
      <c r="J460" t="s">
        <v>6</v>
      </c>
      <c r="L460" t="s">
        <v>260</v>
      </c>
      <c r="M460" t="s">
        <v>25</v>
      </c>
      <c r="N460">
        <v>2.6106276409613046E-2</v>
      </c>
      <c r="O460" t="s">
        <v>6</v>
      </c>
    </row>
    <row r="461" spans="2:15" x14ac:dyDescent="0.45">
      <c r="B461" t="s">
        <v>258</v>
      </c>
      <c r="C461" t="s">
        <v>26</v>
      </c>
      <c r="D461">
        <v>0</v>
      </c>
      <c r="E461" t="s">
        <v>6</v>
      </c>
      <c r="G461" t="s">
        <v>259</v>
      </c>
      <c r="H461" t="s">
        <v>26</v>
      </c>
      <c r="I461">
        <v>9.3432010147041722E-2</v>
      </c>
      <c r="J461" t="s">
        <v>6</v>
      </c>
      <c r="L461" t="s">
        <v>260</v>
      </c>
      <c r="M461" t="s">
        <v>26</v>
      </c>
      <c r="N461">
        <v>8.9550595291351204E-2</v>
      </c>
      <c r="O461" t="s">
        <v>6</v>
      </c>
    </row>
    <row r="462" spans="2:15" x14ac:dyDescent="0.45">
      <c r="B462" t="s">
        <v>258</v>
      </c>
      <c r="C462" t="s">
        <v>27</v>
      </c>
      <c r="D462">
        <v>3.1807204923064085E-3</v>
      </c>
      <c r="E462" t="s">
        <v>6</v>
      </c>
      <c r="G462" t="s">
        <v>259</v>
      </c>
      <c r="H462" t="s">
        <v>27</v>
      </c>
      <c r="I462">
        <v>4.6762419901084637E-2</v>
      </c>
      <c r="J462" t="s">
        <v>6</v>
      </c>
      <c r="L462" t="s">
        <v>260</v>
      </c>
      <c r="M462" t="s">
        <v>27</v>
      </c>
      <c r="N462">
        <v>4.3667161387532002E-2</v>
      </c>
      <c r="O462" t="s">
        <v>6</v>
      </c>
    </row>
    <row r="463" spans="2:15" x14ac:dyDescent="0.45">
      <c r="B463" t="s">
        <v>258</v>
      </c>
      <c r="C463" t="s">
        <v>28</v>
      </c>
      <c r="D463">
        <v>5.4805804774285878E-2</v>
      </c>
      <c r="E463" t="s">
        <v>6</v>
      </c>
      <c r="G463" t="s">
        <v>259</v>
      </c>
      <c r="H463" t="s">
        <v>28</v>
      </c>
      <c r="I463">
        <v>3.3898370748997833E-2</v>
      </c>
      <c r="J463" t="s">
        <v>6</v>
      </c>
      <c r="L463" t="s">
        <v>260</v>
      </c>
      <c r="M463" t="s">
        <v>28</v>
      </c>
      <c r="N463">
        <v>3.2368042463750413E-2</v>
      </c>
      <c r="O463" t="s">
        <v>6</v>
      </c>
    </row>
    <row r="464" spans="2:15" x14ac:dyDescent="0.45">
      <c r="B464" t="s">
        <v>258</v>
      </c>
      <c r="C464" t="s">
        <v>29</v>
      </c>
      <c r="D464">
        <v>8.5175499216706599E-2</v>
      </c>
      <c r="E464" t="s">
        <v>6</v>
      </c>
      <c r="G464" t="s">
        <v>259</v>
      </c>
      <c r="H464" t="s">
        <v>29</v>
      </c>
      <c r="I464">
        <v>3.3138553445976576E-2</v>
      </c>
      <c r="J464" t="s">
        <v>6</v>
      </c>
      <c r="L464" t="s">
        <v>260</v>
      </c>
      <c r="M464" t="s">
        <v>29</v>
      </c>
      <c r="N464">
        <v>3.2775059785018386E-2</v>
      </c>
      <c r="O464" t="s">
        <v>6</v>
      </c>
    </row>
    <row r="465" spans="2:15" x14ac:dyDescent="0.45">
      <c r="B465" t="s">
        <v>258</v>
      </c>
      <c r="C465" t="s">
        <v>30</v>
      </c>
      <c r="D465">
        <v>4.2520266072246946E-2</v>
      </c>
      <c r="E465" t="s">
        <v>6</v>
      </c>
      <c r="G465" t="s">
        <v>259</v>
      </c>
      <c r="H465" t="s">
        <v>30</v>
      </c>
      <c r="I465">
        <v>3.3421528735147053E-2</v>
      </c>
      <c r="J465" t="s">
        <v>6</v>
      </c>
      <c r="L465" t="s">
        <v>260</v>
      </c>
      <c r="M465" t="s">
        <v>30</v>
      </c>
      <c r="N465">
        <v>3.2523731767344695E-2</v>
      </c>
      <c r="O465" t="s">
        <v>6</v>
      </c>
    </row>
    <row r="466" spans="2:15" x14ac:dyDescent="0.45">
      <c r="B466" t="s">
        <v>258</v>
      </c>
      <c r="C466" t="s">
        <v>31</v>
      </c>
      <c r="D466">
        <v>1.9573403188408965E-3</v>
      </c>
      <c r="E466" t="s">
        <v>6</v>
      </c>
      <c r="G466" t="s">
        <v>259</v>
      </c>
      <c r="H466" t="s">
        <v>31</v>
      </c>
      <c r="I466">
        <v>3.4838636643970106E-2</v>
      </c>
      <c r="J466" t="s">
        <v>6</v>
      </c>
      <c r="L466" t="s">
        <v>260</v>
      </c>
      <c r="M466" t="s">
        <v>31</v>
      </c>
      <c r="N466">
        <v>3.2626802938541095E-2</v>
      </c>
      <c r="O466" t="s">
        <v>6</v>
      </c>
    </row>
    <row r="467" spans="2:15" x14ac:dyDescent="0.45">
      <c r="B467" t="s">
        <v>261</v>
      </c>
      <c r="C467" t="s">
        <v>5</v>
      </c>
      <c r="D467">
        <v>0</v>
      </c>
      <c r="E467" t="s">
        <v>6</v>
      </c>
      <c r="G467" t="s">
        <v>262</v>
      </c>
      <c r="H467" t="s">
        <v>5</v>
      </c>
      <c r="I467">
        <v>0.1053539807698269</v>
      </c>
      <c r="J467" t="s">
        <v>6</v>
      </c>
      <c r="L467" t="s">
        <v>263</v>
      </c>
      <c r="M467" t="s">
        <v>5</v>
      </c>
      <c r="N467">
        <v>9.8331980914021969E-2</v>
      </c>
      <c r="O467" t="s">
        <v>6</v>
      </c>
    </row>
    <row r="468" spans="2:15" x14ac:dyDescent="0.45">
      <c r="B468" t="s">
        <v>261</v>
      </c>
      <c r="C468" t="s">
        <v>9</v>
      </c>
      <c r="D468">
        <v>4.7556332519495083E-5</v>
      </c>
      <c r="E468" t="s">
        <v>6</v>
      </c>
      <c r="G468" t="s">
        <v>262</v>
      </c>
      <c r="H468" t="s">
        <v>9</v>
      </c>
      <c r="I468">
        <v>5.0531722477612097E-2</v>
      </c>
      <c r="J468" t="s">
        <v>6</v>
      </c>
      <c r="L468" t="s">
        <v>263</v>
      </c>
      <c r="M468" t="s">
        <v>9</v>
      </c>
      <c r="N468">
        <v>4.9299901290636508E-2</v>
      </c>
      <c r="O468" t="s">
        <v>6</v>
      </c>
    </row>
    <row r="469" spans="2:15" x14ac:dyDescent="0.45">
      <c r="B469" t="s">
        <v>261</v>
      </c>
      <c r="C469" t="s">
        <v>10</v>
      </c>
      <c r="D469">
        <v>2.5983983354613611E-2</v>
      </c>
      <c r="E469" t="s">
        <v>6</v>
      </c>
      <c r="G469" t="s">
        <v>262</v>
      </c>
      <c r="H469" t="s">
        <v>10</v>
      </c>
      <c r="I469">
        <v>3.6782422692205267E-2</v>
      </c>
      <c r="J469" t="s">
        <v>6</v>
      </c>
      <c r="L469" t="s">
        <v>263</v>
      </c>
      <c r="M469" t="s">
        <v>10</v>
      </c>
      <c r="N469">
        <v>3.8426866478557413E-2</v>
      </c>
      <c r="O469" t="s">
        <v>6</v>
      </c>
    </row>
    <row r="470" spans="2:15" x14ac:dyDescent="0.45">
      <c r="B470" t="s">
        <v>261</v>
      </c>
      <c r="C470" t="s">
        <v>11</v>
      </c>
      <c r="D470">
        <v>6.1362973342964235E-2</v>
      </c>
      <c r="E470" t="s">
        <v>6</v>
      </c>
      <c r="G470" t="s">
        <v>262</v>
      </c>
      <c r="H470" t="s">
        <v>11</v>
      </c>
      <c r="I470">
        <v>3.7258816386616905E-2</v>
      </c>
      <c r="J470" t="s">
        <v>6</v>
      </c>
      <c r="L470" t="s">
        <v>263</v>
      </c>
      <c r="M470" t="s">
        <v>11</v>
      </c>
      <c r="N470">
        <v>3.67542986543513E-2</v>
      </c>
      <c r="O470" t="s">
        <v>6</v>
      </c>
    </row>
    <row r="471" spans="2:15" x14ac:dyDescent="0.45">
      <c r="B471" t="s">
        <v>261</v>
      </c>
      <c r="C471" t="s">
        <v>12</v>
      </c>
      <c r="D471">
        <v>2.5044037349487829E-2</v>
      </c>
      <c r="E471" t="s">
        <v>6</v>
      </c>
      <c r="G471" t="s">
        <v>262</v>
      </c>
      <c r="H471" t="s">
        <v>12</v>
      </c>
      <c r="I471">
        <v>3.7980582327745371E-2</v>
      </c>
      <c r="J471" t="s">
        <v>6</v>
      </c>
      <c r="L471" t="s">
        <v>263</v>
      </c>
      <c r="M471" t="s">
        <v>12</v>
      </c>
      <c r="N471">
        <v>3.5759660153949588E-2</v>
      </c>
      <c r="O471" t="s">
        <v>6</v>
      </c>
    </row>
    <row r="472" spans="2:15" x14ac:dyDescent="0.45">
      <c r="B472" t="s">
        <v>261</v>
      </c>
      <c r="C472" t="s">
        <v>13</v>
      </c>
      <c r="D472">
        <v>1.7734537420103358E-4</v>
      </c>
      <c r="E472" t="s">
        <v>6</v>
      </c>
      <c r="G472" t="s">
        <v>262</v>
      </c>
      <c r="H472" t="s">
        <v>13</v>
      </c>
      <c r="I472">
        <v>3.9283287965522197E-2</v>
      </c>
      <c r="J472" t="s">
        <v>6</v>
      </c>
      <c r="L472" t="s">
        <v>263</v>
      </c>
      <c r="M472" t="s">
        <v>13</v>
      </c>
      <c r="N472">
        <v>3.7094514103059424E-2</v>
      </c>
      <c r="O472" t="s">
        <v>6</v>
      </c>
    </row>
    <row r="473" spans="2:15" x14ac:dyDescent="0.45">
      <c r="B473" t="s">
        <v>261</v>
      </c>
      <c r="C473" t="s">
        <v>14</v>
      </c>
      <c r="D473">
        <v>2.0698098628117096E-6</v>
      </c>
      <c r="E473" t="s">
        <v>6</v>
      </c>
      <c r="G473" t="s">
        <v>262</v>
      </c>
      <c r="H473" t="s">
        <v>14</v>
      </c>
      <c r="I473">
        <v>7.8285140269048328E-2</v>
      </c>
      <c r="J473" t="s">
        <v>6</v>
      </c>
      <c r="L473" t="s">
        <v>263</v>
      </c>
      <c r="M473" t="s">
        <v>14</v>
      </c>
      <c r="N473">
        <v>7.963377511143456E-2</v>
      </c>
      <c r="O473" t="s">
        <v>6</v>
      </c>
    </row>
    <row r="474" spans="2:15" x14ac:dyDescent="0.45">
      <c r="B474" t="s">
        <v>261</v>
      </c>
      <c r="C474" t="s">
        <v>15</v>
      </c>
      <c r="D474">
        <v>1.8749768273321164E-2</v>
      </c>
      <c r="E474" t="s">
        <v>6</v>
      </c>
      <c r="G474" t="s">
        <v>262</v>
      </c>
      <c r="H474" t="s">
        <v>15</v>
      </c>
      <c r="I474">
        <v>3.7759159659966311E-2</v>
      </c>
      <c r="J474" t="s">
        <v>6</v>
      </c>
      <c r="L474" t="s">
        <v>263</v>
      </c>
      <c r="M474" t="s">
        <v>15</v>
      </c>
      <c r="N474">
        <v>3.7402773995812537E-2</v>
      </c>
      <c r="O474" t="s">
        <v>6</v>
      </c>
    </row>
    <row r="475" spans="2:15" x14ac:dyDescent="0.45">
      <c r="B475" t="s">
        <v>261</v>
      </c>
      <c r="C475" t="s">
        <v>16</v>
      </c>
      <c r="D475">
        <v>9.9456915632054263E-2</v>
      </c>
      <c r="E475" t="s">
        <v>6</v>
      </c>
      <c r="G475" t="s">
        <v>262</v>
      </c>
      <c r="H475" t="s">
        <v>16</v>
      </c>
      <c r="I475">
        <v>2.8788319644077142E-2</v>
      </c>
      <c r="J475" t="s">
        <v>6</v>
      </c>
      <c r="L475" t="s">
        <v>263</v>
      </c>
      <c r="M475" t="s">
        <v>16</v>
      </c>
      <c r="N475">
        <v>2.7736794885400234E-2</v>
      </c>
      <c r="O475" t="s">
        <v>6</v>
      </c>
    </row>
    <row r="476" spans="2:15" x14ac:dyDescent="0.45">
      <c r="B476" t="s">
        <v>261</v>
      </c>
      <c r="C476" t="s">
        <v>17</v>
      </c>
      <c r="D476">
        <v>0.13098618215190924</v>
      </c>
      <c r="E476" t="s">
        <v>6</v>
      </c>
      <c r="G476" t="s">
        <v>262</v>
      </c>
      <c r="H476" t="s">
        <v>17</v>
      </c>
      <c r="I476">
        <v>2.992869323291995E-2</v>
      </c>
      <c r="J476" t="s">
        <v>6</v>
      </c>
      <c r="L476" t="s">
        <v>263</v>
      </c>
      <c r="M476" t="s">
        <v>17</v>
      </c>
      <c r="N476">
        <v>2.862589748017455E-2</v>
      </c>
      <c r="O476" t="s">
        <v>6</v>
      </c>
    </row>
    <row r="477" spans="2:15" x14ac:dyDescent="0.45">
      <c r="B477" t="s">
        <v>261</v>
      </c>
      <c r="C477" t="s">
        <v>18</v>
      </c>
      <c r="D477">
        <v>8.5231108630644245E-2</v>
      </c>
      <c r="E477" t="s">
        <v>6</v>
      </c>
      <c r="G477" t="s">
        <v>262</v>
      </c>
      <c r="H477" t="s">
        <v>18</v>
      </c>
      <c r="I477">
        <v>3.0968579313342098E-2</v>
      </c>
      <c r="J477" t="s">
        <v>6</v>
      </c>
      <c r="L477" t="s">
        <v>263</v>
      </c>
      <c r="M477" t="s">
        <v>18</v>
      </c>
      <c r="N477">
        <v>3.0318331822388214E-2</v>
      </c>
      <c r="O477" t="s">
        <v>6</v>
      </c>
    </row>
    <row r="478" spans="2:15" x14ac:dyDescent="0.45">
      <c r="B478" t="s">
        <v>261</v>
      </c>
      <c r="C478" t="s">
        <v>19</v>
      </c>
      <c r="D478">
        <v>1.2585168248553621E-2</v>
      </c>
      <c r="E478" t="s">
        <v>6</v>
      </c>
      <c r="G478" t="s">
        <v>262</v>
      </c>
      <c r="H478" t="s">
        <v>19</v>
      </c>
      <c r="I478">
        <v>3.1114280543382902E-2</v>
      </c>
      <c r="J478" t="s">
        <v>6</v>
      </c>
      <c r="L478" t="s">
        <v>263</v>
      </c>
      <c r="M478" t="s">
        <v>19</v>
      </c>
      <c r="N478">
        <v>3.1358452949140421E-2</v>
      </c>
      <c r="O478" t="s">
        <v>6</v>
      </c>
    </row>
    <row r="479" spans="2:15" x14ac:dyDescent="0.45">
      <c r="B479" t="s">
        <v>261</v>
      </c>
      <c r="C479" t="s">
        <v>20</v>
      </c>
      <c r="D479">
        <v>1.2589935499987502E-4</v>
      </c>
      <c r="E479" t="s">
        <v>6</v>
      </c>
      <c r="G479" t="s">
        <v>262</v>
      </c>
      <c r="H479" t="s">
        <v>20</v>
      </c>
      <c r="I479">
        <v>6.3516375652993187E-2</v>
      </c>
      <c r="J479" t="s">
        <v>6</v>
      </c>
      <c r="L479" t="s">
        <v>263</v>
      </c>
      <c r="M479" t="s">
        <v>20</v>
      </c>
      <c r="N479">
        <v>7.0175758376228581E-2</v>
      </c>
      <c r="O479" t="s">
        <v>6</v>
      </c>
    </row>
    <row r="480" spans="2:15" x14ac:dyDescent="0.45">
      <c r="B480" t="s">
        <v>261</v>
      </c>
      <c r="C480" t="s">
        <v>21</v>
      </c>
      <c r="D480">
        <v>2.4958517858396107E-2</v>
      </c>
      <c r="E480" t="s">
        <v>6</v>
      </c>
      <c r="G480" t="s">
        <v>262</v>
      </c>
      <c r="H480" t="s">
        <v>21</v>
      </c>
      <c r="I480">
        <v>3.1957411047626304E-2</v>
      </c>
      <c r="J480" t="s">
        <v>6</v>
      </c>
      <c r="L480" t="s">
        <v>263</v>
      </c>
      <c r="M480" t="s">
        <v>21</v>
      </c>
      <c r="N480">
        <v>3.4593597004230807E-2</v>
      </c>
      <c r="O480" t="s">
        <v>6</v>
      </c>
    </row>
    <row r="481" spans="2:15" x14ac:dyDescent="0.45">
      <c r="B481" t="s">
        <v>261</v>
      </c>
      <c r="C481" t="s">
        <v>22</v>
      </c>
      <c r="D481">
        <v>9.4557050655932284E-2</v>
      </c>
      <c r="E481" t="s">
        <v>6</v>
      </c>
      <c r="G481" t="s">
        <v>262</v>
      </c>
      <c r="H481" t="s">
        <v>22</v>
      </c>
      <c r="I481">
        <v>2.4411390521065612E-2</v>
      </c>
      <c r="J481" t="s">
        <v>6</v>
      </c>
      <c r="L481" t="s">
        <v>263</v>
      </c>
      <c r="M481" t="s">
        <v>22</v>
      </c>
      <c r="N481">
        <v>2.5507278022094879E-2</v>
      </c>
      <c r="O481" t="s">
        <v>6</v>
      </c>
    </row>
    <row r="482" spans="2:15" x14ac:dyDescent="0.45">
      <c r="B482" t="s">
        <v>261</v>
      </c>
      <c r="C482" t="s">
        <v>23</v>
      </c>
      <c r="D482">
        <v>0.12792642057665021</v>
      </c>
      <c r="E482" t="s">
        <v>6</v>
      </c>
      <c r="G482" t="s">
        <v>262</v>
      </c>
      <c r="H482" t="s">
        <v>23</v>
      </c>
      <c r="I482">
        <v>2.5495468380659136E-2</v>
      </c>
      <c r="J482" t="s">
        <v>6</v>
      </c>
      <c r="L482" t="s">
        <v>263</v>
      </c>
      <c r="M482" t="s">
        <v>23</v>
      </c>
      <c r="N482">
        <v>2.622382871784636E-2</v>
      </c>
      <c r="O482" t="s">
        <v>6</v>
      </c>
    </row>
    <row r="483" spans="2:15" x14ac:dyDescent="0.45">
      <c r="B483" t="s">
        <v>261</v>
      </c>
      <c r="C483" t="s">
        <v>24</v>
      </c>
      <c r="D483">
        <v>9.5387967444590646E-2</v>
      </c>
      <c r="E483" t="s">
        <v>6</v>
      </c>
      <c r="G483" t="s">
        <v>262</v>
      </c>
      <c r="H483" t="s">
        <v>24</v>
      </c>
      <c r="I483">
        <v>2.5501225742593715E-2</v>
      </c>
      <c r="J483" t="s">
        <v>6</v>
      </c>
      <c r="L483" t="s">
        <v>263</v>
      </c>
      <c r="M483" t="s">
        <v>24</v>
      </c>
      <c r="N483">
        <v>2.6518870825786078E-2</v>
      </c>
      <c r="O483" t="s">
        <v>6</v>
      </c>
    </row>
    <row r="484" spans="2:15" x14ac:dyDescent="0.45">
      <c r="B484" t="s">
        <v>261</v>
      </c>
      <c r="C484" t="s">
        <v>25</v>
      </c>
      <c r="D484">
        <v>2.1597754059286999E-2</v>
      </c>
      <c r="E484" t="s">
        <v>6</v>
      </c>
      <c r="G484" t="s">
        <v>262</v>
      </c>
      <c r="H484" t="s">
        <v>25</v>
      </c>
      <c r="I484">
        <v>2.4287789167901096E-2</v>
      </c>
      <c r="J484" t="s">
        <v>6</v>
      </c>
      <c r="L484" t="s">
        <v>263</v>
      </c>
      <c r="M484" t="s">
        <v>25</v>
      </c>
      <c r="N484">
        <v>2.6304210301797967E-2</v>
      </c>
      <c r="O484" t="s">
        <v>6</v>
      </c>
    </row>
    <row r="485" spans="2:15" x14ac:dyDescent="0.45">
      <c r="B485" t="s">
        <v>261</v>
      </c>
      <c r="C485" t="s">
        <v>26</v>
      </c>
      <c r="D485">
        <v>0</v>
      </c>
      <c r="E485" t="s">
        <v>6</v>
      </c>
      <c r="G485" t="s">
        <v>262</v>
      </c>
      <c r="H485" t="s">
        <v>26</v>
      </c>
      <c r="I485">
        <v>8.5101771970555337E-2</v>
      </c>
      <c r="J485" t="s">
        <v>6</v>
      </c>
      <c r="L485" t="s">
        <v>263</v>
      </c>
      <c r="M485" t="s">
        <v>26</v>
      </c>
      <c r="N485">
        <v>8.8305396486224486E-2</v>
      </c>
      <c r="O485" t="s">
        <v>6</v>
      </c>
    </row>
    <row r="486" spans="2:15" x14ac:dyDescent="0.45">
      <c r="B486" t="s">
        <v>261</v>
      </c>
      <c r="C486" t="s">
        <v>27</v>
      </c>
      <c r="D486">
        <v>3.7059376727843927E-3</v>
      </c>
      <c r="E486" t="s">
        <v>6</v>
      </c>
      <c r="G486" t="s">
        <v>262</v>
      </c>
      <c r="H486" t="s">
        <v>27</v>
      </c>
      <c r="I486">
        <v>4.3069661000206073E-2</v>
      </c>
      <c r="J486" t="s">
        <v>6</v>
      </c>
      <c r="L486" t="s">
        <v>263</v>
      </c>
      <c r="M486" t="s">
        <v>27</v>
      </c>
      <c r="N486">
        <v>4.3831837646526622E-2</v>
      </c>
      <c r="O486" t="s">
        <v>6</v>
      </c>
    </row>
    <row r="487" spans="2:15" x14ac:dyDescent="0.45">
      <c r="B487" t="s">
        <v>261</v>
      </c>
      <c r="C487" t="s">
        <v>28</v>
      </c>
      <c r="D487">
        <v>5.2620919496925461E-2</v>
      </c>
      <c r="E487" t="s">
        <v>6</v>
      </c>
      <c r="G487" t="s">
        <v>262</v>
      </c>
      <c r="H487" t="s">
        <v>28</v>
      </c>
      <c r="I487">
        <v>3.3145689768671646E-2</v>
      </c>
      <c r="J487" t="s">
        <v>6</v>
      </c>
      <c r="L487" t="s">
        <v>263</v>
      </c>
      <c r="M487" t="s">
        <v>28</v>
      </c>
      <c r="N487">
        <v>3.1551957529035175E-2</v>
      </c>
      <c r="O487" t="s">
        <v>6</v>
      </c>
    </row>
    <row r="488" spans="2:15" x14ac:dyDescent="0.45">
      <c r="B488" t="s">
        <v>261</v>
      </c>
      <c r="C488" t="s">
        <v>29</v>
      </c>
      <c r="D488">
        <v>7.9589104922993578E-2</v>
      </c>
      <c r="E488" t="s">
        <v>6</v>
      </c>
      <c r="G488" t="s">
        <v>262</v>
      </c>
      <c r="H488" t="s">
        <v>29</v>
      </c>
      <c r="I488">
        <v>3.3337541058436844E-2</v>
      </c>
      <c r="J488" t="s">
        <v>6</v>
      </c>
      <c r="L488" t="s">
        <v>263</v>
      </c>
      <c r="M488" t="s">
        <v>29</v>
      </c>
      <c r="N488">
        <v>3.1445854662604592E-2</v>
      </c>
      <c r="O488" t="s">
        <v>6</v>
      </c>
    </row>
    <row r="489" spans="2:15" x14ac:dyDescent="0.45">
      <c r="B489" t="s">
        <v>261</v>
      </c>
      <c r="C489" t="s">
        <v>30</v>
      </c>
      <c r="D489">
        <v>3.8419117478630527E-2</v>
      </c>
      <c r="E489" t="s">
        <v>6</v>
      </c>
      <c r="G489" t="s">
        <v>262</v>
      </c>
      <c r="H489" t="s">
        <v>30</v>
      </c>
      <c r="I489">
        <v>3.3188342507904901E-2</v>
      </c>
      <c r="J489" t="s">
        <v>6</v>
      </c>
      <c r="L489" t="s">
        <v>263</v>
      </c>
      <c r="M489" t="s">
        <v>30</v>
      </c>
      <c r="N489">
        <v>3.1858162544513034E-2</v>
      </c>
      <c r="O489" t="s">
        <v>6</v>
      </c>
    </row>
    <row r="490" spans="2:15" x14ac:dyDescent="0.45">
      <c r="B490" t="s">
        <v>261</v>
      </c>
      <c r="C490" t="s">
        <v>31</v>
      </c>
      <c r="D490">
        <v>1.4842019786745697E-3</v>
      </c>
      <c r="E490" t="s">
        <v>6</v>
      </c>
      <c r="G490" t="s">
        <v>262</v>
      </c>
      <c r="H490" t="s">
        <v>31</v>
      </c>
      <c r="I490">
        <v>3.2952347899120563E-2</v>
      </c>
      <c r="J490" t="s">
        <v>6</v>
      </c>
      <c r="L490" t="s">
        <v>263</v>
      </c>
      <c r="M490" t="s">
        <v>31</v>
      </c>
      <c r="N490">
        <v>3.2940000044186367E-2</v>
      </c>
      <c r="O490" t="s">
        <v>6</v>
      </c>
    </row>
    <row r="491" spans="2:15" x14ac:dyDescent="0.45">
      <c r="B491" t="s">
        <v>264</v>
      </c>
      <c r="C491" t="s">
        <v>5</v>
      </c>
      <c r="D491">
        <v>0</v>
      </c>
      <c r="E491" t="s">
        <v>6</v>
      </c>
      <c r="G491" t="s">
        <v>265</v>
      </c>
      <c r="H491" t="s">
        <v>5</v>
      </c>
      <c r="I491">
        <v>0.10498896282223008</v>
      </c>
      <c r="J491" t="s">
        <v>6</v>
      </c>
      <c r="L491" t="s">
        <v>266</v>
      </c>
      <c r="M491" t="s">
        <v>5</v>
      </c>
      <c r="N491">
        <v>9.8282013058013193E-2</v>
      </c>
      <c r="O491" t="s">
        <v>6</v>
      </c>
    </row>
    <row r="492" spans="2:15" x14ac:dyDescent="0.45">
      <c r="B492" t="s">
        <v>264</v>
      </c>
      <c r="C492" t="s">
        <v>9</v>
      </c>
      <c r="D492">
        <v>1.1701930498228446E-6</v>
      </c>
      <c r="E492" t="s">
        <v>6</v>
      </c>
      <c r="G492" t="s">
        <v>265</v>
      </c>
      <c r="H492" t="s">
        <v>9</v>
      </c>
      <c r="I492">
        <v>5.0934642607474011E-2</v>
      </c>
      <c r="J492" t="s">
        <v>6</v>
      </c>
      <c r="L492" t="s">
        <v>266</v>
      </c>
      <c r="M492" t="s">
        <v>9</v>
      </c>
      <c r="N492">
        <v>4.8268746534618871E-2</v>
      </c>
      <c r="O492" t="s">
        <v>6</v>
      </c>
    </row>
    <row r="493" spans="2:15" x14ac:dyDescent="0.45">
      <c r="B493" t="s">
        <v>264</v>
      </c>
      <c r="C493" t="s">
        <v>10</v>
      </c>
      <c r="D493">
        <v>2.26147392134751E-2</v>
      </c>
      <c r="E493" t="s">
        <v>6</v>
      </c>
      <c r="G493" t="s">
        <v>265</v>
      </c>
      <c r="H493" t="s">
        <v>10</v>
      </c>
      <c r="I493">
        <v>3.7105638280266959E-2</v>
      </c>
      <c r="J493" t="s">
        <v>6</v>
      </c>
      <c r="L493" t="s">
        <v>266</v>
      </c>
      <c r="M493" t="s">
        <v>10</v>
      </c>
      <c r="N493">
        <v>3.7088892370818589E-2</v>
      </c>
      <c r="O493" t="s">
        <v>6</v>
      </c>
    </row>
    <row r="494" spans="2:15" x14ac:dyDescent="0.45">
      <c r="B494" t="s">
        <v>264</v>
      </c>
      <c r="C494" t="s">
        <v>11</v>
      </c>
      <c r="D494">
        <v>5.6757117469700601E-2</v>
      </c>
      <c r="E494" t="s">
        <v>6</v>
      </c>
      <c r="G494" t="s">
        <v>265</v>
      </c>
      <c r="H494" t="s">
        <v>11</v>
      </c>
      <c r="I494">
        <v>3.7444481748785813E-2</v>
      </c>
      <c r="J494" t="s">
        <v>6</v>
      </c>
      <c r="L494" t="s">
        <v>266</v>
      </c>
      <c r="M494" t="s">
        <v>11</v>
      </c>
      <c r="N494">
        <v>3.7842335149253274E-2</v>
      </c>
      <c r="O494" t="s">
        <v>6</v>
      </c>
    </row>
    <row r="495" spans="2:15" x14ac:dyDescent="0.45">
      <c r="B495" t="s">
        <v>264</v>
      </c>
      <c r="C495" t="s">
        <v>12</v>
      </c>
      <c r="D495">
        <v>2.5235546269656035E-2</v>
      </c>
      <c r="E495" t="s">
        <v>6</v>
      </c>
      <c r="G495" t="s">
        <v>265</v>
      </c>
      <c r="H495" t="s">
        <v>12</v>
      </c>
      <c r="I495">
        <v>3.8494133695357688E-2</v>
      </c>
      <c r="J495" t="s">
        <v>6</v>
      </c>
      <c r="L495" t="s">
        <v>266</v>
      </c>
      <c r="M495" t="s">
        <v>12</v>
      </c>
      <c r="N495">
        <v>3.67876017059829E-2</v>
      </c>
      <c r="O495" t="s">
        <v>6</v>
      </c>
    </row>
    <row r="496" spans="2:15" x14ac:dyDescent="0.45">
      <c r="B496" t="s">
        <v>264</v>
      </c>
      <c r="C496" t="s">
        <v>13</v>
      </c>
      <c r="D496">
        <v>2.8595170155006804E-4</v>
      </c>
      <c r="E496" t="s">
        <v>6</v>
      </c>
      <c r="G496" t="s">
        <v>265</v>
      </c>
      <c r="H496" t="s">
        <v>13</v>
      </c>
      <c r="I496">
        <v>3.9387277995699174E-2</v>
      </c>
      <c r="J496" t="s">
        <v>6</v>
      </c>
      <c r="L496" t="s">
        <v>266</v>
      </c>
      <c r="M496" t="s">
        <v>13</v>
      </c>
      <c r="N496">
        <v>3.6881101790749625E-2</v>
      </c>
      <c r="O496" t="s">
        <v>6</v>
      </c>
    </row>
    <row r="497" spans="2:15" x14ac:dyDescent="0.45">
      <c r="B497" t="s">
        <v>264</v>
      </c>
      <c r="C497" t="s">
        <v>14</v>
      </c>
      <c r="D497">
        <v>4.9791367764041591E-6</v>
      </c>
      <c r="E497" t="s">
        <v>6</v>
      </c>
      <c r="G497" t="s">
        <v>265</v>
      </c>
      <c r="H497" t="s">
        <v>14</v>
      </c>
      <c r="I497">
        <v>8.0417238670169075E-2</v>
      </c>
      <c r="J497" t="s">
        <v>6</v>
      </c>
      <c r="L497" t="s">
        <v>266</v>
      </c>
      <c r="M497" t="s">
        <v>14</v>
      </c>
      <c r="N497">
        <v>8.3514871052045372E-2</v>
      </c>
      <c r="O497" t="s">
        <v>6</v>
      </c>
    </row>
    <row r="498" spans="2:15" x14ac:dyDescent="0.45">
      <c r="B498" t="s">
        <v>264</v>
      </c>
      <c r="C498" t="s">
        <v>15</v>
      </c>
      <c r="D498">
        <v>1.5256867078664008E-2</v>
      </c>
      <c r="E498" t="s">
        <v>6</v>
      </c>
      <c r="G498" t="s">
        <v>265</v>
      </c>
      <c r="H498" t="s">
        <v>15</v>
      </c>
      <c r="I498">
        <v>3.9003894668859049E-2</v>
      </c>
      <c r="J498" t="s">
        <v>6</v>
      </c>
      <c r="L498" t="s">
        <v>266</v>
      </c>
      <c r="M498" t="s">
        <v>15</v>
      </c>
      <c r="N498">
        <v>4.011231048425197E-2</v>
      </c>
      <c r="O498" t="s">
        <v>6</v>
      </c>
    </row>
    <row r="499" spans="2:15" x14ac:dyDescent="0.45">
      <c r="B499" t="s">
        <v>264</v>
      </c>
      <c r="C499" t="s">
        <v>16</v>
      </c>
      <c r="D499">
        <v>9.3624656909144108E-2</v>
      </c>
      <c r="E499" t="s">
        <v>6</v>
      </c>
      <c r="G499" t="s">
        <v>265</v>
      </c>
      <c r="H499" t="s">
        <v>16</v>
      </c>
      <c r="I499">
        <v>3.0077741566583722E-2</v>
      </c>
      <c r="J499" t="s">
        <v>6</v>
      </c>
      <c r="L499" t="s">
        <v>266</v>
      </c>
      <c r="M499" t="s">
        <v>16</v>
      </c>
      <c r="N499">
        <v>2.9574444268304138E-2</v>
      </c>
      <c r="O499" t="s">
        <v>6</v>
      </c>
    </row>
    <row r="500" spans="2:15" x14ac:dyDescent="0.45">
      <c r="B500" t="s">
        <v>264</v>
      </c>
      <c r="C500" t="s">
        <v>17</v>
      </c>
      <c r="D500">
        <v>0.13127853600520334</v>
      </c>
      <c r="E500" t="s">
        <v>6</v>
      </c>
      <c r="G500" t="s">
        <v>265</v>
      </c>
      <c r="H500" t="s">
        <v>17</v>
      </c>
      <c r="I500">
        <v>3.0673723351835651E-2</v>
      </c>
      <c r="J500" t="s">
        <v>6</v>
      </c>
      <c r="L500" t="s">
        <v>266</v>
      </c>
      <c r="M500" t="s">
        <v>17</v>
      </c>
      <c r="N500">
        <v>2.9203090400758538E-2</v>
      </c>
      <c r="O500" t="s">
        <v>6</v>
      </c>
    </row>
    <row r="501" spans="2:15" x14ac:dyDescent="0.45">
      <c r="B501" t="s">
        <v>264</v>
      </c>
      <c r="C501" t="s">
        <v>18</v>
      </c>
      <c r="D501">
        <v>9.0031906805567372E-2</v>
      </c>
      <c r="E501" t="s">
        <v>6</v>
      </c>
      <c r="G501" t="s">
        <v>265</v>
      </c>
      <c r="H501" t="s">
        <v>18</v>
      </c>
      <c r="I501">
        <v>3.0791291454569547E-2</v>
      </c>
      <c r="J501" t="s">
        <v>6</v>
      </c>
      <c r="L501" t="s">
        <v>266</v>
      </c>
      <c r="M501" t="s">
        <v>18</v>
      </c>
      <c r="N501">
        <v>2.9393090786543504E-2</v>
      </c>
      <c r="O501" t="s">
        <v>6</v>
      </c>
    </row>
    <row r="502" spans="2:15" x14ac:dyDescent="0.45">
      <c r="B502" t="s">
        <v>264</v>
      </c>
      <c r="C502" t="s">
        <v>19</v>
      </c>
      <c r="D502">
        <v>1.3533724097808047E-2</v>
      </c>
      <c r="E502" t="s">
        <v>6</v>
      </c>
      <c r="G502" t="s">
        <v>265</v>
      </c>
      <c r="H502" t="s">
        <v>19</v>
      </c>
      <c r="I502">
        <v>3.1127431347464114E-2</v>
      </c>
      <c r="J502" t="s">
        <v>6</v>
      </c>
      <c r="L502" t="s">
        <v>266</v>
      </c>
      <c r="M502" t="s">
        <v>19</v>
      </c>
      <c r="N502">
        <v>3.070719517484654E-2</v>
      </c>
      <c r="O502" t="s">
        <v>6</v>
      </c>
    </row>
    <row r="503" spans="2:15" x14ac:dyDescent="0.45">
      <c r="B503" t="s">
        <v>264</v>
      </c>
      <c r="C503" t="s">
        <v>20</v>
      </c>
      <c r="D503">
        <v>1.4537850129615928E-4</v>
      </c>
      <c r="E503" t="s">
        <v>6</v>
      </c>
      <c r="G503" t="s">
        <v>265</v>
      </c>
      <c r="H503" t="s">
        <v>20</v>
      </c>
      <c r="I503">
        <v>6.1595735889907979E-2</v>
      </c>
      <c r="J503" t="s">
        <v>6</v>
      </c>
      <c r="L503" t="s">
        <v>266</v>
      </c>
      <c r="M503" t="s">
        <v>20</v>
      </c>
      <c r="N503">
        <v>6.7651320621713473E-2</v>
      </c>
      <c r="O503" t="s">
        <v>6</v>
      </c>
    </row>
    <row r="504" spans="2:15" x14ac:dyDescent="0.45">
      <c r="B504" t="s">
        <v>264</v>
      </c>
      <c r="C504" t="s">
        <v>21</v>
      </c>
      <c r="D504">
        <v>2.1852715066576933E-2</v>
      </c>
      <c r="E504" t="s">
        <v>6</v>
      </c>
      <c r="G504" t="s">
        <v>265</v>
      </c>
      <c r="H504" t="s">
        <v>21</v>
      </c>
      <c r="I504">
        <v>3.1273981444277309E-2</v>
      </c>
      <c r="J504" t="s">
        <v>6</v>
      </c>
      <c r="L504" t="s">
        <v>266</v>
      </c>
      <c r="M504" t="s">
        <v>21</v>
      </c>
      <c r="N504">
        <v>3.3300528747337924E-2</v>
      </c>
      <c r="O504" t="s">
        <v>6</v>
      </c>
    </row>
    <row r="505" spans="2:15" x14ac:dyDescent="0.45">
      <c r="B505" t="s">
        <v>264</v>
      </c>
      <c r="C505" t="s">
        <v>22</v>
      </c>
      <c r="D505">
        <v>9.4873983806365761E-2</v>
      </c>
      <c r="E505" t="s">
        <v>6</v>
      </c>
      <c r="G505" t="s">
        <v>265</v>
      </c>
      <c r="H505" t="s">
        <v>22</v>
      </c>
      <c r="I505">
        <v>2.3360745840616048E-2</v>
      </c>
      <c r="J505" t="s">
        <v>6</v>
      </c>
      <c r="L505" t="s">
        <v>266</v>
      </c>
      <c r="M505" t="s">
        <v>22</v>
      </c>
      <c r="N505">
        <v>2.5693805543129E-2</v>
      </c>
      <c r="O505" t="s">
        <v>6</v>
      </c>
    </row>
    <row r="506" spans="2:15" x14ac:dyDescent="0.45">
      <c r="B506" t="s">
        <v>264</v>
      </c>
      <c r="C506" t="s">
        <v>23</v>
      </c>
      <c r="D506">
        <v>0.13233863085254868</v>
      </c>
      <c r="E506" t="s">
        <v>6</v>
      </c>
      <c r="G506" t="s">
        <v>265</v>
      </c>
      <c r="H506" t="s">
        <v>23</v>
      </c>
      <c r="I506">
        <v>2.3807229601331675E-2</v>
      </c>
      <c r="J506" t="s">
        <v>6</v>
      </c>
      <c r="L506" t="s">
        <v>266</v>
      </c>
      <c r="M506" t="s">
        <v>23</v>
      </c>
      <c r="N506">
        <v>2.6839383464341462E-2</v>
      </c>
      <c r="O506" t="s">
        <v>6</v>
      </c>
    </row>
    <row r="507" spans="2:15" x14ac:dyDescent="0.45">
      <c r="B507" t="s">
        <v>264</v>
      </c>
      <c r="C507" t="s">
        <v>24</v>
      </c>
      <c r="D507">
        <v>9.7724547569386075E-2</v>
      </c>
      <c r="E507" t="s">
        <v>6</v>
      </c>
      <c r="G507" t="s">
        <v>265</v>
      </c>
      <c r="H507" t="s">
        <v>24</v>
      </c>
      <c r="I507">
        <v>2.3569868013753062E-2</v>
      </c>
      <c r="J507" t="s">
        <v>6</v>
      </c>
      <c r="L507" t="s">
        <v>266</v>
      </c>
      <c r="M507" t="s">
        <v>24</v>
      </c>
      <c r="N507">
        <v>2.7333532358433024E-2</v>
      </c>
      <c r="O507" t="s">
        <v>6</v>
      </c>
    </row>
    <row r="508" spans="2:15" x14ac:dyDescent="0.45">
      <c r="B508" t="s">
        <v>264</v>
      </c>
      <c r="C508" t="s">
        <v>25</v>
      </c>
      <c r="D508">
        <v>2.1880815569974895E-2</v>
      </c>
      <c r="E508" t="s">
        <v>6</v>
      </c>
      <c r="G508" t="s">
        <v>265</v>
      </c>
      <c r="H508" t="s">
        <v>25</v>
      </c>
      <c r="I508">
        <v>2.2713432345802205E-2</v>
      </c>
      <c r="J508" t="s">
        <v>6</v>
      </c>
      <c r="L508" t="s">
        <v>266</v>
      </c>
      <c r="M508" t="s">
        <v>25</v>
      </c>
      <c r="N508">
        <v>2.6441615694504515E-2</v>
      </c>
      <c r="O508" t="s">
        <v>6</v>
      </c>
    </row>
    <row r="509" spans="2:15" x14ac:dyDescent="0.45">
      <c r="B509" t="s">
        <v>264</v>
      </c>
      <c r="C509" t="s">
        <v>26</v>
      </c>
      <c r="D509">
        <v>0</v>
      </c>
      <c r="E509" t="s">
        <v>6</v>
      </c>
      <c r="G509" t="s">
        <v>265</v>
      </c>
      <c r="H509" t="s">
        <v>26</v>
      </c>
      <c r="I509">
        <v>8.4541734640753152E-2</v>
      </c>
      <c r="J509" t="s">
        <v>6</v>
      </c>
      <c r="L509" t="s">
        <v>266</v>
      </c>
      <c r="M509" t="s">
        <v>26</v>
      </c>
      <c r="N509">
        <v>8.4242000261503081E-2</v>
      </c>
      <c r="O509" t="s">
        <v>6</v>
      </c>
    </row>
    <row r="510" spans="2:15" x14ac:dyDescent="0.45">
      <c r="B510" t="s">
        <v>264</v>
      </c>
      <c r="C510" t="s">
        <v>27</v>
      </c>
      <c r="D510">
        <v>3.3629348575694518E-3</v>
      </c>
      <c r="E510" t="s">
        <v>6</v>
      </c>
      <c r="G510" t="s">
        <v>265</v>
      </c>
      <c r="H510" t="s">
        <v>27</v>
      </c>
      <c r="I510">
        <v>4.4043290402750922E-2</v>
      </c>
      <c r="J510" t="s">
        <v>6</v>
      </c>
      <c r="L510" t="s">
        <v>266</v>
      </c>
      <c r="M510" t="s">
        <v>27</v>
      </c>
      <c r="N510">
        <v>4.2567022939345757E-2</v>
      </c>
      <c r="O510" t="s">
        <v>6</v>
      </c>
    </row>
    <row r="511" spans="2:15" x14ac:dyDescent="0.45">
      <c r="B511" t="s">
        <v>264</v>
      </c>
      <c r="C511" t="s">
        <v>28</v>
      </c>
      <c r="D511">
        <v>5.237896418165125E-2</v>
      </c>
      <c r="E511" t="s">
        <v>6</v>
      </c>
      <c r="G511" t="s">
        <v>265</v>
      </c>
      <c r="H511" t="s">
        <v>28</v>
      </c>
      <c r="I511">
        <v>3.4021207965634709E-2</v>
      </c>
      <c r="J511" t="s">
        <v>6</v>
      </c>
      <c r="L511" t="s">
        <v>266</v>
      </c>
      <c r="M511" t="s">
        <v>28</v>
      </c>
      <c r="N511">
        <v>3.2551491423289704E-2</v>
      </c>
      <c r="O511" t="s">
        <v>6</v>
      </c>
    </row>
    <row r="512" spans="2:15" x14ac:dyDescent="0.45">
      <c r="B512" t="s">
        <v>264</v>
      </c>
      <c r="C512" t="s">
        <v>29</v>
      </c>
      <c r="D512">
        <v>8.3530742919186607E-2</v>
      </c>
      <c r="E512" t="s">
        <v>6</v>
      </c>
      <c r="G512" t="s">
        <v>265</v>
      </c>
      <c r="H512" t="s">
        <v>29</v>
      </c>
      <c r="I512">
        <v>3.3762565048811644E-2</v>
      </c>
      <c r="J512" t="s">
        <v>6</v>
      </c>
      <c r="L512" t="s">
        <v>266</v>
      </c>
      <c r="M512" t="s">
        <v>29</v>
      </c>
      <c r="N512">
        <v>3.263377482608338E-2</v>
      </c>
      <c r="O512" t="s">
        <v>6</v>
      </c>
    </row>
    <row r="513" spans="2:15" x14ac:dyDescent="0.45">
      <c r="B513" t="s">
        <v>264</v>
      </c>
      <c r="C513" t="s">
        <v>30</v>
      </c>
      <c r="D513">
        <v>4.1541848841477588E-2</v>
      </c>
      <c r="E513" t="s">
        <v>6</v>
      </c>
      <c r="G513" t="s">
        <v>265</v>
      </c>
      <c r="H513" t="s">
        <v>30</v>
      </c>
      <c r="I513">
        <v>3.3646057614606859E-2</v>
      </c>
      <c r="J513" t="s">
        <v>6</v>
      </c>
      <c r="L513" t="s">
        <v>266</v>
      </c>
      <c r="M513" t="s">
        <v>30</v>
      </c>
      <c r="N513">
        <v>3.1793100588189599E-2</v>
      </c>
      <c r="O513" t="s">
        <v>6</v>
      </c>
    </row>
    <row r="514" spans="2:15" x14ac:dyDescent="0.45">
      <c r="B514" t="s">
        <v>264</v>
      </c>
      <c r="C514" t="s">
        <v>31</v>
      </c>
      <c r="D514">
        <v>1.7442429533734171E-3</v>
      </c>
      <c r="E514" t="s">
        <v>6</v>
      </c>
      <c r="G514" t="s">
        <v>265</v>
      </c>
      <c r="H514" t="s">
        <v>31</v>
      </c>
      <c r="I514">
        <v>3.3217692982457504E-2</v>
      </c>
      <c r="J514" t="s">
        <v>6</v>
      </c>
      <c r="L514" t="s">
        <v>266</v>
      </c>
      <c r="M514" t="s">
        <v>31</v>
      </c>
      <c r="N514">
        <v>3.1296730755939799E-2</v>
      </c>
      <c r="O514" t="s">
        <v>6</v>
      </c>
    </row>
    <row r="515" spans="2:15" x14ac:dyDescent="0.45">
      <c r="L515" t="s">
        <v>267</v>
      </c>
      <c r="M515" t="s">
        <v>5</v>
      </c>
      <c r="N515">
        <v>9.9572955054806428E-2</v>
      </c>
      <c r="O515" t="s">
        <v>6</v>
      </c>
    </row>
    <row r="516" spans="2:15" x14ac:dyDescent="0.45">
      <c r="L516" t="s">
        <v>267</v>
      </c>
      <c r="M516" t="s">
        <v>9</v>
      </c>
      <c r="N516">
        <v>4.763778936000318E-2</v>
      </c>
      <c r="O516" t="s">
        <v>6</v>
      </c>
    </row>
    <row r="517" spans="2:15" x14ac:dyDescent="0.45">
      <c r="L517" t="s">
        <v>267</v>
      </c>
      <c r="M517" t="s">
        <v>10</v>
      </c>
      <c r="N517">
        <v>3.6834746243084179E-2</v>
      </c>
      <c r="O517" t="s">
        <v>6</v>
      </c>
    </row>
    <row r="518" spans="2:15" x14ac:dyDescent="0.45">
      <c r="L518" t="s">
        <v>267</v>
      </c>
      <c r="M518" t="s">
        <v>11</v>
      </c>
      <c r="N518">
        <v>3.7419705929128619E-2</v>
      </c>
      <c r="O518" t="s">
        <v>6</v>
      </c>
    </row>
    <row r="519" spans="2:15" x14ac:dyDescent="0.45">
      <c r="L519" t="s">
        <v>267</v>
      </c>
      <c r="M519" t="s">
        <v>12</v>
      </c>
      <c r="N519">
        <v>3.5934116488864777E-2</v>
      </c>
      <c r="O519" t="s">
        <v>6</v>
      </c>
    </row>
    <row r="520" spans="2:15" x14ac:dyDescent="0.45">
      <c r="L520" t="s">
        <v>267</v>
      </c>
      <c r="M520" t="s">
        <v>13</v>
      </c>
      <c r="N520">
        <v>3.6217179738358973E-2</v>
      </c>
      <c r="O520" t="s">
        <v>6</v>
      </c>
    </row>
    <row r="521" spans="2:15" x14ac:dyDescent="0.45">
      <c r="L521" t="s">
        <v>267</v>
      </c>
      <c r="M521" t="s">
        <v>14</v>
      </c>
      <c r="N521">
        <v>8.1136187985300576E-2</v>
      </c>
      <c r="O521" t="s">
        <v>6</v>
      </c>
    </row>
    <row r="522" spans="2:15" x14ac:dyDescent="0.45">
      <c r="L522" t="s">
        <v>267</v>
      </c>
      <c r="M522" t="s">
        <v>15</v>
      </c>
      <c r="N522">
        <v>3.9036229035375583E-2</v>
      </c>
      <c r="O522" t="s">
        <v>6</v>
      </c>
    </row>
    <row r="523" spans="2:15" x14ac:dyDescent="0.45">
      <c r="L523" t="s">
        <v>267</v>
      </c>
      <c r="M523" t="s">
        <v>16</v>
      </c>
      <c r="N523">
        <v>2.9001353000825264E-2</v>
      </c>
      <c r="O523" t="s">
        <v>6</v>
      </c>
    </row>
    <row r="524" spans="2:15" x14ac:dyDescent="0.45">
      <c r="L524" t="s">
        <v>267</v>
      </c>
      <c r="M524" t="s">
        <v>17</v>
      </c>
      <c r="N524">
        <v>2.8996295217374127E-2</v>
      </c>
      <c r="O524" t="s">
        <v>6</v>
      </c>
    </row>
    <row r="525" spans="2:15" x14ac:dyDescent="0.45">
      <c r="L525" t="s">
        <v>267</v>
      </c>
      <c r="M525" t="s">
        <v>18</v>
      </c>
      <c r="N525">
        <v>2.9750211668255325E-2</v>
      </c>
      <c r="O525" t="s">
        <v>6</v>
      </c>
    </row>
    <row r="526" spans="2:15" x14ac:dyDescent="0.45">
      <c r="L526" t="s">
        <v>267</v>
      </c>
      <c r="M526" t="s">
        <v>19</v>
      </c>
      <c r="N526">
        <v>3.1276559610780852E-2</v>
      </c>
      <c r="O526" t="s">
        <v>6</v>
      </c>
    </row>
    <row r="527" spans="2:15" x14ac:dyDescent="0.45">
      <c r="L527" t="s">
        <v>267</v>
      </c>
      <c r="M527" t="s">
        <v>20</v>
      </c>
      <c r="N527">
        <v>6.7864598821247721E-2</v>
      </c>
      <c r="O527" t="s">
        <v>6</v>
      </c>
    </row>
    <row r="528" spans="2:15" x14ac:dyDescent="0.45">
      <c r="L528" t="s">
        <v>267</v>
      </c>
      <c r="M528" t="s">
        <v>21</v>
      </c>
      <c r="N528">
        <v>3.3755458069797031E-2</v>
      </c>
      <c r="O528" t="s">
        <v>6</v>
      </c>
    </row>
    <row r="529" spans="12:15" x14ac:dyDescent="0.45">
      <c r="L529" t="s">
        <v>267</v>
      </c>
      <c r="M529" t="s">
        <v>22</v>
      </c>
      <c r="N529">
        <v>2.524540965132166E-2</v>
      </c>
      <c r="O529" t="s">
        <v>6</v>
      </c>
    </row>
    <row r="530" spans="12:15" x14ac:dyDescent="0.45">
      <c r="L530" t="s">
        <v>267</v>
      </c>
      <c r="M530" t="s">
        <v>23</v>
      </c>
      <c r="N530">
        <v>2.5912739920257857E-2</v>
      </c>
      <c r="O530" t="s">
        <v>6</v>
      </c>
    </row>
    <row r="531" spans="12:15" x14ac:dyDescent="0.45">
      <c r="L531" t="s">
        <v>267</v>
      </c>
      <c r="M531" t="s">
        <v>24</v>
      </c>
      <c r="N531">
        <v>2.6042426565667437E-2</v>
      </c>
      <c r="O531" t="s">
        <v>6</v>
      </c>
    </row>
    <row r="532" spans="12:15" x14ac:dyDescent="0.45">
      <c r="L532" t="s">
        <v>267</v>
      </c>
      <c r="M532" t="s">
        <v>25</v>
      </c>
      <c r="N532">
        <v>2.5772701909557296E-2</v>
      </c>
      <c r="O532" t="s">
        <v>6</v>
      </c>
    </row>
    <row r="533" spans="12:15" x14ac:dyDescent="0.45">
      <c r="L533" t="s">
        <v>267</v>
      </c>
      <c r="M533" t="s">
        <v>26</v>
      </c>
      <c r="N533">
        <v>8.757562282362151E-2</v>
      </c>
      <c r="O533" t="s">
        <v>6</v>
      </c>
    </row>
    <row r="534" spans="12:15" x14ac:dyDescent="0.45">
      <c r="L534" t="s">
        <v>267</v>
      </c>
      <c r="M534" t="s">
        <v>27</v>
      </c>
      <c r="N534">
        <v>4.3893631368089589E-2</v>
      </c>
      <c r="O534" t="s">
        <v>6</v>
      </c>
    </row>
    <row r="535" spans="12:15" x14ac:dyDescent="0.45">
      <c r="L535" t="s">
        <v>267</v>
      </c>
      <c r="M535" t="s">
        <v>28</v>
      </c>
      <c r="N535">
        <v>3.3315085009985299E-2</v>
      </c>
      <c r="O535" t="s">
        <v>6</v>
      </c>
    </row>
    <row r="536" spans="12:15" x14ac:dyDescent="0.45">
      <c r="L536" t="s">
        <v>267</v>
      </c>
      <c r="M536" t="s">
        <v>29</v>
      </c>
      <c r="N536">
        <v>3.2851272031624995E-2</v>
      </c>
      <c r="O536" t="s">
        <v>6</v>
      </c>
    </row>
    <row r="537" spans="12:15" x14ac:dyDescent="0.45">
      <c r="L537" t="s">
        <v>267</v>
      </c>
      <c r="M537" t="s">
        <v>30</v>
      </c>
      <c r="N537">
        <v>3.2158265097096808E-2</v>
      </c>
      <c r="O537" t="s">
        <v>6</v>
      </c>
    </row>
    <row r="538" spans="12:15" x14ac:dyDescent="0.45">
      <c r="L538" t="s">
        <v>267</v>
      </c>
      <c r="M538" t="s">
        <v>31</v>
      </c>
      <c r="N538">
        <v>3.2799459399572996E-2</v>
      </c>
      <c r="O538" t="s">
        <v>6</v>
      </c>
    </row>
    <row r="539" spans="12:15" x14ac:dyDescent="0.45">
      <c r="L539" t="s">
        <v>268</v>
      </c>
      <c r="M539" t="s">
        <v>5</v>
      </c>
      <c r="N539">
        <v>9.5805380233955989E-2</v>
      </c>
      <c r="O539" t="s">
        <v>6</v>
      </c>
    </row>
    <row r="540" spans="12:15" x14ac:dyDescent="0.45">
      <c r="L540" t="s">
        <v>268</v>
      </c>
      <c r="M540" t="s">
        <v>9</v>
      </c>
      <c r="N540">
        <v>4.8402040572135985E-2</v>
      </c>
      <c r="O540" t="s">
        <v>6</v>
      </c>
    </row>
    <row r="541" spans="12:15" x14ac:dyDescent="0.45">
      <c r="L541" t="s">
        <v>268</v>
      </c>
      <c r="M541" t="s">
        <v>10</v>
      </c>
      <c r="N541">
        <v>3.5718023243222041E-2</v>
      </c>
      <c r="O541" t="s">
        <v>6</v>
      </c>
    </row>
    <row r="542" spans="12:15" x14ac:dyDescent="0.45">
      <c r="L542" t="s">
        <v>268</v>
      </c>
      <c r="M542" t="s">
        <v>11</v>
      </c>
      <c r="N542">
        <v>3.6010922471446119E-2</v>
      </c>
      <c r="O542" t="s">
        <v>6</v>
      </c>
    </row>
    <row r="543" spans="12:15" x14ac:dyDescent="0.45">
      <c r="L543" t="s">
        <v>268</v>
      </c>
      <c r="M543" t="s">
        <v>12</v>
      </c>
      <c r="N543">
        <v>3.55827838527338E-2</v>
      </c>
      <c r="O543" t="s">
        <v>6</v>
      </c>
    </row>
    <row r="544" spans="12:15" x14ac:dyDescent="0.45">
      <c r="L544" t="s">
        <v>268</v>
      </c>
      <c r="M544" t="s">
        <v>13</v>
      </c>
      <c r="N544">
        <v>3.5209450664093721E-2</v>
      </c>
      <c r="O544" t="s">
        <v>6</v>
      </c>
    </row>
    <row r="545" spans="12:15" x14ac:dyDescent="0.45">
      <c r="L545" t="s">
        <v>268</v>
      </c>
      <c r="M545" t="s">
        <v>14</v>
      </c>
      <c r="N545">
        <v>8.1337421895779499E-2</v>
      </c>
      <c r="O545" t="s">
        <v>6</v>
      </c>
    </row>
    <row r="546" spans="12:15" x14ac:dyDescent="0.45">
      <c r="L546" t="s">
        <v>268</v>
      </c>
      <c r="M546" t="s">
        <v>15</v>
      </c>
      <c r="N546">
        <v>3.8890212679291672E-2</v>
      </c>
      <c r="O546" t="s">
        <v>6</v>
      </c>
    </row>
    <row r="547" spans="12:15" x14ac:dyDescent="0.45">
      <c r="L547" t="s">
        <v>268</v>
      </c>
      <c r="M547" t="s">
        <v>16</v>
      </c>
      <c r="N547">
        <v>2.7613886930742591E-2</v>
      </c>
      <c r="O547" t="s">
        <v>6</v>
      </c>
    </row>
    <row r="548" spans="12:15" x14ac:dyDescent="0.45">
      <c r="L548" t="s">
        <v>268</v>
      </c>
      <c r="M548" t="s">
        <v>17</v>
      </c>
      <c r="N548">
        <v>2.6626522152130492E-2</v>
      </c>
      <c r="O548" t="s">
        <v>6</v>
      </c>
    </row>
    <row r="549" spans="12:15" x14ac:dyDescent="0.45">
      <c r="L549" t="s">
        <v>268</v>
      </c>
      <c r="M549" t="s">
        <v>18</v>
      </c>
      <c r="N549">
        <v>2.7326385199978671E-2</v>
      </c>
      <c r="O549" t="s">
        <v>6</v>
      </c>
    </row>
    <row r="550" spans="12:15" x14ac:dyDescent="0.45">
      <c r="L550" t="s">
        <v>268</v>
      </c>
      <c r="M550" t="s">
        <v>19</v>
      </c>
      <c r="N550">
        <v>2.966543286102619E-2</v>
      </c>
      <c r="O550" t="s">
        <v>6</v>
      </c>
    </row>
    <row r="551" spans="12:15" x14ac:dyDescent="0.45">
      <c r="L551" t="s">
        <v>268</v>
      </c>
      <c r="M551" t="s">
        <v>20</v>
      </c>
      <c r="N551">
        <v>6.8494165964357395E-2</v>
      </c>
      <c r="O551" t="s">
        <v>6</v>
      </c>
    </row>
    <row r="552" spans="12:15" x14ac:dyDescent="0.45">
      <c r="L552" t="s">
        <v>268</v>
      </c>
      <c r="M552" t="s">
        <v>21</v>
      </c>
      <c r="N552">
        <v>3.4585241268229178E-2</v>
      </c>
      <c r="O552" t="s">
        <v>6</v>
      </c>
    </row>
    <row r="553" spans="12:15" x14ac:dyDescent="0.45">
      <c r="L553" t="s">
        <v>268</v>
      </c>
      <c r="M553" t="s">
        <v>22</v>
      </c>
      <c r="N553">
        <v>2.70740778436683E-2</v>
      </c>
      <c r="O553" t="s">
        <v>6</v>
      </c>
    </row>
    <row r="554" spans="12:15" x14ac:dyDescent="0.45">
      <c r="L554" t="s">
        <v>268</v>
      </c>
      <c r="M554" t="s">
        <v>23</v>
      </c>
      <c r="N554">
        <v>2.7895937566925814E-2</v>
      </c>
      <c r="O554" t="s">
        <v>6</v>
      </c>
    </row>
    <row r="555" spans="12:15" x14ac:dyDescent="0.45">
      <c r="L555" t="s">
        <v>268</v>
      </c>
      <c r="M555" t="s">
        <v>24</v>
      </c>
      <c r="N555">
        <v>2.7771422907191135E-2</v>
      </c>
      <c r="O555" t="s">
        <v>6</v>
      </c>
    </row>
    <row r="556" spans="12:15" x14ac:dyDescent="0.45">
      <c r="L556" t="s">
        <v>268</v>
      </c>
      <c r="M556" t="s">
        <v>25</v>
      </c>
      <c r="N556">
        <v>2.6999534544786045E-2</v>
      </c>
      <c r="O556" t="s">
        <v>6</v>
      </c>
    </row>
    <row r="557" spans="12:15" x14ac:dyDescent="0.45">
      <c r="L557" t="s">
        <v>268</v>
      </c>
      <c r="M557" t="s">
        <v>26</v>
      </c>
      <c r="N557">
        <v>8.9889790335358627E-2</v>
      </c>
      <c r="O557" t="s">
        <v>6</v>
      </c>
    </row>
    <row r="558" spans="12:15" x14ac:dyDescent="0.45">
      <c r="L558" t="s">
        <v>268</v>
      </c>
      <c r="M558" t="s">
        <v>27</v>
      </c>
      <c r="N558">
        <v>4.4391366454972686E-2</v>
      </c>
      <c r="O558" t="s">
        <v>6</v>
      </c>
    </row>
    <row r="559" spans="12:15" x14ac:dyDescent="0.45">
      <c r="L559" t="s">
        <v>268</v>
      </c>
      <c r="M559" t="s">
        <v>28</v>
      </c>
      <c r="N559">
        <v>3.3338588408142099E-2</v>
      </c>
      <c r="O559" t="s">
        <v>6</v>
      </c>
    </row>
    <row r="560" spans="12:15" x14ac:dyDescent="0.45">
      <c r="L560" t="s">
        <v>268</v>
      </c>
      <c r="M560" t="s">
        <v>29</v>
      </c>
      <c r="N560">
        <v>3.398935419430428E-2</v>
      </c>
      <c r="O560" t="s">
        <v>6</v>
      </c>
    </row>
    <row r="561" spans="12:15" x14ac:dyDescent="0.45">
      <c r="L561" t="s">
        <v>268</v>
      </c>
      <c r="M561" t="s">
        <v>30</v>
      </c>
      <c r="N561">
        <v>3.3907225407036563E-2</v>
      </c>
      <c r="O561" t="s">
        <v>6</v>
      </c>
    </row>
    <row r="562" spans="12:15" x14ac:dyDescent="0.45">
      <c r="L562" t="s">
        <v>268</v>
      </c>
      <c r="M562" t="s">
        <v>31</v>
      </c>
      <c r="N562">
        <v>3.3474832348495576E-2</v>
      </c>
      <c r="O562" t="s">
        <v>6</v>
      </c>
    </row>
    <row r="563" spans="12:15" x14ac:dyDescent="0.45">
      <c r="L563" t="s">
        <v>269</v>
      </c>
      <c r="M563" t="s">
        <v>5</v>
      </c>
      <c r="N563">
        <v>9.5171826232143181E-2</v>
      </c>
      <c r="O563" t="s">
        <v>6</v>
      </c>
    </row>
    <row r="564" spans="12:15" x14ac:dyDescent="0.45">
      <c r="L564" t="s">
        <v>269</v>
      </c>
      <c r="M564" t="s">
        <v>9</v>
      </c>
      <c r="N564">
        <v>4.7744237884231842E-2</v>
      </c>
      <c r="O564" t="s">
        <v>6</v>
      </c>
    </row>
    <row r="565" spans="12:15" x14ac:dyDescent="0.45">
      <c r="L565" t="s">
        <v>269</v>
      </c>
      <c r="M565" t="s">
        <v>10</v>
      </c>
      <c r="N565">
        <v>3.3805922023500752E-2</v>
      </c>
      <c r="O565" t="s">
        <v>6</v>
      </c>
    </row>
    <row r="566" spans="12:15" x14ac:dyDescent="0.45">
      <c r="L566" t="s">
        <v>269</v>
      </c>
      <c r="M566" t="s">
        <v>11</v>
      </c>
      <c r="N566">
        <v>3.4780850621803333E-2</v>
      </c>
      <c r="O566" t="s">
        <v>6</v>
      </c>
    </row>
    <row r="567" spans="12:15" x14ac:dyDescent="0.45">
      <c r="L567" t="s">
        <v>269</v>
      </c>
      <c r="M567" t="s">
        <v>12</v>
      </c>
      <c r="N567">
        <v>3.4845078657297135E-2</v>
      </c>
      <c r="O567" t="s">
        <v>6</v>
      </c>
    </row>
    <row r="568" spans="12:15" x14ac:dyDescent="0.45">
      <c r="L568" t="s">
        <v>269</v>
      </c>
      <c r="M568" t="s">
        <v>13</v>
      </c>
      <c r="N568">
        <v>3.4773930456515854E-2</v>
      </c>
      <c r="O568" t="s">
        <v>6</v>
      </c>
    </row>
    <row r="569" spans="12:15" x14ac:dyDescent="0.45">
      <c r="L569" t="s">
        <v>269</v>
      </c>
      <c r="M569" t="s">
        <v>14</v>
      </c>
      <c r="N569">
        <v>7.9475735254209257E-2</v>
      </c>
      <c r="O569" t="s">
        <v>6</v>
      </c>
    </row>
    <row r="570" spans="12:15" x14ac:dyDescent="0.45">
      <c r="L570" t="s">
        <v>269</v>
      </c>
      <c r="M570" t="s">
        <v>15</v>
      </c>
      <c r="N570">
        <v>3.9070799674417629E-2</v>
      </c>
      <c r="O570" t="s">
        <v>6</v>
      </c>
    </row>
    <row r="571" spans="12:15" x14ac:dyDescent="0.45">
      <c r="L571" t="s">
        <v>269</v>
      </c>
      <c r="M571" t="s">
        <v>16</v>
      </c>
      <c r="N571">
        <v>2.7542738965534358E-2</v>
      </c>
      <c r="O571" t="s">
        <v>6</v>
      </c>
    </row>
    <row r="572" spans="12:15" x14ac:dyDescent="0.45">
      <c r="L572" t="s">
        <v>269</v>
      </c>
      <c r="M572" t="s">
        <v>17</v>
      </c>
      <c r="N572">
        <v>2.6454687408427643E-2</v>
      </c>
      <c r="O572" t="s">
        <v>6</v>
      </c>
    </row>
    <row r="573" spans="12:15" x14ac:dyDescent="0.45">
      <c r="L573" t="s">
        <v>269</v>
      </c>
      <c r="M573" t="s">
        <v>18</v>
      </c>
      <c r="N573">
        <v>2.6867688557774379E-2</v>
      </c>
      <c r="O573" t="s">
        <v>6</v>
      </c>
    </row>
    <row r="574" spans="12:15" x14ac:dyDescent="0.45">
      <c r="L574" t="s">
        <v>269</v>
      </c>
      <c r="M574" t="s">
        <v>19</v>
      </c>
      <c r="N574">
        <v>2.9013759811627141E-2</v>
      </c>
      <c r="O574" t="s">
        <v>6</v>
      </c>
    </row>
    <row r="575" spans="12:15" x14ac:dyDescent="0.45">
      <c r="L575" t="s">
        <v>269</v>
      </c>
      <c r="M575" t="s">
        <v>20</v>
      </c>
      <c r="N575">
        <v>6.5936574764481712E-2</v>
      </c>
      <c r="O575" t="s">
        <v>6</v>
      </c>
    </row>
    <row r="576" spans="12:15" x14ac:dyDescent="0.45">
      <c r="L576" t="s">
        <v>269</v>
      </c>
      <c r="M576" t="s">
        <v>21</v>
      </c>
      <c r="N576">
        <v>3.4153392365628303E-2</v>
      </c>
      <c r="O576" t="s">
        <v>6</v>
      </c>
    </row>
    <row r="577" spans="12:15" x14ac:dyDescent="0.45">
      <c r="L577" t="s">
        <v>269</v>
      </c>
      <c r="M577" t="s">
        <v>22</v>
      </c>
      <c r="N577">
        <v>2.70183134964521E-2</v>
      </c>
      <c r="O577" t="s">
        <v>6</v>
      </c>
    </row>
    <row r="578" spans="12:15" x14ac:dyDescent="0.45">
      <c r="L578" t="s">
        <v>269</v>
      </c>
      <c r="M578" t="s">
        <v>23</v>
      </c>
      <c r="N578">
        <v>2.8059844705044659E-2</v>
      </c>
      <c r="O578" t="s">
        <v>6</v>
      </c>
    </row>
    <row r="579" spans="12:15" x14ac:dyDescent="0.45">
      <c r="L579" t="s">
        <v>269</v>
      </c>
      <c r="M579" t="s">
        <v>24</v>
      </c>
      <c r="N579">
        <v>2.7387353496970024E-2</v>
      </c>
      <c r="O579" t="s">
        <v>6</v>
      </c>
    </row>
    <row r="580" spans="12:15" x14ac:dyDescent="0.45">
      <c r="L580" t="s">
        <v>269</v>
      </c>
      <c r="M580" t="s">
        <v>25</v>
      </c>
      <c r="N580">
        <v>2.5692484983292251E-2</v>
      </c>
      <c r="O580" t="s">
        <v>6</v>
      </c>
    </row>
    <row r="581" spans="12:15" x14ac:dyDescent="0.45">
      <c r="L581" t="s">
        <v>269</v>
      </c>
      <c r="M581" t="s">
        <v>26</v>
      </c>
      <c r="N581">
        <v>9.4441271654166423E-2</v>
      </c>
      <c r="O581" t="s">
        <v>6</v>
      </c>
    </row>
    <row r="582" spans="12:15" x14ac:dyDescent="0.45">
      <c r="L582" t="s">
        <v>269</v>
      </c>
      <c r="M582" t="s">
        <v>27</v>
      </c>
      <c r="N582">
        <v>4.7189574192418385E-2</v>
      </c>
      <c r="O582" t="s">
        <v>6</v>
      </c>
    </row>
    <row r="583" spans="12:15" x14ac:dyDescent="0.45">
      <c r="L583" t="s">
        <v>269</v>
      </c>
      <c r="M583" t="s">
        <v>28</v>
      </c>
      <c r="N583">
        <v>3.4283095493908351E-2</v>
      </c>
      <c r="O583" t="s">
        <v>6</v>
      </c>
    </row>
    <row r="584" spans="12:15" x14ac:dyDescent="0.45">
      <c r="L584" t="s">
        <v>269</v>
      </c>
      <c r="M584" t="s">
        <v>29</v>
      </c>
      <c r="N584">
        <v>3.4857112895079798E-2</v>
      </c>
      <c r="O584" t="s">
        <v>6</v>
      </c>
    </row>
    <row r="585" spans="12:15" x14ac:dyDescent="0.45">
      <c r="L585" t="s">
        <v>269</v>
      </c>
      <c r="M585" t="s">
        <v>30</v>
      </c>
      <c r="N585">
        <v>3.5510533422506402E-2</v>
      </c>
      <c r="O585" t="s">
        <v>6</v>
      </c>
    </row>
    <row r="586" spans="12:15" x14ac:dyDescent="0.45">
      <c r="L586" t="s">
        <v>269</v>
      </c>
      <c r="M586" t="s">
        <v>31</v>
      </c>
      <c r="N586">
        <v>3.5923192982568117E-2</v>
      </c>
      <c r="O586" t="s">
        <v>6</v>
      </c>
    </row>
    <row r="587" spans="12:15" x14ac:dyDescent="0.45">
      <c r="L587" t="s">
        <v>270</v>
      </c>
      <c r="M587" t="s">
        <v>5</v>
      </c>
      <c r="N587">
        <v>9.8981354244729911E-2</v>
      </c>
      <c r="O587" t="s">
        <v>6</v>
      </c>
    </row>
    <row r="588" spans="12:15" x14ac:dyDescent="0.45">
      <c r="L588" t="s">
        <v>270</v>
      </c>
      <c r="M588" t="s">
        <v>9</v>
      </c>
      <c r="N588">
        <v>4.7760761276510508E-2</v>
      </c>
      <c r="O588" t="s">
        <v>6</v>
      </c>
    </row>
    <row r="589" spans="12:15" x14ac:dyDescent="0.45">
      <c r="L589" t="s">
        <v>270</v>
      </c>
      <c r="M589" t="s">
        <v>10</v>
      </c>
      <c r="N589">
        <v>3.5152346681355216E-2</v>
      </c>
      <c r="O589" t="s">
        <v>6</v>
      </c>
    </row>
    <row r="590" spans="12:15" x14ac:dyDescent="0.45">
      <c r="L590" t="s">
        <v>270</v>
      </c>
      <c r="M590" t="s">
        <v>11</v>
      </c>
      <c r="N590">
        <v>3.574973671630783E-2</v>
      </c>
      <c r="O590" t="s">
        <v>6</v>
      </c>
    </row>
    <row r="591" spans="12:15" x14ac:dyDescent="0.45">
      <c r="L591" t="s">
        <v>270</v>
      </c>
      <c r="M591" t="s">
        <v>12</v>
      </c>
      <c r="N591">
        <v>3.4771535593019293E-2</v>
      </c>
      <c r="O591" t="s">
        <v>6</v>
      </c>
    </row>
    <row r="592" spans="12:15" x14ac:dyDescent="0.45">
      <c r="L592" t="s">
        <v>270</v>
      </c>
      <c r="M592" t="s">
        <v>13</v>
      </c>
      <c r="N592">
        <v>3.5006797190470493E-2</v>
      </c>
      <c r="O592" t="s">
        <v>6</v>
      </c>
    </row>
    <row r="593" spans="12:15" x14ac:dyDescent="0.45">
      <c r="L593" t="s">
        <v>270</v>
      </c>
      <c r="M593" t="s">
        <v>14</v>
      </c>
      <c r="N593">
        <v>8.083658093659167E-2</v>
      </c>
      <c r="O593" t="s">
        <v>6</v>
      </c>
    </row>
    <row r="594" spans="12:15" x14ac:dyDescent="0.45">
      <c r="L594" t="s">
        <v>270</v>
      </c>
      <c r="M594" t="s">
        <v>15</v>
      </c>
      <c r="N594">
        <v>4.0024744085323201E-2</v>
      </c>
      <c r="O594" t="s">
        <v>6</v>
      </c>
    </row>
    <row r="595" spans="12:15" x14ac:dyDescent="0.45">
      <c r="L595" t="s">
        <v>270</v>
      </c>
      <c r="M595" t="s">
        <v>16</v>
      </c>
      <c r="N595">
        <v>2.8813914085560128E-2</v>
      </c>
      <c r="O595" t="s">
        <v>6</v>
      </c>
    </row>
    <row r="596" spans="12:15" x14ac:dyDescent="0.45">
      <c r="L596" t="s">
        <v>270</v>
      </c>
      <c r="M596" t="s">
        <v>17</v>
      </c>
      <c r="N596">
        <v>2.8665822050547015E-2</v>
      </c>
      <c r="O596" t="s">
        <v>6</v>
      </c>
    </row>
    <row r="597" spans="12:15" x14ac:dyDescent="0.45">
      <c r="L597" t="s">
        <v>270</v>
      </c>
      <c r="M597" t="s">
        <v>18</v>
      </c>
      <c r="N597">
        <v>2.8908445369264697E-2</v>
      </c>
      <c r="O597" t="s">
        <v>6</v>
      </c>
    </row>
    <row r="598" spans="12:15" x14ac:dyDescent="0.45">
      <c r="L598" t="s">
        <v>270</v>
      </c>
      <c r="M598" t="s">
        <v>19</v>
      </c>
      <c r="N598">
        <v>3.0379608367936111E-2</v>
      </c>
      <c r="O598" t="s">
        <v>6</v>
      </c>
    </row>
    <row r="599" spans="12:15" x14ac:dyDescent="0.45">
      <c r="L599" t="s">
        <v>270</v>
      </c>
      <c r="M599" t="s">
        <v>20</v>
      </c>
      <c r="N599">
        <v>6.4587330229665424E-2</v>
      </c>
      <c r="O599" t="s">
        <v>6</v>
      </c>
    </row>
    <row r="600" spans="12:15" x14ac:dyDescent="0.45">
      <c r="L600" t="s">
        <v>270</v>
      </c>
      <c r="M600" t="s">
        <v>21</v>
      </c>
      <c r="N600">
        <v>3.3807403490396452E-2</v>
      </c>
      <c r="O600" t="s">
        <v>6</v>
      </c>
    </row>
    <row r="601" spans="12:15" x14ac:dyDescent="0.45">
      <c r="L601" t="s">
        <v>270</v>
      </c>
      <c r="M601" t="s">
        <v>22</v>
      </c>
      <c r="N601">
        <v>2.6623537872114873E-2</v>
      </c>
      <c r="O601" t="s">
        <v>6</v>
      </c>
    </row>
    <row r="602" spans="12:15" x14ac:dyDescent="0.45">
      <c r="L602" t="s">
        <v>270</v>
      </c>
      <c r="M602" t="s">
        <v>23</v>
      </c>
      <c r="N602">
        <v>2.6989685346053682E-2</v>
      </c>
      <c r="O602" t="s">
        <v>6</v>
      </c>
    </row>
    <row r="603" spans="12:15" x14ac:dyDescent="0.45">
      <c r="L603" t="s">
        <v>270</v>
      </c>
      <c r="M603" t="s">
        <v>24</v>
      </c>
      <c r="N603">
        <v>2.5755363379844722E-2</v>
      </c>
      <c r="O603" t="s">
        <v>6</v>
      </c>
    </row>
    <row r="604" spans="12:15" x14ac:dyDescent="0.45">
      <c r="L604" t="s">
        <v>270</v>
      </c>
      <c r="M604" t="s">
        <v>25</v>
      </c>
      <c r="N604">
        <v>2.4073470616183486E-2</v>
      </c>
      <c r="O604" t="s">
        <v>6</v>
      </c>
    </row>
    <row r="605" spans="12:15" x14ac:dyDescent="0.45">
      <c r="L605" t="s">
        <v>270</v>
      </c>
      <c r="M605" t="s">
        <v>26</v>
      </c>
      <c r="N605">
        <v>9.2584464599103758E-2</v>
      </c>
      <c r="O605" t="s">
        <v>6</v>
      </c>
    </row>
    <row r="606" spans="12:15" x14ac:dyDescent="0.45">
      <c r="L606" t="s">
        <v>270</v>
      </c>
      <c r="M606" t="s">
        <v>27</v>
      </c>
      <c r="N606">
        <v>4.4969341747450986E-2</v>
      </c>
      <c r="O606" t="s">
        <v>6</v>
      </c>
    </row>
    <row r="607" spans="12:15" x14ac:dyDescent="0.45">
      <c r="L607" t="s">
        <v>270</v>
      </c>
      <c r="M607" t="s">
        <v>28</v>
      </c>
      <c r="N607">
        <v>3.3318977104037188E-2</v>
      </c>
      <c r="O607" t="s">
        <v>6</v>
      </c>
    </row>
    <row r="608" spans="12:15" x14ac:dyDescent="0.45">
      <c r="L608" t="s">
        <v>270</v>
      </c>
      <c r="M608" t="s">
        <v>29</v>
      </c>
      <c r="N608">
        <v>3.3921348694356597E-2</v>
      </c>
      <c r="O608" t="s">
        <v>6</v>
      </c>
    </row>
    <row r="609" spans="12:15" x14ac:dyDescent="0.45">
      <c r="L609" t="s">
        <v>270</v>
      </c>
      <c r="M609" t="s">
        <v>30</v>
      </c>
      <c r="N609">
        <v>3.3975795193204393E-2</v>
      </c>
      <c r="O609" t="s">
        <v>6</v>
      </c>
    </row>
    <row r="610" spans="12:15" x14ac:dyDescent="0.45">
      <c r="L610" t="s">
        <v>270</v>
      </c>
      <c r="M610" t="s">
        <v>31</v>
      </c>
      <c r="N610">
        <v>3.4341635129969426E-2</v>
      </c>
      <c r="O610" t="s">
        <v>6</v>
      </c>
    </row>
    <row r="611" spans="12:15" x14ac:dyDescent="0.45">
      <c r="L611" t="s">
        <v>271</v>
      </c>
      <c r="M611" t="s">
        <v>5</v>
      </c>
      <c r="N611">
        <v>9.8326243334019764E-2</v>
      </c>
      <c r="O611" t="s">
        <v>6</v>
      </c>
    </row>
    <row r="612" spans="12:15" x14ac:dyDescent="0.45">
      <c r="L612" t="s">
        <v>271</v>
      </c>
      <c r="M612" t="s">
        <v>9</v>
      </c>
      <c r="N612">
        <v>4.8452890226449337E-2</v>
      </c>
      <c r="O612" t="s">
        <v>6</v>
      </c>
    </row>
    <row r="613" spans="12:15" x14ac:dyDescent="0.45">
      <c r="L613" t="s">
        <v>271</v>
      </c>
      <c r="M613" t="s">
        <v>10</v>
      </c>
      <c r="N613">
        <v>3.5844846766274877E-2</v>
      </c>
      <c r="O613" t="s">
        <v>6</v>
      </c>
    </row>
    <row r="614" spans="12:15" x14ac:dyDescent="0.45">
      <c r="L614" t="s">
        <v>271</v>
      </c>
      <c r="M614" t="s">
        <v>11</v>
      </c>
      <c r="N614">
        <v>3.5493848737564414E-2</v>
      </c>
      <c r="O614" t="s">
        <v>6</v>
      </c>
    </row>
    <row r="615" spans="12:15" x14ac:dyDescent="0.45">
      <c r="L615" t="s">
        <v>271</v>
      </c>
      <c r="M615" t="s">
        <v>12</v>
      </c>
      <c r="N615">
        <v>3.5612150228510983E-2</v>
      </c>
      <c r="O615" t="s">
        <v>6</v>
      </c>
    </row>
    <row r="616" spans="12:15" x14ac:dyDescent="0.45">
      <c r="L616" t="s">
        <v>271</v>
      </c>
      <c r="M616" t="s">
        <v>13</v>
      </c>
      <c r="N616">
        <v>3.7425883274889618E-2</v>
      </c>
      <c r="O616" t="s">
        <v>6</v>
      </c>
    </row>
    <row r="617" spans="12:15" x14ac:dyDescent="0.45">
      <c r="L617" t="s">
        <v>271</v>
      </c>
      <c r="M617" t="s">
        <v>14</v>
      </c>
      <c r="N617">
        <v>8.7671801610573627E-2</v>
      </c>
      <c r="O617" t="s">
        <v>6</v>
      </c>
    </row>
    <row r="618" spans="12:15" x14ac:dyDescent="0.45">
      <c r="L618" t="s">
        <v>271</v>
      </c>
      <c r="M618" t="s">
        <v>15</v>
      </c>
      <c r="N618">
        <v>4.4932474651596291E-2</v>
      </c>
      <c r="O618" t="s">
        <v>6</v>
      </c>
    </row>
    <row r="619" spans="12:15" x14ac:dyDescent="0.45">
      <c r="L619" t="s">
        <v>271</v>
      </c>
      <c r="M619" t="s">
        <v>16</v>
      </c>
      <c r="N619">
        <v>3.2664025932417649E-2</v>
      </c>
      <c r="O619" t="s">
        <v>6</v>
      </c>
    </row>
    <row r="620" spans="12:15" x14ac:dyDescent="0.45">
      <c r="L620" t="s">
        <v>271</v>
      </c>
      <c r="M620" t="s">
        <v>17</v>
      </c>
      <c r="N620">
        <v>3.2363877535707151E-2</v>
      </c>
      <c r="O620" t="s">
        <v>6</v>
      </c>
    </row>
    <row r="621" spans="12:15" x14ac:dyDescent="0.45">
      <c r="L621" t="s">
        <v>271</v>
      </c>
      <c r="M621" t="s">
        <v>18</v>
      </c>
      <c r="N621">
        <v>3.3396028727188991E-2</v>
      </c>
      <c r="O621" t="s">
        <v>6</v>
      </c>
    </row>
    <row r="622" spans="12:15" x14ac:dyDescent="0.45">
      <c r="L622" t="s">
        <v>271</v>
      </c>
      <c r="M622" t="s">
        <v>19</v>
      </c>
      <c r="N622">
        <v>3.3982687190633798E-2</v>
      </c>
      <c r="O622" t="s">
        <v>6</v>
      </c>
    </row>
    <row r="623" spans="12:15" x14ac:dyDescent="0.45">
      <c r="L623" t="s">
        <v>271</v>
      </c>
      <c r="M623" t="s">
        <v>20</v>
      </c>
      <c r="N623">
        <v>5.8739965262642441E-2</v>
      </c>
      <c r="O623" t="s">
        <v>6</v>
      </c>
    </row>
    <row r="624" spans="12:15" x14ac:dyDescent="0.45">
      <c r="L624" t="s">
        <v>271</v>
      </c>
      <c r="M624" t="s">
        <v>21</v>
      </c>
      <c r="N624">
        <v>2.861095502994021E-2</v>
      </c>
      <c r="O624" t="s">
        <v>6</v>
      </c>
    </row>
    <row r="625" spans="12:15" x14ac:dyDescent="0.45">
      <c r="L625" t="s">
        <v>271</v>
      </c>
      <c r="M625" t="s">
        <v>22</v>
      </c>
      <c r="N625">
        <v>1.9111099965756332E-2</v>
      </c>
      <c r="O625" t="s">
        <v>6</v>
      </c>
    </row>
    <row r="626" spans="12:15" x14ac:dyDescent="0.45">
      <c r="L626" t="s">
        <v>271</v>
      </c>
      <c r="M626" t="s">
        <v>23</v>
      </c>
      <c r="N626">
        <v>1.8182687944579088E-2</v>
      </c>
      <c r="O626" t="s">
        <v>6</v>
      </c>
    </row>
    <row r="627" spans="12:15" x14ac:dyDescent="0.45">
      <c r="L627" t="s">
        <v>271</v>
      </c>
      <c r="M627" t="s">
        <v>24</v>
      </c>
      <c r="N627">
        <v>1.8998865240552679E-2</v>
      </c>
      <c r="O627" t="s">
        <v>6</v>
      </c>
    </row>
    <row r="628" spans="12:15" x14ac:dyDescent="0.45">
      <c r="L628" t="s">
        <v>271</v>
      </c>
      <c r="M628" t="s">
        <v>25</v>
      </c>
      <c r="N628">
        <v>1.9711661591783582E-2</v>
      </c>
      <c r="O628" t="s">
        <v>6</v>
      </c>
    </row>
    <row r="629" spans="12:15" x14ac:dyDescent="0.45">
      <c r="L629" t="s">
        <v>271</v>
      </c>
      <c r="M629" t="s">
        <v>26</v>
      </c>
      <c r="N629">
        <v>9.3908377156895609E-2</v>
      </c>
      <c r="O629" t="s">
        <v>6</v>
      </c>
    </row>
    <row r="630" spans="12:15" x14ac:dyDescent="0.45">
      <c r="L630" t="s">
        <v>271</v>
      </c>
      <c r="M630" t="s">
        <v>27</v>
      </c>
      <c r="N630">
        <v>4.6630053884216309E-2</v>
      </c>
      <c r="O630" t="s">
        <v>6</v>
      </c>
    </row>
    <row r="631" spans="12:15" x14ac:dyDescent="0.45">
      <c r="L631" t="s">
        <v>271</v>
      </c>
      <c r="M631" t="s">
        <v>28</v>
      </c>
      <c r="N631">
        <v>3.4741275063552707E-2</v>
      </c>
      <c r="O631" t="s">
        <v>6</v>
      </c>
    </row>
    <row r="632" spans="12:15" x14ac:dyDescent="0.45">
      <c r="L632" t="s">
        <v>271</v>
      </c>
      <c r="M632" t="s">
        <v>29</v>
      </c>
      <c r="N632">
        <v>3.4660189521779801E-2</v>
      </c>
      <c r="O632" t="s">
        <v>6</v>
      </c>
    </row>
    <row r="633" spans="12:15" x14ac:dyDescent="0.45">
      <c r="L633" t="s">
        <v>271</v>
      </c>
      <c r="M633" t="s">
        <v>30</v>
      </c>
      <c r="N633">
        <v>3.5332925023653851E-2</v>
      </c>
      <c r="O633" t="s">
        <v>6</v>
      </c>
    </row>
    <row r="634" spans="12:15" x14ac:dyDescent="0.45">
      <c r="L634" t="s">
        <v>271</v>
      </c>
      <c r="M634" t="s">
        <v>31</v>
      </c>
      <c r="N634">
        <v>3.5205186098820597E-2</v>
      </c>
      <c r="O634" t="s">
        <v>6</v>
      </c>
    </row>
    <row r="635" spans="12:15" x14ac:dyDescent="0.45">
      <c r="L635" t="s">
        <v>272</v>
      </c>
      <c r="M635" t="s">
        <v>5</v>
      </c>
      <c r="N635">
        <v>0.10371251717758219</v>
      </c>
      <c r="O635" t="s">
        <v>6</v>
      </c>
    </row>
    <row r="636" spans="12:15" x14ac:dyDescent="0.45">
      <c r="L636" t="s">
        <v>272</v>
      </c>
      <c r="M636" t="s">
        <v>9</v>
      </c>
      <c r="N636">
        <v>5.0447213022624074E-2</v>
      </c>
      <c r="O636" t="s">
        <v>6</v>
      </c>
    </row>
    <row r="637" spans="12:15" x14ac:dyDescent="0.45">
      <c r="L637" t="s">
        <v>272</v>
      </c>
      <c r="M637" t="s">
        <v>10</v>
      </c>
      <c r="N637">
        <v>3.7871211957607259E-2</v>
      </c>
      <c r="O637" t="s">
        <v>6</v>
      </c>
    </row>
    <row r="638" spans="12:15" x14ac:dyDescent="0.45">
      <c r="L638" t="s">
        <v>272</v>
      </c>
      <c r="M638" t="s">
        <v>11</v>
      </c>
      <c r="N638">
        <v>3.7721972951897172E-2</v>
      </c>
      <c r="O638" t="s">
        <v>6</v>
      </c>
    </row>
    <row r="639" spans="12:15" x14ac:dyDescent="0.45">
      <c r="L639" t="s">
        <v>272</v>
      </c>
      <c r="M639" t="s">
        <v>12</v>
      </c>
      <c r="N639">
        <v>3.7654468709745439E-2</v>
      </c>
      <c r="O639" t="s">
        <v>6</v>
      </c>
    </row>
    <row r="640" spans="12:15" x14ac:dyDescent="0.45">
      <c r="L640" t="s">
        <v>272</v>
      </c>
      <c r="M640" t="s">
        <v>13</v>
      </c>
      <c r="N640">
        <v>3.9482613737688015E-2</v>
      </c>
      <c r="O640" t="s">
        <v>6</v>
      </c>
    </row>
    <row r="641" spans="12:15" x14ac:dyDescent="0.45">
      <c r="L641" t="s">
        <v>272</v>
      </c>
      <c r="M641" t="s">
        <v>14</v>
      </c>
      <c r="N641">
        <v>8.8135488901386075E-2</v>
      </c>
      <c r="O641" t="s">
        <v>6</v>
      </c>
    </row>
    <row r="642" spans="12:15" x14ac:dyDescent="0.45">
      <c r="L642" t="s">
        <v>272</v>
      </c>
      <c r="M642" t="s">
        <v>15</v>
      </c>
      <c r="N642">
        <v>4.5955593251927891E-2</v>
      </c>
      <c r="O642" t="s">
        <v>6</v>
      </c>
    </row>
    <row r="643" spans="12:15" x14ac:dyDescent="0.45">
      <c r="L643" t="s">
        <v>272</v>
      </c>
      <c r="M643" t="s">
        <v>16</v>
      </c>
      <c r="N643">
        <v>3.3957173478570205E-2</v>
      </c>
      <c r="O643" t="s">
        <v>6</v>
      </c>
    </row>
    <row r="644" spans="12:15" x14ac:dyDescent="0.45">
      <c r="L644" t="s">
        <v>272</v>
      </c>
      <c r="M644" t="s">
        <v>17</v>
      </c>
      <c r="N644">
        <v>3.2568875373708783E-2</v>
      </c>
      <c r="O644" t="s">
        <v>6</v>
      </c>
    </row>
    <row r="645" spans="12:15" x14ac:dyDescent="0.45">
      <c r="L645" t="s">
        <v>272</v>
      </c>
      <c r="M645" t="s">
        <v>18</v>
      </c>
      <c r="N645">
        <v>3.2237596870124459E-2</v>
      </c>
      <c r="O645" t="s">
        <v>6</v>
      </c>
    </row>
    <row r="646" spans="12:15" x14ac:dyDescent="0.45">
      <c r="L646" t="s">
        <v>272</v>
      </c>
      <c r="M646" t="s">
        <v>19</v>
      </c>
      <c r="N646">
        <v>3.2324590888191111E-2</v>
      </c>
      <c r="O646" t="s">
        <v>6</v>
      </c>
    </row>
    <row r="647" spans="12:15" x14ac:dyDescent="0.45">
      <c r="L647" t="s">
        <v>272</v>
      </c>
      <c r="M647" t="s">
        <v>20</v>
      </c>
      <c r="N647">
        <v>4.9664120785390287E-2</v>
      </c>
      <c r="O647" t="s">
        <v>6</v>
      </c>
    </row>
    <row r="648" spans="12:15" x14ac:dyDescent="0.45">
      <c r="L648" t="s">
        <v>272</v>
      </c>
      <c r="M648" t="s">
        <v>21</v>
      </c>
      <c r="N648">
        <v>2.2912129100769809E-2</v>
      </c>
      <c r="O648" t="s">
        <v>6</v>
      </c>
    </row>
    <row r="649" spans="12:15" x14ac:dyDescent="0.45">
      <c r="L649" t="s">
        <v>272</v>
      </c>
      <c r="M649" t="s">
        <v>22</v>
      </c>
      <c r="N649">
        <v>1.6068339160801266E-2</v>
      </c>
      <c r="O649" t="s">
        <v>6</v>
      </c>
    </row>
    <row r="650" spans="12:15" x14ac:dyDescent="0.45">
      <c r="L650" t="s">
        <v>272</v>
      </c>
      <c r="M650" t="s">
        <v>23</v>
      </c>
      <c r="N650">
        <v>1.514016354651539E-2</v>
      </c>
      <c r="O650" t="s">
        <v>6</v>
      </c>
    </row>
    <row r="651" spans="12:15" x14ac:dyDescent="0.45">
      <c r="L651" t="s">
        <v>272</v>
      </c>
      <c r="M651" t="s">
        <v>24</v>
      </c>
      <c r="N651">
        <v>1.6874364394297802E-2</v>
      </c>
      <c r="O651" t="s">
        <v>6</v>
      </c>
    </row>
    <row r="652" spans="12:15" x14ac:dyDescent="0.45">
      <c r="L652" t="s">
        <v>272</v>
      </c>
      <c r="M652" t="s">
        <v>25</v>
      </c>
      <c r="N652">
        <v>1.8211243908307286E-2</v>
      </c>
      <c r="O652" t="s">
        <v>6</v>
      </c>
    </row>
    <row r="653" spans="12:15" x14ac:dyDescent="0.45">
      <c r="L653" t="s">
        <v>272</v>
      </c>
      <c r="M653" t="s">
        <v>26</v>
      </c>
      <c r="N653">
        <v>9.9248549400495087E-2</v>
      </c>
      <c r="O653" t="s">
        <v>6</v>
      </c>
    </row>
    <row r="654" spans="12:15" x14ac:dyDescent="0.45">
      <c r="L654" t="s">
        <v>272</v>
      </c>
      <c r="M654" t="s">
        <v>27</v>
      </c>
      <c r="N654">
        <v>4.6462333479014621E-2</v>
      </c>
      <c r="O654" t="s">
        <v>6</v>
      </c>
    </row>
    <row r="655" spans="12:15" x14ac:dyDescent="0.45">
      <c r="L655" t="s">
        <v>272</v>
      </c>
      <c r="M655" t="s">
        <v>28</v>
      </c>
      <c r="N655">
        <v>3.4685991758003638E-2</v>
      </c>
      <c r="O655" t="s">
        <v>6</v>
      </c>
    </row>
    <row r="656" spans="12:15" x14ac:dyDescent="0.45">
      <c r="L656" t="s">
        <v>272</v>
      </c>
      <c r="M656" t="s">
        <v>29</v>
      </c>
      <c r="N656">
        <v>3.5417878734699905E-2</v>
      </c>
      <c r="O656" t="s">
        <v>6</v>
      </c>
    </row>
    <row r="657" spans="12:15" x14ac:dyDescent="0.45">
      <c r="L657" t="s">
        <v>272</v>
      </c>
      <c r="M657" t="s">
        <v>30</v>
      </c>
      <c r="N657">
        <v>3.6096760431874243E-2</v>
      </c>
      <c r="O657" t="s">
        <v>6</v>
      </c>
    </row>
    <row r="658" spans="12:15" x14ac:dyDescent="0.45">
      <c r="L658" t="s">
        <v>272</v>
      </c>
      <c r="M658" t="s">
        <v>31</v>
      </c>
      <c r="N658">
        <v>3.7148808978775427E-2</v>
      </c>
      <c r="O658" t="s">
        <v>6</v>
      </c>
    </row>
    <row r="659" spans="12:15" x14ac:dyDescent="0.45">
      <c r="L659" t="s">
        <v>273</v>
      </c>
      <c r="M659" t="s">
        <v>5</v>
      </c>
      <c r="N659">
        <v>9.9895872544706027E-2</v>
      </c>
      <c r="O659" t="s">
        <v>6</v>
      </c>
    </row>
    <row r="660" spans="12:15" x14ac:dyDescent="0.45">
      <c r="L660" t="s">
        <v>273</v>
      </c>
      <c r="M660" t="s">
        <v>9</v>
      </c>
      <c r="N660">
        <v>4.8384366120418527E-2</v>
      </c>
      <c r="O660" t="s">
        <v>6</v>
      </c>
    </row>
    <row r="661" spans="12:15" x14ac:dyDescent="0.45">
      <c r="L661" t="s">
        <v>273</v>
      </c>
      <c r="M661" t="s">
        <v>10</v>
      </c>
      <c r="N661">
        <v>3.6205464711097902E-2</v>
      </c>
      <c r="O661" t="s">
        <v>6</v>
      </c>
    </row>
    <row r="662" spans="12:15" x14ac:dyDescent="0.45">
      <c r="L662" t="s">
        <v>273</v>
      </c>
      <c r="M662" t="s">
        <v>11</v>
      </c>
      <c r="N662">
        <v>3.6020229490970355E-2</v>
      </c>
      <c r="O662" t="s">
        <v>6</v>
      </c>
    </row>
    <row r="663" spans="12:15" x14ac:dyDescent="0.45">
      <c r="L663" t="s">
        <v>273</v>
      </c>
      <c r="M663" t="s">
        <v>12</v>
      </c>
      <c r="N663">
        <v>3.6002206880831458E-2</v>
      </c>
      <c r="O663" t="s">
        <v>6</v>
      </c>
    </row>
    <row r="664" spans="12:15" x14ac:dyDescent="0.45">
      <c r="L664" t="s">
        <v>273</v>
      </c>
      <c r="M664" t="s">
        <v>13</v>
      </c>
      <c r="N664">
        <v>3.7210424111408395E-2</v>
      </c>
      <c r="O664" t="s">
        <v>6</v>
      </c>
    </row>
    <row r="665" spans="12:15" x14ac:dyDescent="0.45">
      <c r="L665" t="s">
        <v>273</v>
      </c>
      <c r="M665" t="s">
        <v>14</v>
      </c>
      <c r="N665">
        <v>8.7811088660585374E-2</v>
      </c>
      <c r="O665" t="s">
        <v>6</v>
      </c>
    </row>
    <row r="666" spans="12:15" x14ac:dyDescent="0.45">
      <c r="L666" t="s">
        <v>273</v>
      </c>
      <c r="M666" t="s">
        <v>15</v>
      </c>
      <c r="N666">
        <v>4.5648803672478304E-2</v>
      </c>
      <c r="O666" t="s">
        <v>6</v>
      </c>
    </row>
    <row r="667" spans="12:15" x14ac:dyDescent="0.45">
      <c r="L667" t="s">
        <v>273</v>
      </c>
      <c r="M667" t="s">
        <v>16</v>
      </c>
      <c r="N667">
        <v>3.4055229659416424E-2</v>
      </c>
      <c r="O667" t="s">
        <v>6</v>
      </c>
    </row>
    <row r="668" spans="12:15" x14ac:dyDescent="0.45">
      <c r="L668" t="s">
        <v>273</v>
      </c>
      <c r="M668" t="s">
        <v>17</v>
      </c>
      <c r="N668">
        <v>3.2800420530417207E-2</v>
      </c>
      <c r="O668" t="s">
        <v>6</v>
      </c>
    </row>
    <row r="669" spans="12:15" x14ac:dyDescent="0.45">
      <c r="L669" t="s">
        <v>273</v>
      </c>
      <c r="M669" t="s">
        <v>18</v>
      </c>
      <c r="N669">
        <v>3.2570737449302938E-2</v>
      </c>
      <c r="O669" t="s">
        <v>6</v>
      </c>
    </row>
    <row r="670" spans="12:15" x14ac:dyDescent="0.45">
      <c r="L670" t="s">
        <v>273</v>
      </c>
      <c r="M670" t="s">
        <v>19</v>
      </c>
      <c r="N670">
        <v>3.2968359543530786E-2</v>
      </c>
      <c r="O670" t="s">
        <v>6</v>
      </c>
    </row>
    <row r="671" spans="12:15" x14ac:dyDescent="0.45">
      <c r="L671" t="s">
        <v>273</v>
      </c>
      <c r="M671" t="s">
        <v>20</v>
      </c>
      <c r="N671">
        <v>5.4527795154418066E-2</v>
      </c>
      <c r="O671" t="s">
        <v>6</v>
      </c>
    </row>
    <row r="672" spans="12:15" x14ac:dyDescent="0.45">
      <c r="L672" t="s">
        <v>273</v>
      </c>
      <c r="M672" t="s">
        <v>21</v>
      </c>
      <c r="N672">
        <v>2.5758130423216036E-2</v>
      </c>
      <c r="O672" t="s">
        <v>6</v>
      </c>
    </row>
    <row r="673" spans="12:15" x14ac:dyDescent="0.45">
      <c r="L673" t="s">
        <v>273</v>
      </c>
      <c r="M673" t="s">
        <v>22</v>
      </c>
      <c r="N673">
        <v>1.8009962362369118E-2</v>
      </c>
      <c r="O673" t="s">
        <v>6</v>
      </c>
    </row>
    <row r="674" spans="12:15" x14ac:dyDescent="0.45">
      <c r="L674" t="s">
        <v>273</v>
      </c>
      <c r="M674" t="s">
        <v>23</v>
      </c>
      <c r="N674">
        <v>1.7008171440789286E-2</v>
      </c>
      <c r="O674" t="s">
        <v>6</v>
      </c>
    </row>
    <row r="675" spans="12:15" x14ac:dyDescent="0.45">
      <c r="L675" t="s">
        <v>273</v>
      </c>
      <c r="M675" t="s">
        <v>24</v>
      </c>
      <c r="N675">
        <v>1.7504440702417839E-2</v>
      </c>
      <c r="O675" t="s">
        <v>6</v>
      </c>
    </row>
    <row r="676" spans="12:15" x14ac:dyDescent="0.45">
      <c r="L676" t="s">
        <v>273</v>
      </c>
      <c r="M676" t="s">
        <v>25</v>
      </c>
      <c r="N676">
        <v>1.9042248872735271E-2</v>
      </c>
      <c r="O676" t="s">
        <v>6</v>
      </c>
    </row>
    <row r="677" spans="12:15" x14ac:dyDescent="0.45">
      <c r="L677" t="s">
        <v>273</v>
      </c>
      <c r="M677" t="s">
        <v>26</v>
      </c>
      <c r="N677">
        <v>9.8640178228674311E-2</v>
      </c>
      <c r="O677" t="s">
        <v>6</v>
      </c>
    </row>
    <row r="678" spans="12:15" x14ac:dyDescent="0.45">
      <c r="L678" t="s">
        <v>273</v>
      </c>
      <c r="M678" t="s">
        <v>27</v>
      </c>
      <c r="N678">
        <v>4.7150182981451752E-2</v>
      </c>
      <c r="O678" t="s">
        <v>6</v>
      </c>
    </row>
    <row r="679" spans="12:15" x14ac:dyDescent="0.45">
      <c r="L679" t="s">
        <v>273</v>
      </c>
      <c r="M679" t="s">
        <v>28</v>
      </c>
      <c r="N679">
        <v>3.5333867699003228E-2</v>
      </c>
      <c r="O679" t="s">
        <v>6</v>
      </c>
    </row>
    <row r="680" spans="12:15" x14ac:dyDescent="0.45">
      <c r="L680" t="s">
        <v>273</v>
      </c>
      <c r="M680" t="s">
        <v>29</v>
      </c>
      <c r="N680">
        <v>3.5615468532505509E-2</v>
      </c>
      <c r="O680" t="s">
        <v>6</v>
      </c>
    </row>
    <row r="681" spans="12:15" x14ac:dyDescent="0.45">
      <c r="L681" t="s">
        <v>273</v>
      </c>
      <c r="M681" t="s">
        <v>30</v>
      </c>
      <c r="N681">
        <v>3.5502465226212906E-2</v>
      </c>
      <c r="O681" t="s">
        <v>6</v>
      </c>
    </row>
    <row r="682" spans="12:15" x14ac:dyDescent="0.45">
      <c r="L682" t="s">
        <v>273</v>
      </c>
      <c r="M682" t="s">
        <v>31</v>
      </c>
      <c r="N682">
        <v>3.6333885001045715E-2</v>
      </c>
      <c r="O682" t="s">
        <v>6</v>
      </c>
    </row>
    <row r="683" spans="12:15" x14ac:dyDescent="0.45">
      <c r="L683" t="s">
        <v>274</v>
      </c>
      <c r="M683" t="s">
        <v>5</v>
      </c>
      <c r="N683">
        <v>9.6337329465777485E-2</v>
      </c>
      <c r="O683" t="s">
        <v>6</v>
      </c>
    </row>
    <row r="684" spans="12:15" x14ac:dyDescent="0.45">
      <c r="L684" t="s">
        <v>274</v>
      </c>
      <c r="M684" t="s">
        <v>9</v>
      </c>
      <c r="N684">
        <v>4.9130193981157845E-2</v>
      </c>
      <c r="O684" t="s">
        <v>6</v>
      </c>
    </row>
    <row r="685" spans="12:15" x14ac:dyDescent="0.45">
      <c r="L685" t="s">
        <v>274</v>
      </c>
      <c r="M685" t="s">
        <v>10</v>
      </c>
      <c r="N685">
        <v>3.7555440147325106E-2</v>
      </c>
      <c r="O685" t="s">
        <v>6</v>
      </c>
    </row>
    <row r="686" spans="12:15" x14ac:dyDescent="0.45">
      <c r="L686" t="s">
        <v>274</v>
      </c>
      <c r="M686" t="s">
        <v>11</v>
      </c>
      <c r="N686">
        <v>3.7431889308204104E-2</v>
      </c>
      <c r="O686" t="s">
        <v>6</v>
      </c>
    </row>
    <row r="687" spans="12:15" x14ac:dyDescent="0.45">
      <c r="L687" t="s">
        <v>274</v>
      </c>
      <c r="M687" t="s">
        <v>12</v>
      </c>
      <c r="N687">
        <v>3.6352252927410914E-2</v>
      </c>
      <c r="O687" t="s">
        <v>6</v>
      </c>
    </row>
    <row r="688" spans="12:15" x14ac:dyDescent="0.45">
      <c r="L688" t="s">
        <v>274</v>
      </c>
      <c r="M688" t="s">
        <v>13</v>
      </c>
      <c r="N688">
        <v>3.5835438397252305E-2</v>
      </c>
      <c r="O688" t="s">
        <v>6</v>
      </c>
    </row>
    <row r="689" spans="12:15" x14ac:dyDescent="0.45">
      <c r="L689" t="s">
        <v>274</v>
      </c>
      <c r="M689" t="s">
        <v>14</v>
      </c>
      <c r="N689">
        <v>8.7823859293555254E-2</v>
      </c>
      <c r="O689" t="s">
        <v>6</v>
      </c>
    </row>
    <row r="690" spans="12:15" x14ac:dyDescent="0.45">
      <c r="L690" t="s">
        <v>274</v>
      </c>
      <c r="M690" t="s">
        <v>15</v>
      </c>
      <c r="N690">
        <v>4.5150486136685347E-2</v>
      </c>
      <c r="O690" t="s">
        <v>6</v>
      </c>
    </row>
    <row r="691" spans="12:15" x14ac:dyDescent="0.45">
      <c r="L691" t="s">
        <v>274</v>
      </c>
      <c r="M691" t="s">
        <v>16</v>
      </c>
      <c r="N691">
        <v>3.3193593460256042E-2</v>
      </c>
      <c r="O691" t="s">
        <v>6</v>
      </c>
    </row>
    <row r="692" spans="12:15" x14ac:dyDescent="0.45">
      <c r="L692" t="s">
        <v>274</v>
      </c>
      <c r="M692" t="s">
        <v>17</v>
      </c>
      <c r="N692">
        <v>3.1832164023582341E-2</v>
      </c>
      <c r="O692" t="s">
        <v>6</v>
      </c>
    </row>
    <row r="693" spans="12:15" x14ac:dyDescent="0.45">
      <c r="L693" t="s">
        <v>274</v>
      </c>
      <c r="M693" t="s">
        <v>18</v>
      </c>
      <c r="N693">
        <v>3.1043875526210667E-2</v>
      </c>
      <c r="O693" t="s">
        <v>6</v>
      </c>
    </row>
    <row r="694" spans="12:15" x14ac:dyDescent="0.45">
      <c r="L694" t="s">
        <v>274</v>
      </c>
      <c r="M694" t="s">
        <v>19</v>
      </c>
      <c r="N694">
        <v>3.1817033108492793E-2</v>
      </c>
      <c r="O694" t="s">
        <v>6</v>
      </c>
    </row>
    <row r="695" spans="12:15" x14ac:dyDescent="0.45">
      <c r="L695" t="s">
        <v>274</v>
      </c>
      <c r="M695" t="s">
        <v>20</v>
      </c>
      <c r="N695">
        <v>5.491556846073218E-2</v>
      </c>
      <c r="O695" t="s">
        <v>6</v>
      </c>
    </row>
    <row r="696" spans="12:15" x14ac:dyDescent="0.45">
      <c r="L696" t="s">
        <v>274</v>
      </c>
      <c r="M696" t="s">
        <v>21</v>
      </c>
      <c r="N696">
        <v>2.6835784795035747E-2</v>
      </c>
      <c r="O696" t="s">
        <v>6</v>
      </c>
    </row>
    <row r="697" spans="12:15" x14ac:dyDescent="0.45">
      <c r="L697" t="s">
        <v>274</v>
      </c>
      <c r="M697" t="s">
        <v>22</v>
      </c>
      <c r="N697">
        <v>1.9872431027530262E-2</v>
      </c>
      <c r="O697" t="s">
        <v>6</v>
      </c>
    </row>
    <row r="698" spans="12:15" x14ac:dyDescent="0.45">
      <c r="L698" t="s">
        <v>274</v>
      </c>
      <c r="M698" t="s">
        <v>23</v>
      </c>
      <c r="N698">
        <v>1.9025660572728361E-2</v>
      </c>
      <c r="O698" t="s">
        <v>6</v>
      </c>
    </row>
    <row r="699" spans="12:15" x14ac:dyDescent="0.45">
      <c r="L699" t="s">
        <v>274</v>
      </c>
      <c r="M699" t="s">
        <v>24</v>
      </c>
      <c r="N699">
        <v>1.9068270096721639E-2</v>
      </c>
      <c r="O699" t="s">
        <v>6</v>
      </c>
    </row>
    <row r="700" spans="12:15" x14ac:dyDescent="0.45">
      <c r="L700" t="s">
        <v>274</v>
      </c>
      <c r="M700" t="s">
        <v>25</v>
      </c>
      <c r="N700">
        <v>2.0114881971649151E-2</v>
      </c>
      <c r="O700" t="s">
        <v>6</v>
      </c>
    </row>
    <row r="701" spans="12:15" x14ac:dyDescent="0.45">
      <c r="L701" t="s">
        <v>274</v>
      </c>
      <c r="M701" t="s">
        <v>26</v>
      </c>
      <c r="N701">
        <v>9.8264707157686787E-2</v>
      </c>
      <c r="O701" t="s">
        <v>6</v>
      </c>
    </row>
    <row r="702" spans="12:15" x14ac:dyDescent="0.45">
      <c r="L702" t="s">
        <v>274</v>
      </c>
      <c r="M702" t="s">
        <v>27</v>
      </c>
      <c r="N702">
        <v>4.6755273223850258E-2</v>
      </c>
      <c r="O702" t="s">
        <v>6</v>
      </c>
    </row>
    <row r="703" spans="12:15" x14ac:dyDescent="0.45">
      <c r="L703" t="s">
        <v>274</v>
      </c>
      <c r="M703" t="s">
        <v>28</v>
      </c>
      <c r="N703">
        <v>3.3887083152051592E-2</v>
      </c>
      <c r="O703" t="s">
        <v>6</v>
      </c>
    </row>
    <row r="704" spans="12:15" x14ac:dyDescent="0.45">
      <c r="L704" t="s">
        <v>274</v>
      </c>
      <c r="M704" t="s">
        <v>29</v>
      </c>
      <c r="N704">
        <v>3.4859883464434596E-2</v>
      </c>
      <c r="O704" t="s">
        <v>6</v>
      </c>
    </row>
    <row r="705" spans="12:15" x14ac:dyDescent="0.45">
      <c r="L705" t="s">
        <v>274</v>
      </c>
      <c r="M705" t="s">
        <v>30</v>
      </c>
      <c r="N705">
        <v>3.5833164768878871E-2</v>
      </c>
      <c r="O705" t="s">
        <v>6</v>
      </c>
    </row>
    <row r="706" spans="12:15" x14ac:dyDescent="0.45">
      <c r="L706" t="s">
        <v>274</v>
      </c>
      <c r="M706" t="s">
        <v>31</v>
      </c>
      <c r="N706">
        <v>3.7063735532790576E-2</v>
      </c>
      <c r="O706" t="s">
        <v>6</v>
      </c>
    </row>
    <row r="707" spans="12:15" x14ac:dyDescent="0.45">
      <c r="L707" t="s">
        <v>275</v>
      </c>
      <c r="M707" t="s">
        <v>5</v>
      </c>
      <c r="N707">
        <v>9.7273943713192978E-2</v>
      </c>
      <c r="O707" t="s">
        <v>6</v>
      </c>
    </row>
    <row r="708" spans="12:15" x14ac:dyDescent="0.45">
      <c r="L708" t="s">
        <v>275</v>
      </c>
      <c r="M708" t="s">
        <v>9</v>
      </c>
      <c r="N708">
        <v>4.9180450548307053E-2</v>
      </c>
      <c r="O708" t="s">
        <v>6</v>
      </c>
    </row>
    <row r="709" spans="12:15" x14ac:dyDescent="0.45">
      <c r="L709" t="s">
        <v>275</v>
      </c>
      <c r="M709" t="s">
        <v>10</v>
      </c>
      <c r="N709">
        <v>3.6619752756889112E-2</v>
      </c>
      <c r="O709" t="s">
        <v>6</v>
      </c>
    </row>
    <row r="710" spans="12:15" x14ac:dyDescent="0.45">
      <c r="L710" t="s">
        <v>275</v>
      </c>
      <c r="M710" t="s">
        <v>11</v>
      </c>
      <c r="N710">
        <v>3.5873957625047311E-2</v>
      </c>
      <c r="O710" t="s">
        <v>6</v>
      </c>
    </row>
    <row r="711" spans="12:15" x14ac:dyDescent="0.45">
      <c r="L711" t="s">
        <v>275</v>
      </c>
      <c r="M711" t="s">
        <v>12</v>
      </c>
      <c r="N711">
        <v>3.5015661775857479E-2</v>
      </c>
      <c r="O711" t="s">
        <v>6</v>
      </c>
    </row>
    <row r="712" spans="12:15" x14ac:dyDescent="0.45">
      <c r="L712" t="s">
        <v>275</v>
      </c>
      <c r="M712" t="s">
        <v>13</v>
      </c>
      <c r="N712">
        <v>3.4991385750767844E-2</v>
      </c>
      <c r="O712" t="s">
        <v>6</v>
      </c>
    </row>
    <row r="713" spans="12:15" x14ac:dyDescent="0.45">
      <c r="L713" t="s">
        <v>275</v>
      </c>
      <c r="M713" t="s">
        <v>14</v>
      </c>
      <c r="N713">
        <v>8.4789251200179855E-2</v>
      </c>
      <c r="O713" t="s">
        <v>6</v>
      </c>
    </row>
    <row r="714" spans="12:15" x14ac:dyDescent="0.45">
      <c r="L714" t="s">
        <v>275</v>
      </c>
      <c r="M714" t="s">
        <v>15</v>
      </c>
      <c r="N714">
        <v>4.3522720551397595E-2</v>
      </c>
      <c r="O714" t="s">
        <v>6</v>
      </c>
    </row>
    <row r="715" spans="12:15" x14ac:dyDescent="0.45">
      <c r="L715" t="s">
        <v>275</v>
      </c>
      <c r="M715" t="s">
        <v>16</v>
      </c>
      <c r="N715">
        <v>3.061243440075272E-2</v>
      </c>
      <c r="O715" t="s">
        <v>6</v>
      </c>
    </row>
    <row r="716" spans="12:15" x14ac:dyDescent="0.45">
      <c r="L716" t="s">
        <v>275</v>
      </c>
      <c r="M716" t="s">
        <v>17</v>
      </c>
      <c r="N716">
        <v>2.9375525323218306E-2</v>
      </c>
      <c r="O716" t="s">
        <v>6</v>
      </c>
    </row>
    <row r="717" spans="12:15" x14ac:dyDescent="0.45">
      <c r="L717" t="s">
        <v>275</v>
      </c>
      <c r="M717" t="s">
        <v>18</v>
      </c>
      <c r="N717">
        <v>2.9661272992911852E-2</v>
      </c>
      <c r="O717" t="s">
        <v>6</v>
      </c>
    </row>
    <row r="718" spans="12:15" x14ac:dyDescent="0.45">
      <c r="L718" t="s">
        <v>275</v>
      </c>
      <c r="M718" t="s">
        <v>19</v>
      </c>
      <c r="N718">
        <v>3.1303187398434677E-2</v>
      </c>
      <c r="O718" t="s">
        <v>6</v>
      </c>
    </row>
    <row r="719" spans="12:15" x14ac:dyDescent="0.45">
      <c r="L719" t="s">
        <v>275</v>
      </c>
      <c r="M719" t="s">
        <v>20</v>
      </c>
      <c r="N719">
        <v>5.7316440135454796E-2</v>
      </c>
      <c r="O719" t="s">
        <v>6</v>
      </c>
    </row>
    <row r="720" spans="12:15" x14ac:dyDescent="0.45">
      <c r="L720" t="s">
        <v>275</v>
      </c>
      <c r="M720" t="s">
        <v>21</v>
      </c>
      <c r="N720">
        <v>3.0671999165645246E-2</v>
      </c>
      <c r="O720" t="s">
        <v>6</v>
      </c>
    </row>
    <row r="721" spans="12:15" x14ac:dyDescent="0.45">
      <c r="L721" t="s">
        <v>275</v>
      </c>
      <c r="M721" t="s">
        <v>22</v>
      </c>
      <c r="N721">
        <v>2.4220678311297459E-2</v>
      </c>
      <c r="O721" t="s">
        <v>6</v>
      </c>
    </row>
    <row r="722" spans="12:15" x14ac:dyDescent="0.45">
      <c r="L722" t="s">
        <v>275</v>
      </c>
      <c r="M722" t="s">
        <v>23</v>
      </c>
      <c r="N722">
        <v>2.3822423803476489E-2</v>
      </c>
      <c r="O722" t="s">
        <v>6</v>
      </c>
    </row>
    <row r="723" spans="12:15" x14ac:dyDescent="0.45">
      <c r="L723" t="s">
        <v>275</v>
      </c>
      <c r="M723" t="s">
        <v>24</v>
      </c>
      <c r="N723">
        <v>2.1762010772524026E-2</v>
      </c>
      <c r="O723" t="s">
        <v>6</v>
      </c>
    </row>
    <row r="724" spans="12:15" x14ac:dyDescent="0.45">
      <c r="L724" t="s">
        <v>275</v>
      </c>
      <c r="M724" t="s">
        <v>25</v>
      </c>
      <c r="N724">
        <v>2.065357466687541E-2</v>
      </c>
      <c r="O724" t="s">
        <v>6</v>
      </c>
    </row>
    <row r="725" spans="12:15" x14ac:dyDescent="0.45">
      <c r="L725" t="s">
        <v>275</v>
      </c>
      <c r="M725" t="s">
        <v>26</v>
      </c>
      <c r="N725">
        <v>9.6605944337946004E-2</v>
      </c>
      <c r="O725" t="s">
        <v>6</v>
      </c>
    </row>
    <row r="726" spans="12:15" x14ac:dyDescent="0.45">
      <c r="L726" t="s">
        <v>275</v>
      </c>
      <c r="M726" t="s">
        <v>27</v>
      </c>
      <c r="N726">
        <v>4.6326303508810118E-2</v>
      </c>
      <c r="O726" t="s">
        <v>6</v>
      </c>
    </row>
    <row r="727" spans="12:15" x14ac:dyDescent="0.45">
      <c r="L727" t="s">
        <v>275</v>
      </c>
      <c r="M727" t="s">
        <v>28</v>
      </c>
      <c r="N727">
        <v>3.4131150249456489E-2</v>
      </c>
      <c r="O727" t="s">
        <v>6</v>
      </c>
    </row>
    <row r="728" spans="12:15" x14ac:dyDescent="0.45">
      <c r="L728" t="s">
        <v>275</v>
      </c>
      <c r="M728" t="s">
        <v>29</v>
      </c>
      <c r="N728">
        <v>3.4678476468734266E-2</v>
      </c>
      <c r="O728" t="s">
        <v>6</v>
      </c>
    </row>
    <row r="729" spans="12:15" x14ac:dyDescent="0.45">
      <c r="L729" t="s">
        <v>275</v>
      </c>
      <c r="M729" t="s">
        <v>30</v>
      </c>
      <c r="N729">
        <v>3.5432082210693779E-2</v>
      </c>
      <c r="O729" t="s">
        <v>6</v>
      </c>
    </row>
    <row r="730" spans="12:15" x14ac:dyDescent="0.45">
      <c r="L730" t="s">
        <v>275</v>
      </c>
      <c r="M730" t="s">
        <v>31</v>
      </c>
      <c r="N730">
        <v>3.6159372332127425E-2</v>
      </c>
      <c r="O730" t="s">
        <v>6</v>
      </c>
    </row>
    <row r="731" spans="12:15" x14ac:dyDescent="0.45">
      <c r="L731" t="s">
        <v>276</v>
      </c>
      <c r="M731" t="s">
        <v>5</v>
      </c>
      <c r="N731">
        <v>0.10160272635334064</v>
      </c>
      <c r="O731" t="s">
        <v>6</v>
      </c>
    </row>
    <row r="732" spans="12:15" x14ac:dyDescent="0.45">
      <c r="L732" t="s">
        <v>276</v>
      </c>
      <c r="M732" t="s">
        <v>9</v>
      </c>
      <c r="N732">
        <v>5.0018819932092833E-2</v>
      </c>
      <c r="O732" t="s">
        <v>6</v>
      </c>
    </row>
    <row r="733" spans="12:15" x14ac:dyDescent="0.45">
      <c r="L733" t="s">
        <v>276</v>
      </c>
      <c r="M733" t="s">
        <v>10</v>
      </c>
      <c r="N733">
        <v>3.8154328365543062E-2</v>
      </c>
      <c r="O733" t="s">
        <v>6</v>
      </c>
    </row>
    <row r="734" spans="12:15" x14ac:dyDescent="0.45">
      <c r="L734" t="s">
        <v>276</v>
      </c>
      <c r="M734" t="s">
        <v>11</v>
      </c>
      <c r="N734">
        <v>3.7765861403145203E-2</v>
      </c>
      <c r="O734" t="s">
        <v>6</v>
      </c>
    </row>
    <row r="735" spans="12:15" x14ac:dyDescent="0.45">
      <c r="L735" t="s">
        <v>276</v>
      </c>
      <c r="M735" t="s">
        <v>12</v>
      </c>
      <c r="N735">
        <v>3.7465522276571968E-2</v>
      </c>
      <c r="O735" t="s">
        <v>6</v>
      </c>
    </row>
    <row r="736" spans="12:15" x14ac:dyDescent="0.45">
      <c r="L736" t="s">
        <v>276</v>
      </c>
      <c r="M736" t="s">
        <v>13</v>
      </c>
      <c r="N736">
        <v>3.7793605647873076E-2</v>
      </c>
      <c r="O736" t="s">
        <v>6</v>
      </c>
    </row>
    <row r="737" spans="12:15" x14ac:dyDescent="0.45">
      <c r="L737" t="s">
        <v>276</v>
      </c>
      <c r="M737" t="s">
        <v>14</v>
      </c>
      <c r="N737">
        <v>8.5650837402310664E-2</v>
      </c>
      <c r="O737" t="s">
        <v>6</v>
      </c>
    </row>
    <row r="738" spans="12:15" x14ac:dyDescent="0.45">
      <c r="L738" t="s">
        <v>276</v>
      </c>
      <c r="M738" t="s">
        <v>15</v>
      </c>
      <c r="N738">
        <v>4.3787484394281276E-2</v>
      </c>
      <c r="O738" t="s">
        <v>6</v>
      </c>
    </row>
    <row r="739" spans="12:15" x14ac:dyDescent="0.45">
      <c r="L739" t="s">
        <v>276</v>
      </c>
      <c r="M739" t="s">
        <v>16</v>
      </c>
      <c r="N739">
        <v>3.2368457913131449E-2</v>
      </c>
      <c r="O739" t="s">
        <v>6</v>
      </c>
    </row>
    <row r="740" spans="12:15" x14ac:dyDescent="0.45">
      <c r="L740" t="s">
        <v>276</v>
      </c>
      <c r="M740" t="s">
        <v>17</v>
      </c>
      <c r="N740">
        <v>3.1137183428728028E-2</v>
      </c>
      <c r="O740" t="s">
        <v>6</v>
      </c>
    </row>
    <row r="741" spans="12:15" x14ac:dyDescent="0.45">
      <c r="L741" t="s">
        <v>276</v>
      </c>
      <c r="M741" t="s">
        <v>18</v>
      </c>
      <c r="N741">
        <v>3.1167643977332696E-2</v>
      </c>
      <c r="O741" t="s">
        <v>6</v>
      </c>
    </row>
    <row r="742" spans="12:15" x14ac:dyDescent="0.45">
      <c r="L742" t="s">
        <v>276</v>
      </c>
      <c r="M742" t="s">
        <v>19</v>
      </c>
      <c r="N742">
        <v>3.1806858884665896E-2</v>
      </c>
      <c r="O742" t="s">
        <v>6</v>
      </c>
    </row>
    <row r="743" spans="12:15" x14ac:dyDescent="0.45">
      <c r="L743" t="s">
        <v>276</v>
      </c>
      <c r="M743" t="s">
        <v>20</v>
      </c>
      <c r="N743">
        <v>5.3971093527912822E-2</v>
      </c>
      <c r="O743" t="s">
        <v>6</v>
      </c>
    </row>
    <row r="744" spans="12:15" x14ac:dyDescent="0.45">
      <c r="L744" t="s">
        <v>276</v>
      </c>
      <c r="M744" t="s">
        <v>21</v>
      </c>
      <c r="N744">
        <v>2.4152532439527082E-2</v>
      </c>
      <c r="O744" t="s">
        <v>6</v>
      </c>
    </row>
    <row r="745" spans="12:15" x14ac:dyDescent="0.45">
      <c r="L745" t="s">
        <v>276</v>
      </c>
      <c r="M745" t="s">
        <v>22</v>
      </c>
      <c r="N745">
        <v>1.670321574689328E-2</v>
      </c>
      <c r="O745" t="s">
        <v>6</v>
      </c>
    </row>
    <row r="746" spans="12:15" x14ac:dyDescent="0.45">
      <c r="L746" t="s">
        <v>276</v>
      </c>
      <c r="M746" t="s">
        <v>23</v>
      </c>
      <c r="N746">
        <v>1.6475759914784203E-2</v>
      </c>
      <c r="O746" t="s">
        <v>6</v>
      </c>
    </row>
    <row r="747" spans="12:15" x14ac:dyDescent="0.45">
      <c r="L747" t="s">
        <v>276</v>
      </c>
      <c r="M747" t="s">
        <v>24</v>
      </c>
      <c r="N747">
        <v>1.9398131501082442E-2</v>
      </c>
      <c r="O747" t="s">
        <v>6</v>
      </c>
    </row>
    <row r="748" spans="12:15" x14ac:dyDescent="0.45">
      <c r="L748" t="s">
        <v>276</v>
      </c>
      <c r="M748" t="s">
        <v>25</v>
      </c>
      <c r="N748">
        <v>2.2105850999559775E-2</v>
      </c>
      <c r="O748" t="s">
        <v>6</v>
      </c>
    </row>
    <row r="749" spans="12:15" x14ac:dyDescent="0.45">
      <c r="L749" t="s">
        <v>276</v>
      </c>
      <c r="M749" t="s">
        <v>26</v>
      </c>
      <c r="N749">
        <v>9.9240953824678249E-2</v>
      </c>
      <c r="O749" t="s">
        <v>6</v>
      </c>
    </row>
    <row r="750" spans="12:15" x14ac:dyDescent="0.45">
      <c r="L750" t="s">
        <v>276</v>
      </c>
      <c r="M750" t="s">
        <v>27</v>
      </c>
      <c r="N750">
        <v>4.647031630221625E-2</v>
      </c>
      <c r="O750" t="s">
        <v>6</v>
      </c>
    </row>
    <row r="751" spans="12:15" x14ac:dyDescent="0.45">
      <c r="L751" t="s">
        <v>276</v>
      </c>
      <c r="M751" t="s">
        <v>28</v>
      </c>
      <c r="N751">
        <v>3.4775752307537863E-2</v>
      </c>
      <c r="O751" t="s">
        <v>6</v>
      </c>
    </row>
    <row r="752" spans="12:15" x14ac:dyDescent="0.45">
      <c r="L752" t="s">
        <v>276</v>
      </c>
      <c r="M752" t="s">
        <v>29</v>
      </c>
      <c r="N752">
        <v>3.5292831855216582E-2</v>
      </c>
      <c r="O752" t="s">
        <v>6</v>
      </c>
    </row>
    <row r="753" spans="12:15" x14ac:dyDescent="0.45">
      <c r="L753" t="s">
        <v>276</v>
      </c>
      <c r="M753" t="s">
        <v>30</v>
      </c>
      <c r="N753">
        <v>3.5576462994535228E-2</v>
      </c>
      <c r="O753" t="s">
        <v>6</v>
      </c>
    </row>
    <row r="754" spans="12:15" x14ac:dyDescent="0.45">
      <c r="L754" t="s">
        <v>276</v>
      </c>
      <c r="M754" t="s">
        <v>31</v>
      </c>
      <c r="N754">
        <v>3.7117768607041746E-2</v>
      </c>
      <c r="O754" t="s">
        <v>6</v>
      </c>
    </row>
    <row r="755" spans="12:15" x14ac:dyDescent="0.45">
      <c r="L755" t="s">
        <v>277</v>
      </c>
      <c r="M755" t="s">
        <v>5</v>
      </c>
      <c r="N755">
        <v>0.10266092234506211</v>
      </c>
      <c r="O755" t="s">
        <v>6</v>
      </c>
    </row>
    <row r="756" spans="12:15" x14ac:dyDescent="0.45">
      <c r="L756" t="s">
        <v>277</v>
      </c>
      <c r="M756" t="s">
        <v>9</v>
      </c>
      <c r="N756">
        <v>5.13696531941975E-2</v>
      </c>
      <c r="O756" t="s">
        <v>6</v>
      </c>
    </row>
    <row r="757" spans="12:15" x14ac:dyDescent="0.45">
      <c r="L757" t="s">
        <v>277</v>
      </c>
      <c r="M757" t="s">
        <v>10</v>
      </c>
      <c r="N757">
        <v>3.8079947776438874E-2</v>
      </c>
      <c r="O757" t="s">
        <v>6</v>
      </c>
    </row>
    <row r="758" spans="12:15" x14ac:dyDescent="0.45">
      <c r="L758" t="s">
        <v>277</v>
      </c>
      <c r="M758" t="s">
        <v>11</v>
      </c>
      <c r="N758">
        <v>3.6824486164302152E-2</v>
      </c>
      <c r="O758" t="s">
        <v>6</v>
      </c>
    </row>
    <row r="759" spans="12:15" x14ac:dyDescent="0.45">
      <c r="L759" t="s">
        <v>277</v>
      </c>
      <c r="M759" t="s">
        <v>12</v>
      </c>
      <c r="N759">
        <v>3.658850110352007E-2</v>
      </c>
      <c r="O759" t="s">
        <v>6</v>
      </c>
    </row>
    <row r="760" spans="12:15" x14ac:dyDescent="0.45">
      <c r="L760" t="s">
        <v>277</v>
      </c>
      <c r="M760" t="s">
        <v>13</v>
      </c>
      <c r="N760">
        <v>3.7759663871776837E-2</v>
      </c>
      <c r="O760" t="s">
        <v>6</v>
      </c>
    </row>
    <row r="761" spans="12:15" x14ac:dyDescent="0.45">
      <c r="L761" t="s">
        <v>277</v>
      </c>
      <c r="M761" t="s">
        <v>14</v>
      </c>
      <c r="N761">
        <v>8.1890335758651692E-2</v>
      </c>
      <c r="O761" t="s">
        <v>6</v>
      </c>
    </row>
    <row r="762" spans="12:15" x14ac:dyDescent="0.45">
      <c r="L762" t="s">
        <v>277</v>
      </c>
      <c r="M762" t="s">
        <v>15</v>
      </c>
      <c r="N762">
        <v>3.7492824510198565E-2</v>
      </c>
      <c r="O762" t="s">
        <v>6</v>
      </c>
    </row>
    <row r="763" spans="12:15" x14ac:dyDescent="0.45">
      <c r="L763" t="s">
        <v>277</v>
      </c>
      <c r="M763" t="s">
        <v>16</v>
      </c>
      <c r="N763">
        <v>2.7390463558326496E-2</v>
      </c>
      <c r="O763" t="s">
        <v>6</v>
      </c>
    </row>
    <row r="764" spans="12:15" x14ac:dyDescent="0.45">
      <c r="L764" t="s">
        <v>277</v>
      </c>
      <c r="M764" t="s">
        <v>17</v>
      </c>
      <c r="N764">
        <v>2.8302952470179551E-2</v>
      </c>
      <c r="O764" t="s">
        <v>6</v>
      </c>
    </row>
    <row r="765" spans="12:15" x14ac:dyDescent="0.45">
      <c r="L765" t="s">
        <v>277</v>
      </c>
      <c r="M765" t="s">
        <v>18</v>
      </c>
      <c r="N765">
        <v>3.0469535724629564E-2</v>
      </c>
      <c r="O765" t="s">
        <v>6</v>
      </c>
    </row>
    <row r="766" spans="12:15" x14ac:dyDescent="0.45">
      <c r="L766" t="s">
        <v>277</v>
      </c>
      <c r="M766" t="s">
        <v>19</v>
      </c>
      <c r="N766">
        <v>3.1574467270839283E-2</v>
      </c>
      <c r="O766" t="s">
        <v>6</v>
      </c>
    </row>
    <row r="767" spans="12:15" x14ac:dyDescent="0.45">
      <c r="L767" t="s">
        <v>277</v>
      </c>
      <c r="M767" t="s">
        <v>20</v>
      </c>
      <c r="N767">
        <v>5.8121587674523655E-2</v>
      </c>
      <c r="O767" t="s">
        <v>6</v>
      </c>
    </row>
    <row r="768" spans="12:15" x14ac:dyDescent="0.45">
      <c r="L768" t="s">
        <v>277</v>
      </c>
      <c r="M768" t="s">
        <v>21</v>
      </c>
      <c r="N768">
        <v>2.9700333383154021E-2</v>
      </c>
      <c r="O768" t="s">
        <v>6</v>
      </c>
    </row>
    <row r="769" spans="12:15" x14ac:dyDescent="0.45">
      <c r="L769" t="s">
        <v>277</v>
      </c>
      <c r="M769" t="s">
        <v>22</v>
      </c>
      <c r="N769">
        <v>2.2203594932266119E-2</v>
      </c>
      <c r="O769" t="s">
        <v>6</v>
      </c>
    </row>
    <row r="770" spans="12:15" x14ac:dyDescent="0.45">
      <c r="L770" t="s">
        <v>277</v>
      </c>
      <c r="M770" t="s">
        <v>23</v>
      </c>
      <c r="N770">
        <v>2.1869843286814863E-2</v>
      </c>
      <c r="O770" t="s">
        <v>6</v>
      </c>
    </row>
    <row r="771" spans="12:15" x14ac:dyDescent="0.45">
      <c r="L771" t="s">
        <v>277</v>
      </c>
      <c r="M771" t="s">
        <v>24</v>
      </c>
      <c r="N771">
        <v>2.2305100915678566E-2</v>
      </c>
      <c r="O771" t="s">
        <v>6</v>
      </c>
    </row>
    <row r="772" spans="12:15" x14ac:dyDescent="0.45">
      <c r="L772" t="s">
        <v>277</v>
      </c>
      <c r="M772" t="s">
        <v>25</v>
      </c>
      <c r="N772">
        <v>2.2494006264648758E-2</v>
      </c>
      <c r="O772" t="s">
        <v>6</v>
      </c>
    </row>
    <row r="773" spans="12:15" x14ac:dyDescent="0.45">
      <c r="L773" t="s">
        <v>277</v>
      </c>
      <c r="M773" t="s">
        <v>26</v>
      </c>
      <c r="N773">
        <v>9.6316433250002442E-2</v>
      </c>
      <c r="O773" t="s">
        <v>6</v>
      </c>
    </row>
    <row r="774" spans="12:15" x14ac:dyDescent="0.45">
      <c r="L774" t="s">
        <v>277</v>
      </c>
      <c r="M774" t="s">
        <v>27</v>
      </c>
      <c r="N774">
        <v>4.6641297245812917E-2</v>
      </c>
      <c r="O774" t="s">
        <v>6</v>
      </c>
    </row>
    <row r="775" spans="12:15" x14ac:dyDescent="0.45">
      <c r="L775" t="s">
        <v>277</v>
      </c>
      <c r="M775" t="s">
        <v>28</v>
      </c>
      <c r="N775">
        <v>3.4492229394621321E-2</v>
      </c>
      <c r="O775" t="s">
        <v>6</v>
      </c>
    </row>
    <row r="776" spans="12:15" x14ac:dyDescent="0.45">
      <c r="L776" t="s">
        <v>277</v>
      </c>
      <c r="M776" t="s">
        <v>29</v>
      </c>
      <c r="N776">
        <v>3.4534989829549341E-2</v>
      </c>
      <c r="O776" t="s">
        <v>6</v>
      </c>
    </row>
    <row r="777" spans="12:15" x14ac:dyDescent="0.45">
      <c r="L777" t="s">
        <v>277</v>
      </c>
      <c r="M777" t="s">
        <v>30</v>
      </c>
      <c r="N777">
        <v>3.4754667889859987E-2</v>
      </c>
      <c r="O777" t="s">
        <v>6</v>
      </c>
    </row>
    <row r="778" spans="12:15" x14ac:dyDescent="0.45">
      <c r="L778" t="s">
        <v>277</v>
      </c>
      <c r="M778" t="s">
        <v>31</v>
      </c>
      <c r="N778">
        <v>3.6162162184943898E-2</v>
      </c>
      <c r="O778" t="s">
        <v>6</v>
      </c>
    </row>
    <row r="779" spans="12:15" x14ac:dyDescent="0.45">
      <c r="L779" t="s">
        <v>278</v>
      </c>
      <c r="M779" t="s">
        <v>5</v>
      </c>
      <c r="N779">
        <v>9.9070744875686942E-2</v>
      </c>
      <c r="O779" t="s">
        <v>6</v>
      </c>
    </row>
    <row r="780" spans="12:15" x14ac:dyDescent="0.45">
      <c r="L780" t="s">
        <v>278</v>
      </c>
      <c r="M780" t="s">
        <v>9</v>
      </c>
      <c r="N780">
        <v>4.8071459996938598E-2</v>
      </c>
      <c r="O780" t="s">
        <v>6</v>
      </c>
    </row>
    <row r="781" spans="12:15" x14ac:dyDescent="0.45">
      <c r="L781" t="s">
        <v>278</v>
      </c>
      <c r="M781" t="s">
        <v>10</v>
      </c>
      <c r="N781">
        <v>3.6864131015898853E-2</v>
      </c>
      <c r="O781" t="s">
        <v>6</v>
      </c>
    </row>
    <row r="782" spans="12:15" x14ac:dyDescent="0.45">
      <c r="L782" t="s">
        <v>278</v>
      </c>
      <c r="M782" t="s">
        <v>11</v>
      </c>
      <c r="N782">
        <v>3.6269445572777823E-2</v>
      </c>
      <c r="O782" t="s">
        <v>6</v>
      </c>
    </row>
    <row r="783" spans="12:15" x14ac:dyDescent="0.45">
      <c r="L783" t="s">
        <v>278</v>
      </c>
      <c r="M783" t="s">
        <v>12</v>
      </c>
      <c r="N783">
        <v>3.5571510898764418E-2</v>
      </c>
      <c r="O783" t="s">
        <v>6</v>
      </c>
    </row>
    <row r="784" spans="12:15" x14ac:dyDescent="0.45">
      <c r="L784" t="s">
        <v>278</v>
      </c>
      <c r="M784" t="s">
        <v>13</v>
      </c>
      <c r="N784">
        <v>3.6466032582249064E-2</v>
      </c>
      <c r="O784" t="s">
        <v>6</v>
      </c>
    </row>
    <row r="785" spans="12:15" x14ac:dyDescent="0.45">
      <c r="L785" t="s">
        <v>278</v>
      </c>
      <c r="M785" t="s">
        <v>14</v>
      </c>
      <c r="N785">
        <v>8.3350427203805852E-2</v>
      </c>
      <c r="O785" t="s">
        <v>6</v>
      </c>
    </row>
    <row r="786" spans="12:15" x14ac:dyDescent="0.45">
      <c r="L786" t="s">
        <v>278</v>
      </c>
      <c r="M786" t="s">
        <v>15</v>
      </c>
      <c r="N786">
        <v>3.9346294282476955E-2</v>
      </c>
      <c r="O786" t="s">
        <v>6</v>
      </c>
    </row>
    <row r="787" spans="12:15" x14ac:dyDescent="0.45">
      <c r="L787" t="s">
        <v>278</v>
      </c>
      <c r="M787" t="s">
        <v>16</v>
      </c>
      <c r="N787">
        <v>2.817702249355962E-2</v>
      </c>
      <c r="O787" t="s">
        <v>6</v>
      </c>
    </row>
    <row r="788" spans="12:15" x14ac:dyDescent="0.45">
      <c r="L788" t="s">
        <v>278</v>
      </c>
      <c r="M788" t="s">
        <v>17</v>
      </c>
      <c r="N788">
        <v>2.8054664094902263E-2</v>
      </c>
      <c r="O788" t="s">
        <v>6</v>
      </c>
    </row>
    <row r="789" spans="12:15" x14ac:dyDescent="0.45">
      <c r="L789" t="s">
        <v>278</v>
      </c>
      <c r="M789" t="s">
        <v>18</v>
      </c>
      <c r="N789">
        <v>2.9770776949623746E-2</v>
      </c>
      <c r="O789" t="s">
        <v>6</v>
      </c>
    </row>
    <row r="790" spans="12:15" x14ac:dyDescent="0.45">
      <c r="L790" t="s">
        <v>278</v>
      </c>
      <c r="M790" t="s">
        <v>19</v>
      </c>
      <c r="N790">
        <v>3.1225120400672313E-2</v>
      </c>
      <c r="O790" t="s">
        <v>6</v>
      </c>
    </row>
    <row r="791" spans="12:15" x14ac:dyDescent="0.45">
      <c r="L791" t="s">
        <v>278</v>
      </c>
      <c r="M791" t="s">
        <v>20</v>
      </c>
      <c r="N791">
        <v>6.2435892051536934E-2</v>
      </c>
      <c r="O791" t="s">
        <v>6</v>
      </c>
    </row>
    <row r="792" spans="12:15" x14ac:dyDescent="0.45">
      <c r="L792" t="s">
        <v>278</v>
      </c>
      <c r="M792" t="s">
        <v>21</v>
      </c>
      <c r="N792">
        <v>3.214837231754343E-2</v>
      </c>
      <c r="O792" t="s">
        <v>6</v>
      </c>
    </row>
    <row r="793" spans="12:15" x14ac:dyDescent="0.45">
      <c r="L793" t="s">
        <v>278</v>
      </c>
      <c r="M793" t="s">
        <v>22</v>
      </c>
      <c r="N793">
        <v>2.4217395633886505E-2</v>
      </c>
      <c r="O793" t="s">
        <v>6</v>
      </c>
    </row>
    <row r="794" spans="12:15" x14ac:dyDescent="0.45">
      <c r="L794" t="s">
        <v>278</v>
      </c>
      <c r="M794" t="s">
        <v>23</v>
      </c>
      <c r="N794">
        <v>2.4251684280875645E-2</v>
      </c>
      <c r="O794" t="s">
        <v>6</v>
      </c>
    </row>
    <row r="795" spans="12:15" x14ac:dyDescent="0.45">
      <c r="L795" t="s">
        <v>278</v>
      </c>
      <c r="M795" t="s">
        <v>24</v>
      </c>
      <c r="N795">
        <v>2.2966810344868988E-2</v>
      </c>
      <c r="O795" t="s">
        <v>6</v>
      </c>
    </row>
    <row r="796" spans="12:15" x14ac:dyDescent="0.45">
      <c r="L796" t="s">
        <v>278</v>
      </c>
      <c r="M796" t="s">
        <v>25</v>
      </c>
      <c r="N796">
        <v>2.2648593828106231E-2</v>
      </c>
      <c r="O796" t="s">
        <v>6</v>
      </c>
    </row>
    <row r="797" spans="12:15" x14ac:dyDescent="0.45">
      <c r="L797" t="s">
        <v>278</v>
      </c>
      <c r="M797" t="s">
        <v>26</v>
      </c>
      <c r="N797">
        <v>9.5223399780438478E-2</v>
      </c>
      <c r="O797" t="s">
        <v>6</v>
      </c>
    </row>
    <row r="798" spans="12:15" x14ac:dyDescent="0.45">
      <c r="L798" t="s">
        <v>278</v>
      </c>
      <c r="M798" t="s">
        <v>27</v>
      </c>
      <c r="N798">
        <v>4.7037511759308856E-2</v>
      </c>
      <c r="O798" t="s">
        <v>6</v>
      </c>
    </row>
    <row r="799" spans="12:15" x14ac:dyDescent="0.45">
      <c r="L799" t="s">
        <v>278</v>
      </c>
      <c r="M799" t="s">
        <v>28</v>
      </c>
      <c r="N799">
        <v>3.4395594806623388E-2</v>
      </c>
      <c r="O799" t="s">
        <v>6</v>
      </c>
    </row>
    <row r="800" spans="12:15" x14ac:dyDescent="0.45">
      <c r="L800" t="s">
        <v>278</v>
      </c>
      <c r="M800" t="s">
        <v>29</v>
      </c>
      <c r="N800">
        <v>3.3316572416402117E-2</v>
      </c>
      <c r="O800" t="s">
        <v>6</v>
      </c>
    </row>
    <row r="801" spans="12:15" x14ac:dyDescent="0.45">
      <c r="L801" t="s">
        <v>278</v>
      </c>
      <c r="M801" t="s">
        <v>30</v>
      </c>
      <c r="N801">
        <v>3.4039173320991982E-2</v>
      </c>
      <c r="O801" t="s">
        <v>6</v>
      </c>
    </row>
    <row r="802" spans="12:15" x14ac:dyDescent="0.45">
      <c r="L802" t="s">
        <v>278</v>
      </c>
      <c r="M802" t="s">
        <v>31</v>
      </c>
      <c r="N802">
        <v>3.5081369092060569E-2</v>
      </c>
      <c r="O802" t="s">
        <v>6</v>
      </c>
    </row>
    <row r="803" spans="12:15" x14ac:dyDescent="0.45">
      <c r="L803" t="s">
        <v>279</v>
      </c>
      <c r="M803" t="s">
        <v>5</v>
      </c>
      <c r="N803">
        <v>0.1015695018075595</v>
      </c>
      <c r="O803" t="s">
        <v>6</v>
      </c>
    </row>
    <row r="804" spans="12:15" x14ac:dyDescent="0.45">
      <c r="L804" t="s">
        <v>279</v>
      </c>
      <c r="M804" t="s">
        <v>9</v>
      </c>
      <c r="N804">
        <v>5.105833832669783E-2</v>
      </c>
      <c r="O804" t="s">
        <v>6</v>
      </c>
    </row>
    <row r="805" spans="12:15" x14ac:dyDescent="0.45">
      <c r="L805" t="s">
        <v>279</v>
      </c>
      <c r="M805" t="s">
        <v>10</v>
      </c>
      <c r="N805">
        <v>3.8651220596615909E-2</v>
      </c>
      <c r="O805" t="s">
        <v>6</v>
      </c>
    </row>
    <row r="806" spans="12:15" x14ac:dyDescent="0.45">
      <c r="L806" t="s">
        <v>279</v>
      </c>
      <c r="M806" t="s">
        <v>11</v>
      </c>
      <c r="N806">
        <v>3.7351043998351589E-2</v>
      </c>
      <c r="O806" t="s">
        <v>6</v>
      </c>
    </row>
    <row r="807" spans="12:15" x14ac:dyDescent="0.45">
      <c r="L807" t="s">
        <v>279</v>
      </c>
      <c r="M807" t="s">
        <v>12</v>
      </c>
      <c r="N807">
        <v>3.6549055557657695E-2</v>
      </c>
      <c r="O807" t="s">
        <v>6</v>
      </c>
    </row>
    <row r="808" spans="12:15" x14ac:dyDescent="0.45">
      <c r="L808" t="s">
        <v>279</v>
      </c>
      <c r="M808" t="s">
        <v>13</v>
      </c>
      <c r="N808">
        <v>3.7119945170513327E-2</v>
      </c>
      <c r="O808" t="s">
        <v>6</v>
      </c>
    </row>
    <row r="809" spans="12:15" x14ac:dyDescent="0.45">
      <c r="L809" t="s">
        <v>279</v>
      </c>
      <c r="M809" t="s">
        <v>14</v>
      </c>
      <c r="N809">
        <v>8.5398560558584163E-2</v>
      </c>
      <c r="O809" t="s">
        <v>6</v>
      </c>
    </row>
    <row r="810" spans="12:15" x14ac:dyDescent="0.45">
      <c r="L810" t="s">
        <v>279</v>
      </c>
      <c r="M810" t="s">
        <v>15</v>
      </c>
      <c r="N810">
        <v>4.135897482179221E-2</v>
      </c>
      <c r="O810" t="s">
        <v>6</v>
      </c>
    </row>
    <row r="811" spans="12:15" x14ac:dyDescent="0.45">
      <c r="L811" t="s">
        <v>279</v>
      </c>
      <c r="M811" t="s">
        <v>16</v>
      </c>
      <c r="N811">
        <v>2.9921899825703913E-2</v>
      </c>
      <c r="O811" t="s">
        <v>6</v>
      </c>
    </row>
    <row r="812" spans="12:15" x14ac:dyDescent="0.45">
      <c r="L812" t="s">
        <v>279</v>
      </c>
      <c r="M812" t="s">
        <v>17</v>
      </c>
      <c r="N812">
        <v>2.9459039501351893E-2</v>
      </c>
      <c r="O812" t="s">
        <v>6</v>
      </c>
    </row>
    <row r="813" spans="12:15" x14ac:dyDescent="0.45">
      <c r="L813" t="s">
        <v>279</v>
      </c>
      <c r="M813" t="s">
        <v>18</v>
      </c>
      <c r="N813">
        <v>2.9919428381430611E-2</v>
      </c>
      <c r="O813" t="s">
        <v>6</v>
      </c>
    </row>
    <row r="814" spans="12:15" x14ac:dyDescent="0.45">
      <c r="L814" t="s">
        <v>279</v>
      </c>
      <c r="M814" t="s">
        <v>19</v>
      </c>
      <c r="N814">
        <v>3.1375044704832024E-2</v>
      </c>
      <c r="O814" t="s">
        <v>6</v>
      </c>
    </row>
    <row r="815" spans="12:15" x14ac:dyDescent="0.45">
      <c r="L815" t="s">
        <v>279</v>
      </c>
      <c r="M815" t="s">
        <v>20</v>
      </c>
      <c r="N815">
        <v>5.4861570726327857E-2</v>
      </c>
      <c r="O815" t="s">
        <v>6</v>
      </c>
    </row>
    <row r="816" spans="12:15" x14ac:dyDescent="0.45">
      <c r="L816" t="s">
        <v>279</v>
      </c>
      <c r="M816" t="s">
        <v>21</v>
      </c>
      <c r="N816">
        <v>2.8058426562550021E-2</v>
      </c>
      <c r="O816" t="s">
        <v>6</v>
      </c>
    </row>
    <row r="817" spans="12:15" x14ac:dyDescent="0.45">
      <c r="L817" t="s">
        <v>279</v>
      </c>
      <c r="M817" t="s">
        <v>22</v>
      </c>
      <c r="N817">
        <v>2.0731386129962816E-2</v>
      </c>
      <c r="O817" t="s">
        <v>6</v>
      </c>
    </row>
    <row r="818" spans="12:15" x14ac:dyDescent="0.45">
      <c r="L818" t="s">
        <v>279</v>
      </c>
      <c r="M818" t="s">
        <v>23</v>
      </c>
      <c r="N818">
        <v>1.9161071667502833E-2</v>
      </c>
      <c r="O818" t="s">
        <v>6</v>
      </c>
    </row>
    <row r="819" spans="12:15" x14ac:dyDescent="0.45">
      <c r="L819" t="s">
        <v>279</v>
      </c>
      <c r="M819" t="s">
        <v>24</v>
      </c>
      <c r="N819">
        <v>1.9733583502290309E-2</v>
      </c>
      <c r="O819" t="s">
        <v>6</v>
      </c>
    </row>
    <row r="820" spans="12:15" x14ac:dyDescent="0.45">
      <c r="L820" t="s">
        <v>279</v>
      </c>
      <c r="M820" t="s">
        <v>25</v>
      </c>
      <c r="N820">
        <v>2.1022384198546091E-2</v>
      </c>
      <c r="O820" t="s">
        <v>6</v>
      </c>
    </row>
    <row r="821" spans="12:15" x14ac:dyDescent="0.45">
      <c r="L821" t="s">
        <v>279</v>
      </c>
      <c r="M821" t="s">
        <v>26</v>
      </c>
      <c r="N821">
        <v>9.7510940526606582E-2</v>
      </c>
      <c r="O821" t="s">
        <v>6</v>
      </c>
    </row>
    <row r="822" spans="12:15" x14ac:dyDescent="0.45">
      <c r="L822" t="s">
        <v>279</v>
      </c>
      <c r="M822" t="s">
        <v>27</v>
      </c>
      <c r="N822">
        <v>4.658073232969915E-2</v>
      </c>
      <c r="O822" t="s">
        <v>6</v>
      </c>
    </row>
    <row r="823" spans="12:15" x14ac:dyDescent="0.45">
      <c r="L823" t="s">
        <v>279</v>
      </c>
      <c r="M823" t="s">
        <v>28</v>
      </c>
      <c r="N823">
        <v>3.4520074793077858E-2</v>
      </c>
      <c r="O823" t="s">
        <v>6</v>
      </c>
    </row>
    <row r="824" spans="12:15" x14ac:dyDescent="0.45">
      <c r="L824" t="s">
        <v>279</v>
      </c>
      <c r="M824" t="s">
        <v>29</v>
      </c>
      <c r="N824">
        <v>3.543277133273029E-2</v>
      </c>
      <c r="O824" t="s">
        <v>6</v>
      </c>
    </row>
    <row r="825" spans="12:15" x14ac:dyDescent="0.45">
      <c r="L825" t="s">
        <v>279</v>
      </c>
      <c r="M825" t="s">
        <v>30</v>
      </c>
      <c r="N825">
        <v>3.5794027350462547E-2</v>
      </c>
      <c r="O825" t="s">
        <v>6</v>
      </c>
    </row>
    <row r="826" spans="12:15" x14ac:dyDescent="0.45">
      <c r="L826" t="s">
        <v>279</v>
      </c>
      <c r="M826" t="s">
        <v>31</v>
      </c>
      <c r="N826">
        <v>3.6860977629152074E-2</v>
      </c>
      <c r="O826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AEFC0-B510-4BB3-9F0D-5E0F6F6556CB}">
  <dimension ref="B9:DH86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other_indexes=ACT; region=GBR")</f>
        <v>~TFM_DINS-TSL: attribute=FLO_EMIS; other_indexes=ACT; region=GBR</v>
      </c>
      <c r="AC9" t="str">
        <f>IF(A11="x","DeActivated","~TFM_INS-TSL: attribute=FLO_SHAR; limtype=FX; region=GBR")</f>
        <v>~TFM_INS-TSL: attribute=FLO_SHAR; limtype=FX; region=GBR</v>
      </c>
      <c r="BD9" t="str">
        <f>IF(A11="x","DeActivated","~TFM_INS-TSL: attribute=FLO_SHAR; limtype=FX; region=GBR")</f>
        <v>~TFM_INS-TSL: attribute=FLO_SHAR; limtype=FX; region=GBR</v>
      </c>
      <c r="CE9" t="str">
        <f>IF(A11="x","DeActivated","~TFM_DINS-TSL: attribute=NCAP_PKCNT; region=GBR")</f>
        <v>~TFM_DINS-TSL: attribute=NCAP_PKCNT; region=GBR</v>
      </c>
      <c r="DE9" t="str">
        <f>IF(A11="x","DeActivated","~TFM_DINS-AT: region=GBR")</f>
        <v>~TFM_DINS-AT: region=GBR</v>
      </c>
    </row>
    <row r="10" spans="2:112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C10" t="s">
        <v>3</v>
      </c>
      <c r="AD10" t="s">
        <v>0</v>
      </c>
      <c r="AE10" t="s">
        <v>5</v>
      </c>
      <c r="AF10" t="s">
        <v>9</v>
      </c>
      <c r="AG10" t="s">
        <v>10</v>
      </c>
      <c r="AH10" t="s">
        <v>11</v>
      </c>
      <c r="AI10" t="s">
        <v>12</v>
      </c>
      <c r="AJ10" t="s">
        <v>13</v>
      </c>
      <c r="AK10" t="s">
        <v>14</v>
      </c>
      <c r="AL10" t="s">
        <v>15</v>
      </c>
      <c r="AM10" t="s">
        <v>16</v>
      </c>
      <c r="AN10" t="s">
        <v>17</v>
      </c>
      <c r="AO10" t="s">
        <v>18</v>
      </c>
      <c r="AP10" t="s">
        <v>19</v>
      </c>
      <c r="AQ10" t="s">
        <v>20</v>
      </c>
      <c r="AR10" t="s">
        <v>21</v>
      </c>
      <c r="AS10" t="s">
        <v>22</v>
      </c>
      <c r="AT10" t="s">
        <v>23</v>
      </c>
      <c r="AU10" t="s">
        <v>24</v>
      </c>
      <c r="AV10" t="s">
        <v>25</v>
      </c>
      <c r="AW10" t="s">
        <v>26</v>
      </c>
      <c r="AX10" t="s">
        <v>27</v>
      </c>
      <c r="AY10" t="s">
        <v>28</v>
      </c>
      <c r="AZ10" t="s">
        <v>29</v>
      </c>
      <c r="BA10" t="s">
        <v>30</v>
      </c>
      <c r="BB10" t="s">
        <v>31</v>
      </c>
      <c r="BD10" t="s">
        <v>3</v>
      </c>
      <c r="BE10" t="s">
        <v>0</v>
      </c>
      <c r="BF10" t="s">
        <v>5</v>
      </c>
      <c r="BG10" t="s">
        <v>9</v>
      </c>
      <c r="BH10" t="s">
        <v>10</v>
      </c>
      <c r="BI10" t="s">
        <v>11</v>
      </c>
      <c r="BJ10" t="s">
        <v>12</v>
      </c>
      <c r="BK10" t="s">
        <v>13</v>
      </c>
      <c r="BL10" t="s">
        <v>14</v>
      </c>
      <c r="BM10" t="s">
        <v>15</v>
      </c>
      <c r="BN10" t="s">
        <v>16</v>
      </c>
      <c r="BO10" t="s">
        <v>17</v>
      </c>
      <c r="BP10" t="s">
        <v>18</v>
      </c>
      <c r="BQ10" t="s">
        <v>19</v>
      </c>
      <c r="BR10" t="s">
        <v>20</v>
      </c>
      <c r="BS10" t="s">
        <v>21</v>
      </c>
      <c r="BT10" t="s">
        <v>22</v>
      </c>
      <c r="BU10" t="s">
        <v>23</v>
      </c>
      <c r="BV10" t="s">
        <v>24</v>
      </c>
      <c r="BW10" t="s">
        <v>25</v>
      </c>
      <c r="BX10" t="s">
        <v>26</v>
      </c>
      <c r="BY10" t="s">
        <v>27</v>
      </c>
      <c r="BZ10" t="s">
        <v>28</v>
      </c>
      <c r="CA10" t="s">
        <v>29</v>
      </c>
      <c r="CB10" t="s">
        <v>30</v>
      </c>
      <c r="CC10" t="s">
        <v>31</v>
      </c>
      <c r="CE10" t="s">
        <v>3</v>
      </c>
      <c r="CF10" t="s">
        <v>5</v>
      </c>
      <c r="CG10" t="s">
        <v>9</v>
      </c>
      <c r="CH10" t="s">
        <v>10</v>
      </c>
      <c r="CI10" t="s">
        <v>11</v>
      </c>
      <c r="CJ10" t="s">
        <v>12</v>
      </c>
      <c r="CK10" t="s">
        <v>13</v>
      </c>
      <c r="CL10" t="s">
        <v>14</v>
      </c>
      <c r="CM10" t="s">
        <v>15</v>
      </c>
      <c r="CN10" t="s">
        <v>16</v>
      </c>
      <c r="CO10" t="s">
        <v>17</v>
      </c>
      <c r="CP10" t="s">
        <v>18</v>
      </c>
      <c r="CQ10" t="s">
        <v>19</v>
      </c>
      <c r="CR10" t="s">
        <v>20</v>
      </c>
      <c r="CS10" t="s">
        <v>21</v>
      </c>
      <c r="CT10" t="s">
        <v>22</v>
      </c>
      <c r="CU10" t="s">
        <v>23</v>
      </c>
      <c r="CV10" t="s">
        <v>24</v>
      </c>
      <c r="CW10" t="s">
        <v>25</v>
      </c>
      <c r="CX10" t="s">
        <v>26</v>
      </c>
      <c r="CY10" t="s">
        <v>27</v>
      </c>
      <c r="CZ10" t="s">
        <v>28</v>
      </c>
      <c r="DA10" t="s">
        <v>29</v>
      </c>
      <c r="DB10" t="s">
        <v>30</v>
      </c>
      <c r="DC10" t="s">
        <v>31</v>
      </c>
      <c r="DE10" t="s">
        <v>3</v>
      </c>
      <c r="DF10" t="s">
        <v>0</v>
      </c>
      <c r="DG10" t="s">
        <v>104</v>
      </c>
      <c r="DH10" t="s">
        <v>105</v>
      </c>
    </row>
    <row r="11" spans="2:112" x14ac:dyDescent="0.45">
      <c r="B11" t="s">
        <v>280</v>
      </c>
      <c r="C11" t="s">
        <v>107</v>
      </c>
      <c r="D11">
        <v>0</v>
      </c>
      <c r="E11">
        <v>0.97896005505961947</v>
      </c>
      <c r="F11">
        <v>0.44564329633605665</v>
      </c>
      <c r="G11">
        <v>0.3128874431418549</v>
      </c>
      <c r="H11">
        <v>0.47957209777715304</v>
      </c>
      <c r="I11">
        <v>0.97064648998937453</v>
      </c>
      <c r="J11">
        <v>0</v>
      </c>
      <c r="K11">
        <v>0.58141220684815942</v>
      </c>
      <c r="L11">
        <v>0.21161068350863843</v>
      </c>
      <c r="M11">
        <v>0.18035817309368368</v>
      </c>
      <c r="N11">
        <v>0.20958652448443302</v>
      </c>
      <c r="O11">
        <v>0.55260718637541661</v>
      </c>
      <c r="P11">
        <v>0.97583729509314843</v>
      </c>
      <c r="Q11">
        <v>0.47653106041589477</v>
      </c>
      <c r="R11">
        <v>0.17302489718556305</v>
      </c>
      <c r="S11">
        <v>0.13292818545184015</v>
      </c>
      <c r="T11">
        <v>0.16950252226372878</v>
      </c>
      <c r="U11">
        <v>0.4172101296745811</v>
      </c>
      <c r="V11">
        <v>0</v>
      </c>
      <c r="W11">
        <v>0.77930139508288676</v>
      </c>
      <c r="X11">
        <v>0.28406294796609605</v>
      </c>
      <c r="Y11">
        <v>0.20719112999110104</v>
      </c>
      <c r="Z11">
        <v>0.36792287988267269</v>
      </c>
      <c r="AA11">
        <v>0.86106675621119799</v>
      </c>
      <c r="AC11" t="s">
        <v>108</v>
      </c>
      <c r="AD11" t="s">
        <v>109</v>
      </c>
      <c r="AE11">
        <v>0</v>
      </c>
      <c r="AF11">
        <v>0.9211232068155486</v>
      </c>
      <c r="AG11">
        <v>0.26396602899378863</v>
      </c>
      <c r="AH11">
        <v>9.5631672318163732E-2</v>
      </c>
      <c r="AI11">
        <v>1.8825481008303346E-2</v>
      </c>
      <c r="AJ11">
        <v>6.5772632184138521E-2</v>
      </c>
      <c r="AK11">
        <v>0.95651633755030285</v>
      </c>
      <c r="AL11">
        <v>0.40482917753207359</v>
      </c>
      <c r="AM11">
        <v>9.948118808336795E-2</v>
      </c>
      <c r="AN11">
        <v>2.4428785247254042E-2</v>
      </c>
      <c r="AO11">
        <v>1.3550070852752187E-2</v>
      </c>
      <c r="AP11">
        <v>0.28595449826839958</v>
      </c>
      <c r="AQ11">
        <v>0.85592540130863037</v>
      </c>
      <c r="AR11">
        <v>0.29735189667764139</v>
      </c>
      <c r="AS11">
        <v>8.0222251785070559E-2</v>
      </c>
      <c r="AT11">
        <v>2.0063368622015493E-2</v>
      </c>
      <c r="AU11">
        <v>4.1838939700510674E-3</v>
      </c>
      <c r="AV11">
        <v>0.19391452977377255</v>
      </c>
      <c r="AW11">
        <v>0</v>
      </c>
      <c r="AX11">
        <v>0.61839683884669616</v>
      </c>
      <c r="AY11">
        <v>0.14326058416274426</v>
      </c>
      <c r="AZ11">
        <v>4.650942147958894E-2</v>
      </c>
      <c r="BA11">
        <v>2.7816922372983166E-2</v>
      </c>
      <c r="BB11">
        <v>0.23940064221555177</v>
      </c>
      <c r="BD11" t="s">
        <v>108</v>
      </c>
      <c r="BE11" t="s">
        <v>110</v>
      </c>
      <c r="BF11">
        <v>0</v>
      </c>
      <c r="BG11">
        <v>0</v>
      </c>
      <c r="BH11">
        <v>0</v>
      </c>
      <c r="BI11">
        <v>5.2073049831952295E-2</v>
      </c>
      <c r="BJ11">
        <v>0.27235116071804621</v>
      </c>
      <c r="BK11">
        <v>5.2787515258368216E-2</v>
      </c>
      <c r="BL11">
        <v>0</v>
      </c>
      <c r="BM11">
        <v>0</v>
      </c>
      <c r="BN11">
        <v>0</v>
      </c>
      <c r="BO11">
        <v>4.6966422031768339E-2</v>
      </c>
      <c r="BP11">
        <v>8.544974450398804E-2</v>
      </c>
      <c r="BQ11">
        <v>2.1343045482018517E-2</v>
      </c>
      <c r="BR11">
        <v>0</v>
      </c>
      <c r="BS11">
        <v>0</v>
      </c>
      <c r="BT11">
        <v>0</v>
      </c>
      <c r="BU11">
        <v>4.1321121484705153E-2</v>
      </c>
      <c r="BV11">
        <v>8.1027382540142093E-2</v>
      </c>
      <c r="BW11">
        <v>2.3696800395166053E-2</v>
      </c>
      <c r="BX11">
        <v>0</v>
      </c>
      <c r="BY11">
        <v>0</v>
      </c>
      <c r="BZ11">
        <v>0</v>
      </c>
      <c r="CA11">
        <v>4.6732042214734176E-2</v>
      </c>
      <c r="CB11">
        <v>0.1622107933595959</v>
      </c>
      <c r="CC11">
        <v>0.13866909971483121</v>
      </c>
      <c r="CE11" t="s">
        <v>280</v>
      </c>
      <c r="CF11">
        <v>0</v>
      </c>
      <c r="CG11">
        <v>5.5226951984837147E-4</v>
      </c>
      <c r="CH11">
        <v>0.11985528765864999</v>
      </c>
      <c r="CI11">
        <v>0.23829923378586396</v>
      </c>
      <c r="CJ11">
        <v>0.10104844766709568</v>
      </c>
      <c r="CK11">
        <v>7.5806561642895046E-4</v>
      </c>
      <c r="CL11">
        <v>0</v>
      </c>
      <c r="CM11">
        <v>5.0626332767636145E-2</v>
      </c>
      <c r="CN11">
        <v>0.35860638851689958</v>
      </c>
      <c r="CO11">
        <v>0.46929599928878124</v>
      </c>
      <c r="CP11">
        <v>0.31710609939676332</v>
      </c>
      <c r="CQ11">
        <v>4.1195184665976374E-2</v>
      </c>
      <c r="CR11">
        <v>4.9238589386864028E-6</v>
      </c>
      <c r="CS11">
        <v>6.9250430970294374E-2</v>
      </c>
      <c r="CT11">
        <v>0.38567476517896193</v>
      </c>
      <c r="CU11">
        <v>0.50946579716944973</v>
      </c>
      <c r="CV11">
        <v>0.36190202906268981</v>
      </c>
      <c r="CW11">
        <v>6.8288219103256109E-2</v>
      </c>
      <c r="CX11">
        <v>0</v>
      </c>
      <c r="CY11">
        <v>1.1171256734377801E-2</v>
      </c>
      <c r="CZ11">
        <v>0.19498846644983386</v>
      </c>
      <c r="DA11">
        <v>0.31276982299867484</v>
      </c>
      <c r="DB11">
        <v>0.14591310428471807</v>
      </c>
      <c r="DC11">
        <v>5.0541305038366031E-3</v>
      </c>
      <c r="DE11" t="s">
        <v>280</v>
      </c>
      <c r="DF11" t="s">
        <v>111</v>
      </c>
      <c r="DG11" t="s">
        <v>112</v>
      </c>
      <c r="DH11">
        <v>0.44192545408062545</v>
      </c>
    </row>
    <row r="12" spans="2:112" x14ac:dyDescent="0.45">
      <c r="B12" t="s">
        <v>281</v>
      </c>
      <c r="C12" t="s">
        <v>107</v>
      </c>
      <c r="D12">
        <v>0</v>
      </c>
      <c r="E12">
        <v>0.96944444444444455</v>
      </c>
      <c r="F12">
        <v>0.39184612830688031</v>
      </c>
      <c r="G12">
        <v>0.26395758151059967</v>
      </c>
      <c r="H12">
        <v>0.43402418543620946</v>
      </c>
      <c r="I12">
        <v>0.95841441097217195</v>
      </c>
      <c r="J12">
        <v>0</v>
      </c>
      <c r="K12">
        <v>0.58558498744611875</v>
      </c>
      <c r="L12">
        <v>0.19010348116195669</v>
      </c>
      <c r="M12">
        <v>0.1629981412852288</v>
      </c>
      <c r="N12">
        <v>0.2188825007434923</v>
      </c>
      <c r="O12">
        <v>0.55015111040464504</v>
      </c>
      <c r="P12">
        <v>0</v>
      </c>
      <c r="Q12">
        <v>0.47922124308087949</v>
      </c>
      <c r="R12">
        <v>0.16346956918097416</v>
      </c>
      <c r="S12">
        <v>0.12437202176412906</v>
      </c>
      <c r="T12">
        <v>0.15541851448473873</v>
      </c>
      <c r="U12">
        <v>0.42758076523089195</v>
      </c>
      <c r="V12">
        <v>0</v>
      </c>
      <c r="W12">
        <v>0.77451085421011667</v>
      </c>
      <c r="X12">
        <v>0.27285713375513154</v>
      </c>
      <c r="Y12">
        <v>0.21380989914605911</v>
      </c>
      <c r="Z12">
        <v>0.36526486012485054</v>
      </c>
      <c r="AA12">
        <v>0.85385679219779365</v>
      </c>
      <c r="AC12" t="s">
        <v>114</v>
      </c>
      <c r="AD12" t="s">
        <v>109</v>
      </c>
      <c r="AE12">
        <v>1.6994797498153659E-3</v>
      </c>
      <c r="AF12">
        <v>1.4635302054640802E-3</v>
      </c>
      <c r="AG12">
        <v>0</v>
      </c>
      <c r="AH12">
        <v>2.5001694147357015E-4</v>
      </c>
      <c r="AI12">
        <v>5.430151505927827E-4</v>
      </c>
      <c r="AJ12">
        <v>4.5994286212380983E-3</v>
      </c>
      <c r="AK12">
        <v>2.2321107210861819E-3</v>
      </c>
      <c r="AL12">
        <v>1.7042425495133033E-3</v>
      </c>
      <c r="AM12">
        <v>3.2106081929372077E-3</v>
      </c>
      <c r="AN12">
        <v>4.6446105540212416E-3</v>
      </c>
      <c r="AO12">
        <v>1.9547848267167155E-4</v>
      </c>
      <c r="AP12">
        <v>2.1737968375964232E-4</v>
      </c>
      <c r="AQ12">
        <v>4.7749904050355188E-3</v>
      </c>
      <c r="AR12">
        <v>3.9793385671824536E-3</v>
      </c>
      <c r="AS12">
        <v>1.8003884485068577E-3</v>
      </c>
      <c r="AT12">
        <v>0</v>
      </c>
      <c r="AU12">
        <v>1.3893365545556056E-3</v>
      </c>
      <c r="AV12">
        <v>9.2152818475758978E-4</v>
      </c>
      <c r="AW12">
        <v>6.1839507550220914E-3</v>
      </c>
      <c r="AX12">
        <v>4.2511287197620857E-3</v>
      </c>
      <c r="AY12">
        <v>1.2363623190297835E-2</v>
      </c>
      <c r="AZ12">
        <v>1.0864032413301094E-2</v>
      </c>
      <c r="BA12">
        <v>4.5762981499147863E-4</v>
      </c>
      <c r="BB12">
        <v>7.3803017868779696E-4</v>
      </c>
      <c r="BD12" t="s">
        <v>114</v>
      </c>
      <c r="BE12" t="s">
        <v>110</v>
      </c>
      <c r="BF12">
        <v>1.0198355598392045E-2</v>
      </c>
      <c r="BG12">
        <v>6.1643906824626962E-3</v>
      </c>
      <c r="BH12">
        <v>7.9967531626235714E-3</v>
      </c>
      <c r="BI12">
        <v>4.2583644233349831E-3</v>
      </c>
      <c r="BJ12">
        <v>3.0249997013682257E-3</v>
      </c>
      <c r="BK12">
        <v>6.8627502951377267E-3</v>
      </c>
      <c r="BL12">
        <v>4.6849232900734103E-3</v>
      </c>
      <c r="BM12">
        <v>9.7910823223896683E-3</v>
      </c>
      <c r="BN12">
        <v>6.2493559774665685E-3</v>
      </c>
      <c r="BO12">
        <v>1.6089226987391455E-2</v>
      </c>
      <c r="BP12">
        <v>1.3899721990348749E-2</v>
      </c>
      <c r="BQ12">
        <v>5.3263283373130212E-3</v>
      </c>
      <c r="BR12">
        <v>2.0100292079061256E-2</v>
      </c>
      <c r="BS12">
        <v>1.7842253106410161E-2</v>
      </c>
      <c r="BT12">
        <v>1.9060763148098927E-2</v>
      </c>
      <c r="BU12">
        <v>1.550900551016173E-2</v>
      </c>
      <c r="BV12">
        <v>0</v>
      </c>
      <c r="BW12">
        <v>3.8309807433935792E-3</v>
      </c>
      <c r="BX12">
        <v>1.0584390290131661E-2</v>
      </c>
      <c r="BY12">
        <v>2.0845379653563121E-2</v>
      </c>
      <c r="BZ12">
        <v>2.1027457193396149E-2</v>
      </c>
      <c r="CA12">
        <v>2.9735215530153816E-2</v>
      </c>
      <c r="CB12">
        <v>4.0361594940350173E-2</v>
      </c>
      <c r="CC12">
        <v>7.7554263340573132E-3</v>
      </c>
      <c r="CE12" t="s">
        <v>281</v>
      </c>
      <c r="CF12">
        <v>0</v>
      </c>
      <c r="CG12">
        <v>8.9333591347497598E-4</v>
      </c>
      <c r="CH12">
        <v>0.14592501709037359</v>
      </c>
      <c r="CI12">
        <v>0.27332624050530491</v>
      </c>
      <c r="CJ12">
        <v>0.11151774868294814</v>
      </c>
      <c r="CK12">
        <v>4.8696904895191529E-4</v>
      </c>
      <c r="CL12">
        <v>0</v>
      </c>
      <c r="CM12">
        <v>5.1892123962240258E-2</v>
      </c>
      <c r="CN12">
        <v>0.36953332662602956</v>
      </c>
      <c r="CO12">
        <v>0.47525951969089314</v>
      </c>
      <c r="CP12">
        <v>0.30752190341473246</v>
      </c>
      <c r="CQ12">
        <v>3.8756841935466205E-2</v>
      </c>
      <c r="CR12">
        <v>0</v>
      </c>
      <c r="CS12">
        <v>6.9445692122337019E-2</v>
      </c>
      <c r="CT12">
        <v>0.41046122266062762</v>
      </c>
      <c r="CU12">
        <v>0.55221222371710799</v>
      </c>
      <c r="CV12">
        <v>0.38964192067762937</v>
      </c>
      <c r="CW12">
        <v>6.8057268571113549E-2</v>
      </c>
      <c r="CX12">
        <v>0</v>
      </c>
      <c r="CY12">
        <v>1.3401640228861386E-2</v>
      </c>
      <c r="CZ12">
        <v>0.23010883497402879</v>
      </c>
      <c r="DA12">
        <v>0.351862418082802</v>
      </c>
      <c r="DB12">
        <v>0.16999149306702466</v>
      </c>
      <c r="DC12">
        <v>6.1546015706763135E-3</v>
      </c>
      <c r="DE12" t="s">
        <v>281</v>
      </c>
      <c r="DF12" t="s">
        <v>111</v>
      </c>
      <c r="DG12" t="s">
        <v>112</v>
      </c>
      <c r="DH12">
        <v>0.47588115188588748</v>
      </c>
    </row>
    <row r="13" spans="2:112" x14ac:dyDescent="0.45">
      <c r="B13" t="s">
        <v>282</v>
      </c>
      <c r="C13" t="s">
        <v>107</v>
      </c>
      <c r="D13">
        <v>0</v>
      </c>
      <c r="E13">
        <v>0.97379190699422891</v>
      </c>
      <c r="F13">
        <v>0.41962065631812551</v>
      </c>
      <c r="G13">
        <v>0.27346265224754823</v>
      </c>
      <c r="H13">
        <v>0.45167328736860157</v>
      </c>
      <c r="I13">
        <v>0.96217257536706124</v>
      </c>
      <c r="J13">
        <v>0</v>
      </c>
      <c r="K13">
        <v>0.57753381901073098</v>
      </c>
      <c r="L13">
        <v>0.20537638511252779</v>
      </c>
      <c r="M13">
        <v>0.17235191332714872</v>
      </c>
      <c r="N13">
        <v>0.20960390752368768</v>
      </c>
      <c r="O13">
        <v>0.54565234834294285</v>
      </c>
      <c r="P13">
        <v>0.97993548948234399</v>
      </c>
      <c r="Q13">
        <v>0.47208036671156289</v>
      </c>
      <c r="R13">
        <v>0.16395711159351142</v>
      </c>
      <c r="S13">
        <v>0.12914254632430458</v>
      </c>
      <c r="T13">
        <v>0.1565865297022041</v>
      </c>
      <c r="U13">
        <v>0.41968956381032013</v>
      </c>
      <c r="V13">
        <v>0</v>
      </c>
      <c r="W13">
        <v>0.77291905118231219</v>
      </c>
      <c r="X13">
        <v>0.27591907404482685</v>
      </c>
      <c r="Y13">
        <v>0.19912743316563528</v>
      </c>
      <c r="Z13">
        <v>0.34876389489667731</v>
      </c>
      <c r="AA13">
        <v>0.85061566445122572</v>
      </c>
      <c r="AC13" t="s">
        <v>116</v>
      </c>
      <c r="AD13" t="s">
        <v>109</v>
      </c>
      <c r="AE13">
        <v>2.2847296403270489E-3</v>
      </c>
      <c r="AF13">
        <v>1.7762509967867021E-3</v>
      </c>
      <c r="AG13">
        <v>2.1437700646133994E-3</v>
      </c>
      <c r="AH13">
        <v>2.3613832669644608E-3</v>
      </c>
      <c r="AI13">
        <v>3.8286035732128395E-4</v>
      </c>
      <c r="AJ13">
        <v>4.7034695214424264E-4</v>
      </c>
      <c r="AK13">
        <v>1.7210254326293039E-3</v>
      </c>
      <c r="AL13">
        <v>6.7496977947886837E-4</v>
      </c>
      <c r="AM13">
        <v>9.735625506025685E-4</v>
      </c>
      <c r="AN13">
        <v>4.6196723877800006E-4</v>
      </c>
      <c r="AO13">
        <v>2.412780434562627E-3</v>
      </c>
      <c r="AP13">
        <v>1.3119871571103922E-4</v>
      </c>
      <c r="AQ13">
        <v>1.776873116227299E-3</v>
      </c>
      <c r="AR13">
        <v>9.0284715192063997E-5</v>
      </c>
      <c r="AS13">
        <v>6.7626489651222154E-4</v>
      </c>
      <c r="AT13">
        <v>0</v>
      </c>
      <c r="AU13">
        <v>0</v>
      </c>
      <c r="AV13">
        <v>7.0347004876592209E-5</v>
      </c>
      <c r="AW13">
        <v>2.5965255822703367E-3</v>
      </c>
      <c r="AX13">
        <v>8.7804223205461955E-4</v>
      </c>
      <c r="AY13">
        <v>1.4829124392089083E-3</v>
      </c>
      <c r="AZ13">
        <v>2.4886261965329001E-3</v>
      </c>
      <c r="BA13">
        <v>1.6565636950349703E-3</v>
      </c>
      <c r="BB13">
        <v>7.2728156578949965E-4</v>
      </c>
      <c r="BD13" t="s">
        <v>116</v>
      </c>
      <c r="BE13" t="s">
        <v>110</v>
      </c>
      <c r="BF13">
        <v>2.7012896192364628E-3</v>
      </c>
      <c r="BG13">
        <v>5.8992231025084101E-3</v>
      </c>
      <c r="BH13">
        <v>8.2410750412526459E-3</v>
      </c>
      <c r="BI13">
        <v>6.7969516528174397E-3</v>
      </c>
      <c r="BJ13">
        <v>5.8833759012996336E-3</v>
      </c>
      <c r="BK13">
        <v>4.711465457531267E-3</v>
      </c>
      <c r="BL13">
        <v>6.2880263282288958E-3</v>
      </c>
      <c r="BM13">
        <v>7.2194661858066079E-3</v>
      </c>
      <c r="BN13">
        <v>3.3671813394149383E-3</v>
      </c>
      <c r="BO13">
        <v>2.1549325340977626E-3</v>
      </c>
      <c r="BP13">
        <v>3.9479469870803358E-3</v>
      </c>
      <c r="BQ13">
        <v>1.0139922234205801E-2</v>
      </c>
      <c r="BR13">
        <v>4.7070803831299806E-3</v>
      </c>
      <c r="BS13">
        <v>1.5476750845552891E-2</v>
      </c>
      <c r="BT13">
        <v>5.8967779208995283E-3</v>
      </c>
      <c r="BU13">
        <v>6.7635759197324117E-3</v>
      </c>
      <c r="BV13">
        <v>1.9097070012394318E-3</v>
      </c>
      <c r="BW13">
        <v>0</v>
      </c>
      <c r="BX13">
        <v>6.0881833741336221E-3</v>
      </c>
      <c r="BY13">
        <v>9.3830418364333392E-3</v>
      </c>
      <c r="BZ13">
        <v>3.6445252300143383E-3</v>
      </c>
      <c r="CA13">
        <v>2.1081073042044213E-3</v>
      </c>
      <c r="CB13">
        <v>6.5642424903989728E-3</v>
      </c>
      <c r="CC13">
        <v>7.0422135735402451E-3</v>
      </c>
      <c r="CE13" t="s">
        <v>282</v>
      </c>
      <c r="CF13">
        <v>0</v>
      </c>
      <c r="CG13">
        <v>7.9364196057289259E-4</v>
      </c>
      <c r="CH13">
        <v>0.13261440140089223</v>
      </c>
      <c r="CI13">
        <v>0.25924002251984046</v>
      </c>
      <c r="CJ13">
        <v>0.11047872163420343</v>
      </c>
      <c r="CK13">
        <v>6.2941899394210979E-4</v>
      </c>
      <c r="CL13">
        <v>0</v>
      </c>
      <c r="CM13">
        <v>5.3390136434203594E-2</v>
      </c>
      <c r="CN13">
        <v>0.37378047656169022</v>
      </c>
      <c r="CO13">
        <v>0.47929854884603429</v>
      </c>
      <c r="CP13">
        <v>0.32018508296933662</v>
      </c>
      <c r="CQ13">
        <v>4.0480482183856463E-2</v>
      </c>
      <c r="CR13">
        <v>9.7069248540998441E-8</v>
      </c>
      <c r="CS13">
        <v>7.2032474415442402E-2</v>
      </c>
      <c r="CT13">
        <v>0.39907796534536033</v>
      </c>
      <c r="CU13">
        <v>0.51946750633460492</v>
      </c>
      <c r="CV13">
        <v>0.37602092092689932</v>
      </c>
      <c r="CW13">
        <v>6.8452402119820899E-2</v>
      </c>
      <c r="CX13">
        <v>0</v>
      </c>
      <c r="CY13">
        <v>1.2454924997276294E-2</v>
      </c>
      <c r="CZ13">
        <v>0.21487958273119567</v>
      </c>
      <c r="DA13">
        <v>0.33643319493562468</v>
      </c>
      <c r="DB13">
        <v>0.15963777591670852</v>
      </c>
      <c r="DC13">
        <v>5.6188379683297547E-3</v>
      </c>
      <c r="DE13" t="s">
        <v>282</v>
      </c>
      <c r="DF13" t="s">
        <v>111</v>
      </c>
      <c r="DG13" t="s">
        <v>112</v>
      </c>
      <c r="DH13">
        <v>0.43235890806314103</v>
      </c>
    </row>
    <row r="14" spans="2:112" x14ac:dyDescent="0.45">
      <c r="B14" t="s">
        <v>283</v>
      </c>
      <c r="C14" t="s">
        <v>107</v>
      </c>
      <c r="D14">
        <v>0</v>
      </c>
      <c r="E14">
        <v>0.97091535182670063</v>
      </c>
      <c r="F14">
        <v>0.39894955073976623</v>
      </c>
      <c r="G14">
        <v>0.27503944443673778</v>
      </c>
      <c r="H14">
        <v>0.49153108800503864</v>
      </c>
      <c r="I14">
        <v>0.99259259259259247</v>
      </c>
      <c r="J14">
        <v>0</v>
      </c>
      <c r="K14">
        <v>0.56741188684011312</v>
      </c>
      <c r="L14">
        <v>0.21775073053993449</v>
      </c>
      <c r="M14">
        <v>0.18770789237583424</v>
      </c>
      <c r="N14">
        <v>0.22499771747246541</v>
      </c>
      <c r="O14">
        <v>0.56165303127268373</v>
      </c>
      <c r="P14">
        <v>0.99270363779214887</v>
      </c>
      <c r="Q14">
        <v>0.44841269440727677</v>
      </c>
      <c r="R14">
        <v>0.15468234733690639</v>
      </c>
      <c r="S14">
        <v>0.12942072460788309</v>
      </c>
      <c r="T14">
        <v>0.16784856796461789</v>
      </c>
      <c r="U14">
        <v>0.42919342925508924</v>
      </c>
      <c r="V14">
        <v>0</v>
      </c>
      <c r="W14">
        <v>0.75320648692516112</v>
      </c>
      <c r="X14">
        <v>0.296335890275784</v>
      </c>
      <c r="Y14">
        <v>0.23408429654769744</v>
      </c>
      <c r="Z14">
        <v>0.37179986213493665</v>
      </c>
      <c r="AA14">
        <v>0.87731705666119153</v>
      </c>
      <c r="CE14" t="s">
        <v>283</v>
      </c>
      <c r="CF14">
        <v>0</v>
      </c>
      <c r="CG14">
        <v>8.3140657176252537E-4</v>
      </c>
      <c r="CH14">
        <v>0.1378764971313188</v>
      </c>
      <c r="CI14">
        <v>0.25119490039745596</v>
      </c>
      <c r="CJ14">
        <v>8.4903943630557505E-2</v>
      </c>
      <c r="CK14">
        <v>5.9926680015681148E-6</v>
      </c>
      <c r="CL14">
        <v>0</v>
      </c>
      <c r="CM14">
        <v>5.8145111714944638E-2</v>
      </c>
      <c r="CN14">
        <v>0.35001964562619386</v>
      </c>
      <c r="CO14">
        <v>0.4194411511151182</v>
      </c>
      <c r="CP14">
        <v>0.26459120651897233</v>
      </c>
      <c r="CQ14">
        <v>2.9500379686932494E-2</v>
      </c>
      <c r="CR14">
        <v>1.8314622886014777E-8</v>
      </c>
      <c r="CS14">
        <v>8.0153070107066723E-2</v>
      </c>
      <c r="CT14">
        <v>0.39018245805052287</v>
      </c>
      <c r="CU14">
        <v>0.46532310594571641</v>
      </c>
      <c r="CV14">
        <v>0.30744642743701844</v>
      </c>
      <c r="CW14">
        <v>5.5052070627023365E-2</v>
      </c>
      <c r="CX14">
        <v>0</v>
      </c>
      <c r="CY14">
        <v>1.6806595930323857E-2</v>
      </c>
      <c r="CZ14">
        <v>0.2214562631540487</v>
      </c>
      <c r="DA14">
        <v>0.30739798752586439</v>
      </c>
      <c r="DB14">
        <v>0.13388946674803628</v>
      </c>
      <c r="DC14">
        <v>3.412759344844204E-3</v>
      </c>
      <c r="DE14" t="s">
        <v>283</v>
      </c>
      <c r="DF14" t="s">
        <v>111</v>
      </c>
      <c r="DG14" t="s">
        <v>112</v>
      </c>
      <c r="DH14">
        <v>0.3901159468889574</v>
      </c>
    </row>
    <row r="15" spans="2:112" x14ac:dyDescent="0.45">
      <c r="B15" t="s">
        <v>284</v>
      </c>
      <c r="C15" t="s">
        <v>107</v>
      </c>
      <c r="D15">
        <v>0</v>
      </c>
      <c r="E15">
        <v>0.95775174704637778</v>
      </c>
      <c r="F15">
        <v>0.33982851054080399</v>
      </c>
      <c r="G15">
        <v>0.24393944328181083</v>
      </c>
      <c r="H15">
        <v>0.50221067566500788</v>
      </c>
      <c r="I15">
        <v>0</v>
      </c>
      <c r="J15">
        <v>0</v>
      </c>
      <c r="K15">
        <v>0.54924657136333466</v>
      </c>
      <c r="L15">
        <v>0.19543480718185818</v>
      </c>
      <c r="M15">
        <v>0.1575294524501778</v>
      </c>
      <c r="N15">
        <v>0.21869255916084415</v>
      </c>
      <c r="O15">
        <v>0.58128818698227958</v>
      </c>
      <c r="P15">
        <v>0</v>
      </c>
      <c r="Q15">
        <v>0.436857262150109</v>
      </c>
      <c r="R15">
        <v>0.14206289738232419</v>
      </c>
      <c r="S15">
        <v>0.11531607860874393</v>
      </c>
      <c r="T15">
        <v>0.16776114414376039</v>
      </c>
      <c r="U15">
        <v>0.43289715349927843</v>
      </c>
      <c r="V15">
        <v>0</v>
      </c>
      <c r="W15">
        <v>0.71136712442431582</v>
      </c>
      <c r="X15">
        <v>0.25439178757269931</v>
      </c>
      <c r="Y15">
        <v>0.21603763883514165</v>
      </c>
      <c r="Z15">
        <v>0.38675271696798147</v>
      </c>
      <c r="AA15">
        <v>0.89090677807916618</v>
      </c>
      <c r="CE15" t="s">
        <v>284</v>
      </c>
      <c r="CF15">
        <v>0</v>
      </c>
      <c r="CG15">
        <v>1.1632794473991944E-3</v>
      </c>
      <c r="CH15">
        <v>0.15638829997832232</v>
      </c>
      <c r="CI15">
        <v>0.27274139981849926</v>
      </c>
      <c r="CJ15">
        <v>8.4685619823995514E-2</v>
      </c>
      <c r="CK15">
        <v>0</v>
      </c>
      <c r="CL15">
        <v>0</v>
      </c>
      <c r="CM15">
        <v>6.8891740673004659E-2</v>
      </c>
      <c r="CN15">
        <v>0.38857971932054514</v>
      </c>
      <c r="CO15">
        <v>0.49363503756491361</v>
      </c>
      <c r="CP15">
        <v>0.28747855920602972</v>
      </c>
      <c r="CQ15">
        <v>2.5529381949526093E-2</v>
      </c>
      <c r="CR15">
        <v>0</v>
      </c>
      <c r="CS15">
        <v>9.1098123602225717E-2</v>
      </c>
      <c r="CT15">
        <v>0.4308745020848177</v>
      </c>
      <c r="CU15">
        <v>0.51834261619271893</v>
      </c>
      <c r="CV15">
        <v>0.3259120879725671</v>
      </c>
      <c r="CW15">
        <v>4.9230712596977172E-2</v>
      </c>
      <c r="CX15">
        <v>0</v>
      </c>
      <c r="CY15">
        <v>2.4570676394228035E-2</v>
      </c>
      <c r="CZ15">
        <v>0.26824799033163094</v>
      </c>
      <c r="DA15">
        <v>0.3375786746216598</v>
      </c>
      <c r="DB15">
        <v>0.13590137393178195</v>
      </c>
      <c r="DC15">
        <v>2.4993885299061736E-3</v>
      </c>
      <c r="DE15" t="s">
        <v>284</v>
      </c>
      <c r="DF15" t="s">
        <v>111</v>
      </c>
      <c r="DG15" t="s">
        <v>112</v>
      </c>
      <c r="DH15">
        <v>0.45611098932592092</v>
      </c>
    </row>
    <row r="16" spans="2:112" x14ac:dyDescent="0.45">
      <c r="B16" t="s">
        <v>285</v>
      </c>
      <c r="C16" t="s">
        <v>107</v>
      </c>
      <c r="D16">
        <v>0</v>
      </c>
      <c r="E16">
        <v>0.95778015861192167</v>
      </c>
      <c r="F16">
        <v>0.3614585336392771</v>
      </c>
      <c r="G16">
        <v>0.30434442355069341</v>
      </c>
      <c r="H16">
        <v>0.48440741874770055</v>
      </c>
      <c r="I16">
        <v>0.99629629629629624</v>
      </c>
      <c r="J16">
        <v>0</v>
      </c>
      <c r="K16">
        <v>0.56956035007168204</v>
      </c>
      <c r="L16">
        <v>0.20334976148012729</v>
      </c>
      <c r="M16">
        <v>0.18750329001443952</v>
      </c>
      <c r="N16">
        <v>0.23294168995705733</v>
      </c>
      <c r="O16">
        <v>0.58864581092368384</v>
      </c>
      <c r="P16">
        <v>0</v>
      </c>
      <c r="Q16">
        <v>0.45435089083973634</v>
      </c>
      <c r="R16">
        <v>0.15507681668804646</v>
      </c>
      <c r="S16">
        <v>0.13812422907725921</v>
      </c>
      <c r="T16">
        <v>0.1821634310040369</v>
      </c>
      <c r="U16">
        <v>0.45935314857905141</v>
      </c>
      <c r="V16">
        <v>0</v>
      </c>
      <c r="W16">
        <v>0.72549359992669649</v>
      </c>
      <c r="X16">
        <v>0.29148009501767513</v>
      </c>
      <c r="Y16">
        <v>0.26293662310572719</v>
      </c>
      <c r="Z16">
        <v>0.37746015033818969</v>
      </c>
      <c r="AA16">
        <v>0.89377934248716318</v>
      </c>
      <c r="CE16" t="s">
        <v>285</v>
      </c>
      <c r="CF16">
        <v>0</v>
      </c>
      <c r="CG16">
        <v>1.5641645705028529E-3</v>
      </c>
      <c r="CH16">
        <v>0.15380353274178993</v>
      </c>
      <c r="CI16">
        <v>0.24691543678562419</v>
      </c>
      <c r="CJ16">
        <v>9.0313947440959955E-2</v>
      </c>
      <c r="CK16">
        <v>8.7949153130895034E-8</v>
      </c>
      <c r="CL16">
        <v>0</v>
      </c>
      <c r="CM16">
        <v>6.3848045897465427E-2</v>
      </c>
      <c r="CN16">
        <v>0.36936377202987031</v>
      </c>
      <c r="CO16">
        <v>0.44051268697818441</v>
      </c>
      <c r="CP16">
        <v>0.26718620462066778</v>
      </c>
      <c r="CQ16">
        <v>2.600089639728485E-2</v>
      </c>
      <c r="CR16">
        <v>0</v>
      </c>
      <c r="CS16">
        <v>8.6922226762567348E-2</v>
      </c>
      <c r="CT16">
        <v>0.42946636526851695</v>
      </c>
      <c r="CU16">
        <v>0.51731943913041867</v>
      </c>
      <c r="CV16">
        <v>0.33697808089658576</v>
      </c>
      <c r="CW16">
        <v>5.1504746832790778E-2</v>
      </c>
      <c r="CX16">
        <v>0</v>
      </c>
      <c r="CY16">
        <v>2.3495810645514408E-2</v>
      </c>
      <c r="CZ16">
        <v>0.25626218240399828</v>
      </c>
      <c r="DA16">
        <v>0.32254363939331315</v>
      </c>
      <c r="DB16">
        <v>0.13587501621178219</v>
      </c>
      <c r="DC16">
        <v>3.0439149138864921E-3</v>
      </c>
      <c r="DE16" t="s">
        <v>285</v>
      </c>
      <c r="DF16" t="s">
        <v>111</v>
      </c>
      <c r="DG16" t="s">
        <v>112</v>
      </c>
      <c r="DH16">
        <v>0.45239409861477742</v>
      </c>
    </row>
    <row r="17" spans="2:112" x14ac:dyDescent="0.45">
      <c r="B17" t="s">
        <v>286</v>
      </c>
      <c r="C17" t="s">
        <v>107</v>
      </c>
      <c r="D17">
        <v>0</v>
      </c>
      <c r="E17">
        <v>0.96111111111111092</v>
      </c>
      <c r="F17">
        <v>0.38554842669573364</v>
      </c>
      <c r="G17">
        <v>0.28595706985204916</v>
      </c>
      <c r="H17">
        <v>0.4416666151916524</v>
      </c>
      <c r="I17">
        <v>0.97777777777777797</v>
      </c>
      <c r="J17">
        <v>0</v>
      </c>
      <c r="K17">
        <v>0.57282986179844075</v>
      </c>
      <c r="L17">
        <v>0.20206597988813235</v>
      </c>
      <c r="M17">
        <v>0.17098922021937402</v>
      </c>
      <c r="N17">
        <v>0.22240363472799157</v>
      </c>
      <c r="O17">
        <v>0.56435222198309998</v>
      </c>
      <c r="P17">
        <v>0</v>
      </c>
      <c r="Q17">
        <v>0.46550536939118675</v>
      </c>
      <c r="R17">
        <v>0.15767879481919925</v>
      </c>
      <c r="S17">
        <v>0.13584734776880922</v>
      </c>
      <c r="T17">
        <v>0.16178555096553413</v>
      </c>
      <c r="U17">
        <v>0.44329409579664492</v>
      </c>
      <c r="V17">
        <v>0</v>
      </c>
      <c r="W17">
        <v>0.75453512813063628</v>
      </c>
      <c r="X17">
        <v>0.27931264959400426</v>
      </c>
      <c r="Y17">
        <v>0.22556581567133552</v>
      </c>
      <c r="Z17">
        <v>0.36809072757432221</v>
      </c>
      <c r="AA17">
        <v>0.86801858215458361</v>
      </c>
      <c r="CE17" t="s">
        <v>286</v>
      </c>
      <c r="CF17">
        <v>0</v>
      </c>
      <c r="CG17">
        <v>1.1973428629616771E-3</v>
      </c>
      <c r="CH17">
        <v>0.14633491545881375</v>
      </c>
      <c r="CI17">
        <v>0.25915705040423476</v>
      </c>
      <c r="CJ17">
        <v>9.7634074148211722E-2</v>
      </c>
      <c r="CK17">
        <v>1.5647355305737268E-4</v>
      </c>
      <c r="CL17">
        <v>0</v>
      </c>
      <c r="CM17">
        <v>5.7774795317395856E-2</v>
      </c>
      <c r="CN17">
        <v>0.35489217102184079</v>
      </c>
      <c r="CO17">
        <v>0.42203219007305259</v>
      </c>
      <c r="CP17">
        <v>0.26670986601900981</v>
      </c>
      <c r="CQ17">
        <v>3.0764907954721449E-2</v>
      </c>
      <c r="CR17">
        <v>0</v>
      </c>
      <c r="CS17">
        <v>7.7198213808543262E-2</v>
      </c>
      <c r="CT17">
        <v>0.41343317204531793</v>
      </c>
      <c r="CU17">
        <v>0.51054513753120978</v>
      </c>
      <c r="CV17">
        <v>0.35150969370193169</v>
      </c>
      <c r="CW17">
        <v>5.8576475379586199E-2</v>
      </c>
      <c r="CX17">
        <v>0</v>
      </c>
      <c r="CY17">
        <v>1.5995080611902808E-2</v>
      </c>
      <c r="CZ17">
        <v>0.23501064245810721</v>
      </c>
      <c r="DA17">
        <v>0.32202039718997549</v>
      </c>
      <c r="DB17">
        <v>0.15131924403200414</v>
      </c>
      <c r="DC17">
        <v>4.8413241598971946E-3</v>
      </c>
      <c r="DE17" t="s">
        <v>286</v>
      </c>
      <c r="DF17" t="s">
        <v>111</v>
      </c>
      <c r="DG17" t="s">
        <v>112</v>
      </c>
      <c r="DH17">
        <v>0.40083859301979302</v>
      </c>
    </row>
    <row r="18" spans="2:112" x14ac:dyDescent="0.45">
      <c r="B18" t="s">
        <v>287</v>
      </c>
      <c r="C18" t="s">
        <v>107</v>
      </c>
      <c r="D18">
        <v>0</v>
      </c>
      <c r="E18">
        <v>0.97207677535224124</v>
      </c>
      <c r="F18">
        <v>0.42128395897695164</v>
      </c>
      <c r="G18">
        <v>0.30555015936529356</v>
      </c>
      <c r="H18">
        <v>0.44697499059920404</v>
      </c>
      <c r="I18">
        <v>0.9814814814814814</v>
      </c>
      <c r="J18">
        <v>0</v>
      </c>
      <c r="K18">
        <v>0.57601504884178101</v>
      </c>
      <c r="L18">
        <v>0.20610784612868252</v>
      </c>
      <c r="M18">
        <v>0.18319123888354308</v>
      </c>
      <c r="N18">
        <v>0.22442845700479414</v>
      </c>
      <c r="O18">
        <v>0.55836565183364995</v>
      </c>
      <c r="P18">
        <v>0</v>
      </c>
      <c r="Q18">
        <v>0.46555601093360049</v>
      </c>
      <c r="R18">
        <v>0.17148771309489039</v>
      </c>
      <c r="S18">
        <v>0.16383165034147804</v>
      </c>
      <c r="T18">
        <v>0.18335415984450759</v>
      </c>
      <c r="U18">
        <v>0.43111216477692715</v>
      </c>
      <c r="V18">
        <v>0</v>
      </c>
      <c r="W18">
        <v>0.77811653268813807</v>
      </c>
      <c r="X18">
        <v>0.29870932432985275</v>
      </c>
      <c r="Y18">
        <v>0.23015333305877905</v>
      </c>
      <c r="Z18">
        <v>0.36583564608467656</v>
      </c>
      <c r="AA18">
        <v>0.87413394510411024</v>
      </c>
      <c r="CE18" t="s">
        <v>287</v>
      </c>
      <c r="CF18">
        <v>0</v>
      </c>
      <c r="CG18">
        <v>7.278498851393761E-4</v>
      </c>
      <c r="CH18">
        <v>0.13160888177666497</v>
      </c>
      <c r="CI18">
        <v>0.2454213010963619</v>
      </c>
      <c r="CJ18">
        <v>9.6168031177410296E-2</v>
      </c>
      <c r="CK18">
        <v>4.0180622046942342E-4</v>
      </c>
      <c r="CL18">
        <v>0</v>
      </c>
      <c r="CM18">
        <v>5.7711291650388533E-2</v>
      </c>
      <c r="CN18">
        <v>0.34577514061312858</v>
      </c>
      <c r="CO18">
        <v>0.41409098724717214</v>
      </c>
      <c r="CP18">
        <v>0.27068566946012862</v>
      </c>
      <c r="CQ18">
        <v>3.2714163634621006E-2</v>
      </c>
      <c r="CR18">
        <v>0</v>
      </c>
      <c r="CS18">
        <v>7.6308729986007351E-2</v>
      </c>
      <c r="CT18">
        <v>0.38328557025930066</v>
      </c>
      <c r="CU18">
        <v>0.45861702620995798</v>
      </c>
      <c r="CV18">
        <v>0.31095612326662025</v>
      </c>
      <c r="CW18">
        <v>5.8642792803435428E-2</v>
      </c>
      <c r="CX18">
        <v>0</v>
      </c>
      <c r="CY18">
        <v>1.3392026011432242E-2</v>
      </c>
      <c r="CZ18">
        <v>0.20387876893014795</v>
      </c>
      <c r="DA18">
        <v>0.31052082742901504</v>
      </c>
      <c r="DB18">
        <v>0.14177121116874858</v>
      </c>
      <c r="DC18">
        <v>4.494187799668866E-3</v>
      </c>
      <c r="DE18" t="s">
        <v>287</v>
      </c>
      <c r="DF18" t="s">
        <v>111</v>
      </c>
      <c r="DG18" t="s">
        <v>112</v>
      </c>
      <c r="DH18">
        <v>0.36747107306569832</v>
      </c>
    </row>
    <row r="19" spans="2:112" x14ac:dyDescent="0.45">
      <c r="B19" t="s">
        <v>288</v>
      </c>
      <c r="C19" t="s">
        <v>107</v>
      </c>
      <c r="D19">
        <v>0</v>
      </c>
      <c r="E19">
        <v>0.96223653077946203</v>
      </c>
      <c r="F19">
        <v>0.37248656155716353</v>
      </c>
      <c r="G19">
        <v>0.28218875444353442</v>
      </c>
      <c r="H19">
        <v>0.44914615084512705</v>
      </c>
      <c r="I19">
        <v>0.99259259259259214</v>
      </c>
      <c r="J19">
        <v>0</v>
      </c>
      <c r="K19">
        <v>0.56971089691857191</v>
      </c>
      <c r="L19">
        <v>0.2037871843671418</v>
      </c>
      <c r="M19">
        <v>0.16750404179996073</v>
      </c>
      <c r="N19">
        <v>0.22643442629314955</v>
      </c>
      <c r="O19">
        <v>0.5668618620824919</v>
      </c>
      <c r="P19">
        <v>0</v>
      </c>
      <c r="Q19">
        <v>0.45987806025824313</v>
      </c>
      <c r="R19">
        <v>0.16511414422136453</v>
      </c>
      <c r="S19">
        <v>0.14588654540239737</v>
      </c>
      <c r="T19">
        <v>0.18069064869155729</v>
      </c>
      <c r="U19">
        <v>0.43601300319736702</v>
      </c>
      <c r="V19">
        <v>0</v>
      </c>
      <c r="W19">
        <v>0.74761140831811845</v>
      </c>
      <c r="X19">
        <v>0.29495199473808065</v>
      </c>
      <c r="Y19">
        <v>0.23542989339812767</v>
      </c>
      <c r="Z19">
        <v>0.36194593968440275</v>
      </c>
      <c r="AA19">
        <v>0.88193038190954642</v>
      </c>
      <c r="CE19" t="s">
        <v>288</v>
      </c>
      <c r="CF19">
        <v>0</v>
      </c>
      <c r="CG19">
        <v>1.1760572485924269E-3</v>
      </c>
      <c r="CH19">
        <v>0.14607091498524144</v>
      </c>
      <c r="CI19">
        <v>0.25355997962733678</v>
      </c>
      <c r="CJ19">
        <v>9.0292995524684519E-2</v>
      </c>
      <c r="CK19">
        <v>1.1506097442447232E-4</v>
      </c>
      <c r="CL19">
        <v>0</v>
      </c>
      <c r="CM19">
        <v>6.0393627996711829E-2</v>
      </c>
      <c r="CN19">
        <v>0.3538237000474192</v>
      </c>
      <c r="CO19">
        <v>0.4199490037801244</v>
      </c>
      <c r="CP19">
        <v>0.25780473568610218</v>
      </c>
      <c r="CQ19">
        <v>2.801321854986177E-2</v>
      </c>
      <c r="CR19">
        <v>0</v>
      </c>
      <c r="CS19">
        <v>7.9513648388608929E-2</v>
      </c>
      <c r="CT19">
        <v>0.39029814574276533</v>
      </c>
      <c r="CU19">
        <v>0.47102800662489808</v>
      </c>
      <c r="CV19">
        <v>0.30676194039287857</v>
      </c>
      <c r="CW19">
        <v>5.2439150029069716E-2</v>
      </c>
      <c r="CX19">
        <v>0</v>
      </c>
      <c r="CY19">
        <v>1.7464661490604546E-2</v>
      </c>
      <c r="CZ19">
        <v>0.22393970872843424</v>
      </c>
      <c r="DA19">
        <v>0.30639452785141297</v>
      </c>
      <c r="DB19">
        <v>0.13347456800050125</v>
      </c>
      <c r="DC19">
        <v>3.3450205883574216E-3</v>
      </c>
      <c r="DE19" t="s">
        <v>288</v>
      </c>
      <c r="DF19" t="s">
        <v>111</v>
      </c>
      <c r="DG19" t="s">
        <v>112</v>
      </c>
      <c r="DH19">
        <v>0.42064070091229161</v>
      </c>
    </row>
    <row r="20" spans="2:112" x14ac:dyDescent="0.45">
      <c r="B20" t="s">
        <v>289</v>
      </c>
      <c r="C20" t="s">
        <v>107</v>
      </c>
      <c r="D20">
        <v>0</v>
      </c>
      <c r="E20">
        <v>0</v>
      </c>
      <c r="F20">
        <v>0.54436607106047141</v>
      </c>
      <c r="G20">
        <v>0.38624253463771935</v>
      </c>
      <c r="H20">
        <v>0.54368219228935599</v>
      </c>
      <c r="I20">
        <v>0.96752216997750617</v>
      </c>
      <c r="J20">
        <v>0.97826086956521752</v>
      </c>
      <c r="K20">
        <v>0.60281772827871405</v>
      </c>
      <c r="L20">
        <v>0.21844859393302418</v>
      </c>
      <c r="M20">
        <v>0.17417399035815165</v>
      </c>
      <c r="N20">
        <v>0.21113983411343831</v>
      </c>
      <c r="O20">
        <v>0.50738619702460375</v>
      </c>
      <c r="P20">
        <v>0.92266756207901968</v>
      </c>
      <c r="Q20">
        <v>0.47405477549707725</v>
      </c>
      <c r="R20">
        <v>0.19371009857854243</v>
      </c>
      <c r="S20">
        <v>0.15318674219101777</v>
      </c>
      <c r="T20">
        <v>0.19403279113730906</v>
      </c>
      <c r="U20">
        <v>0.36523398380824001</v>
      </c>
      <c r="V20">
        <v>0</v>
      </c>
      <c r="W20">
        <v>0.82802801099896928</v>
      </c>
      <c r="X20">
        <v>0.35171993330956275</v>
      </c>
      <c r="Y20">
        <v>0.26348452881605344</v>
      </c>
      <c r="Z20">
        <v>0.36389193763581318</v>
      </c>
      <c r="AA20">
        <v>0.84553705629492093</v>
      </c>
      <c r="CE20" t="s">
        <v>289</v>
      </c>
      <c r="CF20">
        <v>0</v>
      </c>
      <c r="CG20">
        <v>0</v>
      </c>
      <c r="CH20">
        <v>6.4833725956517013E-2</v>
      </c>
      <c r="CI20">
        <v>0.17329836129856921</v>
      </c>
      <c r="CJ20">
        <v>7.6711823457278089E-2</v>
      </c>
      <c r="CK20">
        <v>8.4651706122566795E-4</v>
      </c>
      <c r="CL20">
        <v>3.377010336309543E-5</v>
      </c>
      <c r="CM20">
        <v>4.2441328651078553E-2</v>
      </c>
      <c r="CN20">
        <v>0.35489886799143211</v>
      </c>
      <c r="CO20">
        <v>0.50292823506732576</v>
      </c>
      <c r="CP20">
        <v>0.34022099336144923</v>
      </c>
      <c r="CQ20">
        <v>5.3893970790734741E-2</v>
      </c>
      <c r="CR20">
        <v>4.8230276351077743E-4</v>
      </c>
      <c r="CS20">
        <v>5.6640396166585068E-2</v>
      </c>
      <c r="CT20">
        <v>0.32385917327550112</v>
      </c>
      <c r="CU20">
        <v>0.46761640637259938</v>
      </c>
      <c r="CV20">
        <v>0.35410132095244473</v>
      </c>
      <c r="CW20">
        <v>8.7064386066692506E-2</v>
      </c>
      <c r="CX20">
        <v>0</v>
      </c>
      <c r="CY20">
        <v>7.0606080476983534E-3</v>
      </c>
      <c r="CZ20">
        <v>0.1630399926760866</v>
      </c>
      <c r="DA20">
        <v>0.28086989749363916</v>
      </c>
      <c r="DB20">
        <v>0.14264888695915684</v>
      </c>
      <c r="DC20">
        <v>6.6900141649783966E-3</v>
      </c>
      <c r="DE20" t="s">
        <v>289</v>
      </c>
      <c r="DF20" t="s">
        <v>111</v>
      </c>
      <c r="DG20" t="s">
        <v>112</v>
      </c>
      <c r="DH20">
        <v>0.45804606840260992</v>
      </c>
    </row>
    <row r="21" spans="2:112" x14ac:dyDescent="0.45">
      <c r="B21" t="s">
        <v>290</v>
      </c>
      <c r="C21" t="s">
        <v>107</v>
      </c>
      <c r="D21">
        <v>0</v>
      </c>
      <c r="E21">
        <v>0</v>
      </c>
      <c r="F21">
        <v>0.54132797141357158</v>
      </c>
      <c r="G21">
        <v>0.36531499793418931</v>
      </c>
      <c r="H21">
        <v>0.57388361149594314</v>
      </c>
      <c r="I21">
        <v>0.9740740740740742</v>
      </c>
      <c r="J21">
        <v>0.97848035955361989</v>
      </c>
      <c r="K21">
        <v>0.59037690608681836</v>
      </c>
      <c r="L21">
        <v>0.21217961073716923</v>
      </c>
      <c r="M21">
        <v>0.15767174527136463</v>
      </c>
      <c r="N21">
        <v>0.20160031032371656</v>
      </c>
      <c r="O21">
        <v>0.50238961138276539</v>
      </c>
      <c r="P21">
        <v>0.91943060544485622</v>
      </c>
      <c r="Q21">
        <v>0.4573434728508764</v>
      </c>
      <c r="R21">
        <v>0.20187934836437935</v>
      </c>
      <c r="S21">
        <v>0.15458818390793055</v>
      </c>
      <c r="T21">
        <v>0.17774409770639873</v>
      </c>
      <c r="U21">
        <v>0.35750510710448163</v>
      </c>
      <c r="V21">
        <v>0</v>
      </c>
      <c r="W21">
        <v>0.82400937240574179</v>
      </c>
      <c r="X21">
        <v>0.35960169490411614</v>
      </c>
      <c r="Y21">
        <v>0.26263406561407299</v>
      </c>
      <c r="Z21">
        <v>0.3949716221454056</v>
      </c>
      <c r="AA21">
        <v>0.85370795850039205</v>
      </c>
      <c r="CE21" t="s">
        <v>290</v>
      </c>
      <c r="CF21">
        <v>0</v>
      </c>
      <c r="CG21">
        <v>0</v>
      </c>
      <c r="CH21">
        <v>7.2810744441011446E-2</v>
      </c>
      <c r="CI21">
        <v>0.18634827854031183</v>
      </c>
      <c r="CJ21">
        <v>7.5451772460697356E-2</v>
      </c>
      <c r="CK21">
        <v>7.1942473512098793E-4</v>
      </c>
      <c r="CL21">
        <v>4.2904393778559708E-5</v>
      </c>
      <c r="CM21">
        <v>4.5422268814196629E-2</v>
      </c>
      <c r="CN21">
        <v>0.35934935375989069</v>
      </c>
      <c r="CO21">
        <v>0.51073892736797366</v>
      </c>
      <c r="CP21">
        <v>0.34330601281912698</v>
      </c>
      <c r="CQ21">
        <v>5.2083869925170549E-2</v>
      </c>
      <c r="CR21">
        <v>4.7356350146143968E-4</v>
      </c>
      <c r="CS21">
        <v>5.6694635622275232E-2</v>
      </c>
      <c r="CT21">
        <v>0.30557219353017051</v>
      </c>
      <c r="CU21">
        <v>0.44106482078670739</v>
      </c>
      <c r="CV21">
        <v>0.33199791688224872</v>
      </c>
      <c r="CW21">
        <v>7.9644070743834922E-2</v>
      </c>
      <c r="CX21">
        <v>0</v>
      </c>
      <c r="CY21">
        <v>7.507023092560427E-3</v>
      </c>
      <c r="CZ21">
        <v>0.1504267944355962</v>
      </c>
      <c r="DA21">
        <v>0.25837209779193837</v>
      </c>
      <c r="DB21">
        <v>0.12488605218775758</v>
      </c>
      <c r="DC21">
        <v>5.8062946751620227E-3</v>
      </c>
      <c r="DE21" t="s">
        <v>290</v>
      </c>
      <c r="DF21" t="s">
        <v>111</v>
      </c>
      <c r="DG21" t="s">
        <v>112</v>
      </c>
      <c r="DH21">
        <v>0.45795216611997358</v>
      </c>
    </row>
    <row r="22" spans="2:112" x14ac:dyDescent="0.45">
      <c r="B22" t="s">
        <v>291</v>
      </c>
      <c r="C22" t="s">
        <v>107</v>
      </c>
      <c r="D22">
        <v>0</v>
      </c>
      <c r="E22">
        <v>0.98888888888888882</v>
      </c>
      <c r="F22">
        <v>0.47322770585847806</v>
      </c>
      <c r="G22">
        <v>0.31746930764417775</v>
      </c>
      <c r="H22">
        <v>0.56529509596906458</v>
      </c>
      <c r="I22">
        <v>0</v>
      </c>
      <c r="J22">
        <v>0.9766396523335783</v>
      </c>
      <c r="K22">
        <v>0.55495196323750873</v>
      </c>
      <c r="L22">
        <v>0.19156506732615705</v>
      </c>
      <c r="M22">
        <v>0.14844063652227305</v>
      </c>
      <c r="N22">
        <v>0.20808572336394118</v>
      </c>
      <c r="O22">
        <v>0.53732984475161738</v>
      </c>
      <c r="P22">
        <v>0.89475901315308792</v>
      </c>
      <c r="Q22">
        <v>0.42152112971263644</v>
      </c>
      <c r="R22">
        <v>0.17014832125900525</v>
      </c>
      <c r="S22">
        <v>0.14671523958213012</v>
      </c>
      <c r="T22">
        <v>0.16674083722128866</v>
      </c>
      <c r="U22">
        <v>0.3674595777487687</v>
      </c>
      <c r="V22">
        <v>0</v>
      </c>
      <c r="W22">
        <v>0.79838708373406853</v>
      </c>
      <c r="X22">
        <v>0.34149718587943417</v>
      </c>
      <c r="Y22">
        <v>0.26699189673648976</v>
      </c>
      <c r="Z22">
        <v>0.4525322881861864</v>
      </c>
      <c r="AA22">
        <v>0.87597445053980927</v>
      </c>
      <c r="CE22" t="s">
        <v>291</v>
      </c>
      <c r="CF22">
        <v>0</v>
      </c>
      <c r="CG22">
        <v>1.8103966184582841E-4</v>
      </c>
      <c r="CH22">
        <v>8.575133941656253E-2</v>
      </c>
      <c r="CI22">
        <v>0.19998897022273918</v>
      </c>
      <c r="CJ22">
        <v>6.9512136608087374E-2</v>
      </c>
      <c r="CK22">
        <v>0</v>
      </c>
      <c r="CL22">
        <v>2.4957497473595065E-5</v>
      </c>
      <c r="CM22">
        <v>5.8570074031196351E-2</v>
      </c>
      <c r="CN22">
        <v>0.3827896469405101</v>
      </c>
      <c r="CO22">
        <v>0.51597076046867896</v>
      </c>
      <c r="CP22">
        <v>0.32925956253259386</v>
      </c>
      <c r="CQ22">
        <v>4.050572253009288E-2</v>
      </c>
      <c r="CR22">
        <v>3.4615968131540532E-4</v>
      </c>
      <c r="CS22">
        <v>7.4159327099262665E-2</v>
      </c>
      <c r="CT22">
        <v>0.33597211500948065</v>
      </c>
      <c r="CU22">
        <v>0.45007756318078956</v>
      </c>
      <c r="CV22">
        <v>0.3346945965696359</v>
      </c>
      <c r="CW22">
        <v>6.9418739967415946E-2</v>
      </c>
      <c r="CX22">
        <v>0</v>
      </c>
      <c r="CY22">
        <v>9.3141289736823792E-3</v>
      </c>
      <c r="CZ22">
        <v>0.16077995033540593</v>
      </c>
      <c r="DA22">
        <v>0.25544011654078347</v>
      </c>
      <c r="DB22">
        <v>0.11133326663245424</v>
      </c>
      <c r="DC22">
        <v>4.0839601588618536E-3</v>
      </c>
      <c r="DE22" t="s">
        <v>291</v>
      </c>
      <c r="DF22" t="s">
        <v>111</v>
      </c>
      <c r="DG22" t="s">
        <v>112</v>
      </c>
      <c r="DH22">
        <v>0.46893560281046032</v>
      </c>
    </row>
    <row r="23" spans="2:112" x14ac:dyDescent="0.45">
      <c r="B23" t="s">
        <v>292</v>
      </c>
      <c r="C23" t="s">
        <v>107</v>
      </c>
      <c r="D23">
        <v>0</v>
      </c>
      <c r="E23">
        <v>0.99444444444444469</v>
      </c>
      <c r="F23">
        <v>0.52375543227681221</v>
      </c>
      <c r="G23">
        <v>0.37184846420633971</v>
      </c>
      <c r="H23">
        <v>0.57205354745082082</v>
      </c>
      <c r="I23">
        <v>0.98592066552114743</v>
      </c>
      <c r="J23">
        <v>0.9864130434782612</v>
      </c>
      <c r="K23">
        <v>0.57793490100889011</v>
      </c>
      <c r="L23">
        <v>0.22636661645779652</v>
      </c>
      <c r="M23">
        <v>0.18522040219479435</v>
      </c>
      <c r="N23">
        <v>0.22097025587130983</v>
      </c>
      <c r="O23">
        <v>0.52488355609321358</v>
      </c>
      <c r="P23">
        <v>0.93143875964895839</v>
      </c>
      <c r="Q23">
        <v>0.46408651020450548</v>
      </c>
      <c r="R23">
        <v>0.20325818646864621</v>
      </c>
      <c r="S23">
        <v>0.1898920819723118</v>
      </c>
      <c r="T23">
        <v>0.20269835361913946</v>
      </c>
      <c r="U23">
        <v>0.3681971669463221</v>
      </c>
      <c r="V23">
        <v>0</v>
      </c>
      <c r="W23">
        <v>0.81455503223388814</v>
      </c>
      <c r="X23">
        <v>0.34643376098568096</v>
      </c>
      <c r="Y23">
        <v>0.2660323599961108</v>
      </c>
      <c r="Z23">
        <v>0.42367353851169931</v>
      </c>
      <c r="AA23">
        <v>0.86862873793661732</v>
      </c>
      <c r="CE23" t="s">
        <v>292</v>
      </c>
      <c r="CF23">
        <v>0</v>
      </c>
      <c r="CG23">
        <v>1.459205684925374E-4</v>
      </c>
      <c r="CH23">
        <v>7.4733309752352178E-2</v>
      </c>
      <c r="CI23">
        <v>0.18910263719356116</v>
      </c>
      <c r="CJ23">
        <v>7.582586164747146E-2</v>
      </c>
      <c r="CK23">
        <v>3.0591896433393732E-4</v>
      </c>
      <c r="CL23">
        <v>9.7255102993095521E-6</v>
      </c>
      <c r="CM23">
        <v>4.5285258375354291E-2</v>
      </c>
      <c r="CN23">
        <v>0.3147245959797127</v>
      </c>
      <c r="CO23">
        <v>0.41632303460728554</v>
      </c>
      <c r="CP23">
        <v>0.26992761836485923</v>
      </c>
      <c r="CQ23">
        <v>3.9294348866854741E-2</v>
      </c>
      <c r="CR23">
        <v>2.2463169746171727E-4</v>
      </c>
      <c r="CS23">
        <v>6.2732337098741223E-2</v>
      </c>
      <c r="CT23">
        <v>0.30955298378747892</v>
      </c>
      <c r="CU23">
        <v>0.40040649658680383</v>
      </c>
      <c r="CV23">
        <v>0.29269946652416279</v>
      </c>
      <c r="CW23">
        <v>6.6312805088699314E-2</v>
      </c>
      <c r="CX23">
        <v>0</v>
      </c>
      <c r="CY23">
        <v>8.1586069903305802E-3</v>
      </c>
      <c r="CZ23">
        <v>0.15533235176083679</v>
      </c>
      <c r="DA23">
        <v>0.23723936442828397</v>
      </c>
      <c r="DB23">
        <v>0.10762020950252833</v>
      </c>
      <c r="DC23">
        <v>4.0508283311760764E-3</v>
      </c>
      <c r="DE23" t="s">
        <v>292</v>
      </c>
      <c r="DF23" t="s">
        <v>111</v>
      </c>
      <c r="DG23" t="s">
        <v>112</v>
      </c>
      <c r="DH23">
        <v>0.38731854376479441</v>
      </c>
    </row>
    <row r="24" spans="2:112" x14ac:dyDescent="0.45">
      <c r="B24" t="s">
        <v>293</v>
      </c>
      <c r="C24" t="s">
        <v>107</v>
      </c>
      <c r="D24">
        <v>0</v>
      </c>
      <c r="E24">
        <v>0.99166666666666681</v>
      </c>
      <c r="F24">
        <v>0.47468877072094656</v>
      </c>
      <c r="G24">
        <v>0.3112802715120917</v>
      </c>
      <c r="H24">
        <v>0.55271443372083229</v>
      </c>
      <c r="I24">
        <v>0.98843689722028605</v>
      </c>
      <c r="J24">
        <v>0.98413466613494738</v>
      </c>
      <c r="K24">
        <v>0.56103473930150305</v>
      </c>
      <c r="L24">
        <v>0.19578393943722891</v>
      </c>
      <c r="M24">
        <v>0.1682745353114824</v>
      </c>
      <c r="N24">
        <v>0.21618420383192577</v>
      </c>
      <c r="O24">
        <v>0.52343924172269696</v>
      </c>
      <c r="P24">
        <v>0.91854478540178974</v>
      </c>
      <c r="Q24">
        <v>0.43547510969810937</v>
      </c>
      <c r="R24">
        <v>0.16864220650346101</v>
      </c>
      <c r="S24">
        <v>0.14740205176612658</v>
      </c>
      <c r="T24">
        <v>0.17931730381821953</v>
      </c>
      <c r="U24">
        <v>0.37012221624480562</v>
      </c>
      <c r="V24">
        <v>0</v>
      </c>
      <c r="W24">
        <v>0.8112482678208518</v>
      </c>
      <c r="X24">
        <v>0.33719828862918744</v>
      </c>
      <c r="Y24">
        <v>0.25393745845699461</v>
      </c>
      <c r="Z24">
        <v>0.43255815169986511</v>
      </c>
      <c r="AA24">
        <v>0.87167147970778314</v>
      </c>
      <c r="CE24" t="s">
        <v>293</v>
      </c>
      <c r="CF24">
        <v>0</v>
      </c>
      <c r="CG24">
        <v>8.3623855645871195E-5</v>
      </c>
      <c r="CH24">
        <v>8.9673096699751528E-2</v>
      </c>
      <c r="CI24">
        <v>0.20907308923082402</v>
      </c>
      <c r="CJ24">
        <v>7.6012677657286448E-2</v>
      </c>
      <c r="CK24">
        <v>5.9566288074802828E-5</v>
      </c>
      <c r="CL24">
        <v>2.4826918992867528E-5</v>
      </c>
      <c r="CM24">
        <v>5.3831867491493664E-2</v>
      </c>
      <c r="CN24">
        <v>0.35732834882673309</v>
      </c>
      <c r="CO24">
        <v>0.46872127150159565</v>
      </c>
      <c r="CP24">
        <v>0.30314287400649692</v>
      </c>
      <c r="CQ24">
        <v>4.2047455579804861E-2</v>
      </c>
      <c r="CR24">
        <v>3.2381680619723857E-4</v>
      </c>
      <c r="CS24">
        <v>7.025942683760858E-2</v>
      </c>
      <c r="CT24">
        <v>0.33271426890946576</v>
      </c>
      <c r="CU24">
        <v>0.43720878851352957</v>
      </c>
      <c r="CV24">
        <v>0.32118587901349405</v>
      </c>
      <c r="CW24">
        <v>6.996259688077508E-2</v>
      </c>
      <c r="CX24">
        <v>0</v>
      </c>
      <c r="CY24">
        <v>9.5063551744121368E-3</v>
      </c>
      <c r="CZ24">
        <v>0.172404293145869</v>
      </c>
      <c r="DA24">
        <v>0.26652194717319083</v>
      </c>
      <c r="DB24">
        <v>0.11574980844726326</v>
      </c>
      <c r="DC24">
        <v>4.5109679383258721E-3</v>
      </c>
      <c r="DE24" t="s">
        <v>293</v>
      </c>
      <c r="DF24" t="s">
        <v>111</v>
      </c>
      <c r="DG24" t="s">
        <v>112</v>
      </c>
      <c r="DH24">
        <v>0.40637608411713311</v>
      </c>
    </row>
    <row r="25" spans="2:112" x14ac:dyDescent="0.45">
      <c r="B25" t="s">
        <v>294</v>
      </c>
      <c r="C25" t="s">
        <v>107</v>
      </c>
      <c r="D25">
        <v>0</v>
      </c>
      <c r="E25">
        <v>0.98611111111111105</v>
      </c>
      <c r="F25">
        <v>0.45495254755631809</v>
      </c>
      <c r="G25">
        <v>0.3024191238369176</v>
      </c>
      <c r="H25">
        <v>0.52762033172338119</v>
      </c>
      <c r="I25">
        <v>0.9888888888888886</v>
      </c>
      <c r="J25">
        <v>0.98913043478260854</v>
      </c>
      <c r="K25">
        <v>0.55813977591228081</v>
      </c>
      <c r="L25">
        <v>0.19855796745600562</v>
      </c>
      <c r="M25">
        <v>0.15189036634923564</v>
      </c>
      <c r="N25">
        <v>0.20010773349052319</v>
      </c>
      <c r="O25">
        <v>0.53294830068672983</v>
      </c>
      <c r="P25">
        <v>0.93042671262798116</v>
      </c>
      <c r="Q25">
        <v>0.44092851641048975</v>
      </c>
      <c r="R25">
        <v>0.15415661151052026</v>
      </c>
      <c r="S25">
        <v>0.14115025210088647</v>
      </c>
      <c r="T25">
        <v>0.16258722184756175</v>
      </c>
      <c r="U25">
        <v>0.36955419655427751</v>
      </c>
      <c r="V25">
        <v>0</v>
      </c>
      <c r="W25">
        <v>0.78561680943741674</v>
      </c>
      <c r="X25">
        <v>0.2906370874312007</v>
      </c>
      <c r="Y25">
        <v>0.21371010804897514</v>
      </c>
      <c r="Z25">
        <v>0.37748697086516458</v>
      </c>
      <c r="AA25">
        <v>0.8708602469933282</v>
      </c>
      <c r="CE25" t="s">
        <v>294</v>
      </c>
      <c r="CF25">
        <v>0</v>
      </c>
      <c r="CG25">
        <v>4.955445994317731E-4</v>
      </c>
      <c r="CH25">
        <v>0.10212196866693812</v>
      </c>
      <c r="CI25">
        <v>0.22724130552970312</v>
      </c>
      <c r="CJ25">
        <v>8.3401067392490522E-2</v>
      </c>
      <c r="CK25">
        <v>6.2897115391170758E-5</v>
      </c>
      <c r="CL25">
        <v>3.0496962178189076E-6</v>
      </c>
      <c r="CM25">
        <v>5.5646082563095209E-2</v>
      </c>
      <c r="CN25">
        <v>0.34860171003044021</v>
      </c>
      <c r="CO25">
        <v>0.44444483228925308</v>
      </c>
      <c r="CP25">
        <v>0.287717363822102</v>
      </c>
      <c r="CQ25">
        <v>3.8075699262643758E-2</v>
      </c>
      <c r="CR25">
        <v>1.7118815324125108E-4</v>
      </c>
      <c r="CS25">
        <v>7.6539841903681752E-2</v>
      </c>
      <c r="CT25">
        <v>0.35414748569613702</v>
      </c>
      <c r="CU25">
        <v>0.44680320234576026</v>
      </c>
      <c r="CV25">
        <v>0.31970942564578597</v>
      </c>
      <c r="CW25">
        <v>6.8486450163706941E-2</v>
      </c>
      <c r="CX25">
        <v>0</v>
      </c>
      <c r="CY25">
        <v>1.1671615608413002E-2</v>
      </c>
      <c r="CZ25">
        <v>0.20137152450955553</v>
      </c>
      <c r="DA25">
        <v>0.28447249697382565</v>
      </c>
      <c r="DB25">
        <v>0.12282367033971553</v>
      </c>
      <c r="DC25">
        <v>4.4090225465533194E-3</v>
      </c>
      <c r="DE25" t="s">
        <v>294</v>
      </c>
      <c r="DF25" t="s">
        <v>111</v>
      </c>
      <c r="DG25" t="s">
        <v>112</v>
      </c>
      <c r="DH25">
        <v>0.39481920650418639</v>
      </c>
    </row>
    <row r="26" spans="2:112" x14ac:dyDescent="0.45">
      <c r="B26" t="s">
        <v>295</v>
      </c>
      <c r="C26" t="s">
        <v>107</v>
      </c>
      <c r="D26">
        <v>0</v>
      </c>
      <c r="E26">
        <v>0.98266580536533477</v>
      </c>
      <c r="F26">
        <v>0.48159832411363046</v>
      </c>
      <c r="G26">
        <v>0.32899365572023787</v>
      </c>
      <c r="H26">
        <v>0.50756808352802951</v>
      </c>
      <c r="I26">
        <v>0.97770783648435888</v>
      </c>
      <c r="J26">
        <v>0.99728260869565211</v>
      </c>
      <c r="K26">
        <v>0.58273275167457972</v>
      </c>
      <c r="L26">
        <v>0.22471935974657981</v>
      </c>
      <c r="M26">
        <v>0.18207935807996881</v>
      </c>
      <c r="N26">
        <v>0.20937902272593004</v>
      </c>
      <c r="O26">
        <v>0.53763444726200871</v>
      </c>
      <c r="P26">
        <v>0.93677285796245913</v>
      </c>
      <c r="Q26">
        <v>0.45583680532072907</v>
      </c>
      <c r="R26">
        <v>0.17166996867949566</v>
      </c>
      <c r="S26">
        <v>0.15600929744074388</v>
      </c>
      <c r="T26">
        <v>0.16859774204613184</v>
      </c>
      <c r="U26">
        <v>0.3902467155957387</v>
      </c>
      <c r="V26">
        <v>0</v>
      </c>
      <c r="W26">
        <v>0.78826340330696687</v>
      </c>
      <c r="X26">
        <v>0.28485457521166957</v>
      </c>
      <c r="Y26">
        <v>0.22983080014183227</v>
      </c>
      <c r="Z26">
        <v>0.36046856840168467</v>
      </c>
      <c r="AA26">
        <v>0.86769117118160699</v>
      </c>
      <c r="CE26" t="s">
        <v>295</v>
      </c>
      <c r="CF26">
        <v>0</v>
      </c>
      <c r="CG26">
        <v>4.8690320522011202E-4</v>
      </c>
      <c r="CH26">
        <v>0.10616018271678374</v>
      </c>
      <c r="CI26">
        <v>0.23080842708417929</v>
      </c>
      <c r="CJ26">
        <v>9.3206703904217064E-2</v>
      </c>
      <c r="CK26">
        <v>6.5283074165809602E-4</v>
      </c>
      <c r="CL26">
        <v>1.8955220680891107E-7</v>
      </c>
      <c r="CM26">
        <v>5.0333537387979188E-2</v>
      </c>
      <c r="CN26">
        <v>0.33179288369708737</v>
      </c>
      <c r="CO26">
        <v>0.43398089604936552</v>
      </c>
      <c r="CP26">
        <v>0.29304305431445171</v>
      </c>
      <c r="CQ26">
        <v>4.1281457290053676E-2</v>
      </c>
      <c r="CR26">
        <v>7.3864448940118895E-5</v>
      </c>
      <c r="CS26">
        <v>6.7836917419372048E-2</v>
      </c>
      <c r="CT26">
        <v>0.34198698946396933</v>
      </c>
      <c r="CU26">
        <v>0.44429303546769727</v>
      </c>
      <c r="CV26">
        <v>0.32211625984914904</v>
      </c>
      <c r="CW26">
        <v>6.8176900311211014E-2</v>
      </c>
      <c r="CX26">
        <v>0</v>
      </c>
      <c r="CY26">
        <v>9.9111698456176185E-3</v>
      </c>
      <c r="CZ26">
        <v>0.19419369181725654</v>
      </c>
      <c r="DA26">
        <v>0.28876006176010577</v>
      </c>
      <c r="DB26">
        <v>0.13408010661101599</v>
      </c>
      <c r="DC26">
        <v>4.8754808205550334E-3</v>
      </c>
      <c r="DE26" t="s">
        <v>295</v>
      </c>
      <c r="DF26" t="s">
        <v>111</v>
      </c>
      <c r="DG26" t="s">
        <v>112</v>
      </c>
      <c r="DH26">
        <v>0.41476357805556929</v>
      </c>
    </row>
    <row r="27" spans="2:112" x14ac:dyDescent="0.45">
      <c r="B27" t="s">
        <v>296</v>
      </c>
      <c r="C27" t="s">
        <v>107</v>
      </c>
      <c r="D27">
        <v>0</v>
      </c>
      <c r="E27">
        <v>0.97808214896611012</v>
      </c>
      <c r="F27">
        <v>0.4345038837504992</v>
      </c>
      <c r="G27">
        <v>0.2952847831457186</v>
      </c>
      <c r="H27">
        <v>0.52186195250770506</v>
      </c>
      <c r="I27">
        <v>0.9925925925925928</v>
      </c>
      <c r="J27">
        <v>0</v>
      </c>
      <c r="K27">
        <v>0.56584482575901018</v>
      </c>
      <c r="L27">
        <v>0.22516643348003165</v>
      </c>
      <c r="M27">
        <v>0.18758513215997988</v>
      </c>
      <c r="N27">
        <v>0.20627756615975018</v>
      </c>
      <c r="O27">
        <v>0.53851071136871242</v>
      </c>
      <c r="P27">
        <v>0.94787875510738517</v>
      </c>
      <c r="Q27">
        <v>0.45462324539085486</v>
      </c>
      <c r="R27">
        <v>0.15781728167282427</v>
      </c>
      <c r="S27">
        <v>0.15419607744385766</v>
      </c>
      <c r="T27">
        <v>0.18048968206341423</v>
      </c>
      <c r="U27">
        <v>0.39690774306653293</v>
      </c>
      <c r="V27">
        <v>0</v>
      </c>
      <c r="W27">
        <v>0.77609151478284799</v>
      </c>
      <c r="X27">
        <v>0.28874911146150956</v>
      </c>
      <c r="Y27">
        <v>0.2342653888235357</v>
      </c>
      <c r="Z27">
        <v>0.38660358118062355</v>
      </c>
      <c r="AA27">
        <v>0.87725693704269259</v>
      </c>
      <c r="CE27" t="s">
        <v>296</v>
      </c>
      <c r="CF27">
        <v>0</v>
      </c>
      <c r="CG27">
        <v>7.245791059088154E-4</v>
      </c>
      <c r="CH27">
        <v>0.12107501627664211</v>
      </c>
      <c r="CI27">
        <v>0.23736145071706158</v>
      </c>
      <c r="CJ27">
        <v>8.3525276336895438E-2</v>
      </c>
      <c r="CK27">
        <v>5.2825006910250058E-5</v>
      </c>
      <c r="CL27">
        <v>0</v>
      </c>
      <c r="CM27">
        <v>5.6531628114216186E-2</v>
      </c>
      <c r="CN27">
        <v>0.3404281209050336</v>
      </c>
      <c r="CO27">
        <v>0.43255429923864547</v>
      </c>
      <c r="CP27">
        <v>0.28546487835083234</v>
      </c>
      <c r="CQ27">
        <v>3.6998954971349474E-2</v>
      </c>
      <c r="CR27">
        <v>3.844758456604848E-5</v>
      </c>
      <c r="CS27">
        <v>7.8113478011318155E-2</v>
      </c>
      <c r="CT27">
        <v>0.36899012634389949</v>
      </c>
      <c r="CU27">
        <v>0.44819065798019925</v>
      </c>
      <c r="CV27">
        <v>0.30627295227274781</v>
      </c>
      <c r="CW27">
        <v>6.2114209484837986E-2</v>
      </c>
      <c r="CX27">
        <v>0</v>
      </c>
      <c r="CY27">
        <v>1.3576805635491331E-2</v>
      </c>
      <c r="CZ27">
        <v>0.21198793668969512</v>
      </c>
      <c r="DA27">
        <v>0.29181339867427841</v>
      </c>
      <c r="DB27">
        <v>0.12758508934766749</v>
      </c>
      <c r="DC27">
        <v>3.9677715590042354E-3</v>
      </c>
      <c r="DE27" t="s">
        <v>296</v>
      </c>
      <c r="DF27" t="s">
        <v>111</v>
      </c>
      <c r="DG27" t="s">
        <v>112</v>
      </c>
      <c r="DH27">
        <v>0.40791163357710281</v>
      </c>
    </row>
    <row r="28" spans="2:112" x14ac:dyDescent="0.45">
      <c r="B28" t="s">
        <v>297</v>
      </c>
      <c r="C28" t="s">
        <v>107</v>
      </c>
      <c r="D28">
        <v>0</v>
      </c>
      <c r="E28">
        <v>0.97661209113014136</v>
      </c>
      <c r="F28">
        <v>0.4366062158559888</v>
      </c>
      <c r="G28">
        <v>0.29551400032618469</v>
      </c>
      <c r="H28">
        <v>0.49371429546232865</v>
      </c>
      <c r="I28">
        <v>0.98879359529805932</v>
      </c>
      <c r="J28">
        <v>0</v>
      </c>
      <c r="K28">
        <v>0.5676354541361387</v>
      </c>
      <c r="L28">
        <v>0.22207538937306123</v>
      </c>
      <c r="M28">
        <v>0.18717550319543705</v>
      </c>
      <c r="N28">
        <v>0.21157364471498333</v>
      </c>
      <c r="O28">
        <v>0.54727951520190732</v>
      </c>
      <c r="P28">
        <v>0.96603260869565211</v>
      </c>
      <c r="Q28">
        <v>0.46030195033122079</v>
      </c>
      <c r="R28">
        <v>0.16524151240969842</v>
      </c>
      <c r="S28">
        <v>0.13897103646127379</v>
      </c>
      <c r="T28">
        <v>0.17120818200677193</v>
      </c>
      <c r="U28">
        <v>0.41187409502644445</v>
      </c>
      <c r="V28">
        <v>0</v>
      </c>
      <c r="W28">
        <v>0.76847971665680714</v>
      </c>
      <c r="X28">
        <v>0.28385598829751901</v>
      </c>
      <c r="Y28">
        <v>0.21577123358125475</v>
      </c>
      <c r="Z28">
        <v>0.35530101583442536</v>
      </c>
      <c r="AA28">
        <v>0.87044285309177172</v>
      </c>
      <c r="CE28" t="s">
        <v>297</v>
      </c>
      <c r="CF28">
        <v>0</v>
      </c>
      <c r="CG28">
        <v>8.1876607536008836E-4</v>
      </c>
      <c r="CH28">
        <v>0.11509519263205242</v>
      </c>
      <c r="CI28">
        <v>0.22971066643528146</v>
      </c>
      <c r="CJ28">
        <v>8.7846263304240058E-2</v>
      </c>
      <c r="CK28">
        <v>2.9360433249462129E-4</v>
      </c>
      <c r="CL28">
        <v>0</v>
      </c>
      <c r="CM28">
        <v>5.3400833320074212E-2</v>
      </c>
      <c r="CN28">
        <v>0.33917242871100323</v>
      </c>
      <c r="CO28">
        <v>0.42599112509519094</v>
      </c>
      <c r="CP28">
        <v>0.28878743021046183</v>
      </c>
      <c r="CQ28">
        <v>3.5504684184178202E-2</v>
      </c>
      <c r="CR28">
        <v>1.054471617090826E-5</v>
      </c>
      <c r="CS28">
        <v>7.3903814616537181E-2</v>
      </c>
      <c r="CT28">
        <v>0.3606319052954195</v>
      </c>
      <c r="CU28">
        <v>0.45235093184978342</v>
      </c>
      <c r="CV28">
        <v>0.30986185123489074</v>
      </c>
      <c r="CW28">
        <v>5.9953603251935585E-2</v>
      </c>
      <c r="CX28">
        <v>0</v>
      </c>
      <c r="CY28">
        <v>1.1658502334660701E-2</v>
      </c>
      <c r="CZ28">
        <v>0.19720862757371382</v>
      </c>
      <c r="DA28">
        <v>0.28715263158167126</v>
      </c>
      <c r="DB28">
        <v>0.12737736851089235</v>
      </c>
      <c r="DC28">
        <v>3.9893201185908994E-3</v>
      </c>
      <c r="DE28" t="s">
        <v>297</v>
      </c>
      <c r="DF28" t="s">
        <v>111</v>
      </c>
      <c r="DG28" t="s">
        <v>112</v>
      </c>
      <c r="DH28">
        <v>0.40571894996060381</v>
      </c>
    </row>
    <row r="29" spans="2:112" x14ac:dyDescent="0.45">
      <c r="B29" t="s">
        <v>298</v>
      </c>
      <c r="C29" t="s">
        <v>107</v>
      </c>
      <c r="D29">
        <v>0</v>
      </c>
      <c r="E29">
        <v>0.99314522344461231</v>
      </c>
      <c r="F29">
        <v>0.50741361223152148</v>
      </c>
      <c r="G29">
        <v>0.31764569019521233</v>
      </c>
      <c r="H29">
        <v>0.46981135890017822</v>
      </c>
      <c r="I29">
        <v>0.95469245593320295</v>
      </c>
      <c r="J29">
        <v>0.9905127215196694</v>
      </c>
      <c r="K29">
        <v>0.6196262027538918</v>
      </c>
      <c r="L29">
        <v>0.24334291166800992</v>
      </c>
      <c r="M29">
        <v>0.18971522212933617</v>
      </c>
      <c r="N29">
        <v>0.20168113761193684</v>
      </c>
      <c r="O29">
        <v>0.50201353350801536</v>
      </c>
      <c r="P29">
        <v>0.93548938092424005</v>
      </c>
      <c r="Q29">
        <v>0.48462410779295495</v>
      </c>
      <c r="R29">
        <v>0.19341252023499342</v>
      </c>
      <c r="S29">
        <v>0.16016929520263576</v>
      </c>
      <c r="T29">
        <v>0.17488471319243293</v>
      </c>
      <c r="U29">
        <v>0.3672751632842633</v>
      </c>
      <c r="V29">
        <v>0</v>
      </c>
      <c r="W29">
        <v>0.81600103829528248</v>
      </c>
      <c r="X29">
        <v>0.31002801308735461</v>
      </c>
      <c r="Y29">
        <v>0.22771568108159035</v>
      </c>
      <c r="Z29">
        <v>0.34459285679686935</v>
      </c>
      <c r="AA29">
        <v>0.83541872265793649</v>
      </c>
      <c r="CE29" t="s">
        <v>298</v>
      </c>
      <c r="CF29">
        <v>0</v>
      </c>
      <c r="CG29">
        <v>8.7578723756246901E-6</v>
      </c>
      <c r="CH29">
        <v>8.9960593353572163E-2</v>
      </c>
      <c r="CI29">
        <v>0.22367284126967443</v>
      </c>
      <c r="CJ29">
        <v>0.10075209987190337</v>
      </c>
      <c r="CK29">
        <v>1.6354155993995457E-3</v>
      </c>
      <c r="CL29">
        <v>4.5825660905001014E-6</v>
      </c>
      <c r="CM29">
        <v>3.6631807846583597E-2</v>
      </c>
      <c r="CN29">
        <v>0.30625607398883897</v>
      </c>
      <c r="CO29">
        <v>0.42572296024001866</v>
      </c>
      <c r="CP29">
        <v>0.30326388784025526</v>
      </c>
      <c r="CQ29">
        <v>4.9049952360513994E-2</v>
      </c>
      <c r="CR29">
        <v>1.4654619749039643E-4</v>
      </c>
      <c r="CS29">
        <v>5.5933897668807166E-2</v>
      </c>
      <c r="CT29">
        <v>0.32278212184490646</v>
      </c>
      <c r="CU29">
        <v>0.43210388819300516</v>
      </c>
      <c r="CV29">
        <v>0.32194747915131655</v>
      </c>
      <c r="CW29">
        <v>7.4644453095736946E-2</v>
      </c>
      <c r="CX29">
        <v>0</v>
      </c>
      <c r="CY29">
        <v>8.2134990935287221E-3</v>
      </c>
      <c r="CZ29">
        <v>0.18869830653045852</v>
      </c>
      <c r="DA29">
        <v>0.29326222881449071</v>
      </c>
      <c r="DB29">
        <v>0.14639876622744216</v>
      </c>
      <c r="DC29">
        <v>6.7391913135879606E-3</v>
      </c>
      <c r="DE29" t="s">
        <v>298</v>
      </c>
      <c r="DF29" t="s">
        <v>111</v>
      </c>
      <c r="DG29" t="s">
        <v>112</v>
      </c>
      <c r="DH29">
        <v>0.3862943723721135</v>
      </c>
    </row>
    <row r="30" spans="2:112" x14ac:dyDescent="0.45">
      <c r="B30" t="s">
        <v>299</v>
      </c>
      <c r="C30" t="s">
        <v>107</v>
      </c>
      <c r="D30">
        <v>0</v>
      </c>
      <c r="E30">
        <v>0.99166666666666681</v>
      </c>
      <c r="F30">
        <v>0.51089551949830259</v>
      </c>
      <c r="G30">
        <v>0.36347832223794807</v>
      </c>
      <c r="H30">
        <v>0.54251208858135991</v>
      </c>
      <c r="I30">
        <v>0.98037557196498792</v>
      </c>
      <c r="J30">
        <v>0.9890791895423573</v>
      </c>
      <c r="K30">
        <v>0.59102790021225082</v>
      </c>
      <c r="L30">
        <v>0.23140793537869433</v>
      </c>
      <c r="M30">
        <v>0.17411791724988168</v>
      </c>
      <c r="N30">
        <v>0.21802781174339356</v>
      </c>
      <c r="O30">
        <v>0.52273556229894769</v>
      </c>
      <c r="P30">
        <v>0.93532361346536363</v>
      </c>
      <c r="Q30">
        <v>0.46403445763229562</v>
      </c>
      <c r="R30">
        <v>0.19389565629701733</v>
      </c>
      <c r="S30">
        <v>0.15670002502101751</v>
      </c>
      <c r="T30">
        <v>0.17005527212256383</v>
      </c>
      <c r="U30">
        <v>0.37492541706342997</v>
      </c>
      <c r="V30">
        <v>0</v>
      </c>
      <c r="W30">
        <v>0.80967897864758798</v>
      </c>
      <c r="X30">
        <v>0.31258349767955412</v>
      </c>
      <c r="Y30">
        <v>0.25245486312011789</v>
      </c>
      <c r="Z30">
        <v>0.38404728642754199</v>
      </c>
      <c r="AA30">
        <v>0.8679410530603604</v>
      </c>
      <c r="CE30" t="s">
        <v>299</v>
      </c>
      <c r="CF30">
        <v>0</v>
      </c>
      <c r="CG30">
        <v>1.1775129886815168E-4</v>
      </c>
      <c r="CH30">
        <v>8.5783115943459942E-2</v>
      </c>
      <c r="CI30">
        <v>0.20258275973611659</v>
      </c>
      <c r="CJ30">
        <v>8.2679992914250475E-2</v>
      </c>
      <c r="CK30">
        <v>5.8548524256279402E-4</v>
      </c>
      <c r="CL30">
        <v>2.5067584629725227E-6</v>
      </c>
      <c r="CM30">
        <v>4.5415901375668755E-2</v>
      </c>
      <c r="CN30">
        <v>0.3212075588084764</v>
      </c>
      <c r="CO30">
        <v>0.42303495477691161</v>
      </c>
      <c r="CP30">
        <v>0.27526367738037838</v>
      </c>
      <c r="CQ30">
        <v>4.0645249700554796E-2</v>
      </c>
      <c r="CR30">
        <v>1.5247742282955233E-4</v>
      </c>
      <c r="CS30">
        <v>6.0454805041652106E-2</v>
      </c>
      <c r="CT30">
        <v>0.30538288078111914</v>
      </c>
      <c r="CU30">
        <v>0.4131531025207959</v>
      </c>
      <c r="CV30">
        <v>0.30806642220769348</v>
      </c>
      <c r="CW30">
        <v>6.9752433131895497E-2</v>
      </c>
      <c r="CX30">
        <v>0</v>
      </c>
      <c r="CY30">
        <v>9.0752078279324657E-3</v>
      </c>
      <c r="CZ30">
        <v>0.17181284835180227</v>
      </c>
      <c r="DA30">
        <v>0.25986681618873936</v>
      </c>
      <c r="DB30">
        <v>0.12544246790578606</v>
      </c>
      <c r="DC30">
        <v>4.8460758938345455E-3</v>
      </c>
      <c r="DE30" t="s">
        <v>299</v>
      </c>
      <c r="DF30" t="s">
        <v>111</v>
      </c>
      <c r="DG30" t="s">
        <v>112</v>
      </c>
      <c r="DH30">
        <v>0.38010541181289392</v>
      </c>
    </row>
    <row r="31" spans="2:112" x14ac:dyDescent="0.45">
      <c r="B31" t="s">
        <v>300</v>
      </c>
      <c r="C31" t="s">
        <v>107</v>
      </c>
      <c r="D31">
        <v>0</v>
      </c>
      <c r="E31">
        <v>0.99444444444444424</v>
      </c>
      <c r="F31">
        <v>0.50208928774660044</v>
      </c>
      <c r="G31">
        <v>0.32615568802588624</v>
      </c>
      <c r="H31">
        <v>0.49128902732782503</v>
      </c>
      <c r="I31">
        <v>0.97037037037036999</v>
      </c>
      <c r="J31">
        <v>0.98875675562821586</v>
      </c>
      <c r="K31">
        <v>0.60006889696088095</v>
      </c>
      <c r="L31">
        <v>0.22289570472697653</v>
      </c>
      <c r="M31">
        <v>0.17604795895499639</v>
      </c>
      <c r="N31">
        <v>0.2035296008259759</v>
      </c>
      <c r="O31">
        <v>0.51123734335875781</v>
      </c>
      <c r="P31">
        <v>0.9321599257536568</v>
      </c>
      <c r="Q31">
        <v>0.46564447797619929</v>
      </c>
      <c r="R31">
        <v>0.17291664352027655</v>
      </c>
      <c r="S31">
        <v>0.13237095069225271</v>
      </c>
      <c r="T31">
        <v>0.16397379232746964</v>
      </c>
      <c r="U31">
        <v>0.36905465127417231</v>
      </c>
      <c r="V31">
        <v>0</v>
      </c>
      <c r="W31">
        <v>0.80674619790511048</v>
      </c>
      <c r="X31">
        <v>0.30093354449045467</v>
      </c>
      <c r="Y31">
        <v>0.22719595579932764</v>
      </c>
      <c r="Z31">
        <v>0.34671375176087421</v>
      </c>
      <c r="AA31">
        <v>0.83992033681079925</v>
      </c>
      <c r="CE31" t="s">
        <v>300</v>
      </c>
      <c r="CF31">
        <v>0</v>
      </c>
      <c r="CG31">
        <v>3.2550830920004803E-6</v>
      </c>
      <c r="CH31">
        <v>8.387545428785137E-2</v>
      </c>
      <c r="CI31">
        <v>0.21050558960253229</v>
      </c>
      <c r="CJ31">
        <v>9.3595724787676568E-2</v>
      </c>
      <c r="CK31">
        <v>1.0605618152609458E-3</v>
      </c>
      <c r="CL31">
        <v>6.7745945397623958E-6</v>
      </c>
      <c r="CM31">
        <v>4.1516870512499505E-2</v>
      </c>
      <c r="CN31">
        <v>0.33969427123168811</v>
      </c>
      <c r="CO31">
        <v>0.47631220331120949</v>
      </c>
      <c r="CP31">
        <v>0.32665885226789515</v>
      </c>
      <c r="CQ31">
        <v>4.910382260644236E-2</v>
      </c>
      <c r="CR31">
        <v>1.9780143533053608E-4</v>
      </c>
      <c r="CS31">
        <v>5.946544182942879E-2</v>
      </c>
      <c r="CT31">
        <v>0.34422714968371487</v>
      </c>
      <c r="CU31">
        <v>0.48015849934575622</v>
      </c>
      <c r="CV31">
        <v>0.35456972622333655</v>
      </c>
      <c r="CW31">
        <v>7.938921160705105E-2</v>
      </c>
      <c r="CX31">
        <v>0</v>
      </c>
      <c r="CY31">
        <v>9.2517552828893772E-3</v>
      </c>
      <c r="CZ31">
        <v>0.19213271704787296</v>
      </c>
      <c r="DA31">
        <v>0.30640141218586336</v>
      </c>
      <c r="DB31">
        <v>0.15238079663860785</v>
      </c>
      <c r="DC31">
        <v>6.398105481067117E-3</v>
      </c>
      <c r="DE31" t="s">
        <v>300</v>
      </c>
      <c r="DF31" t="s">
        <v>111</v>
      </c>
      <c r="DG31" t="s">
        <v>112</v>
      </c>
      <c r="DH31">
        <v>0.41515882998534237</v>
      </c>
    </row>
    <row r="32" spans="2:112" x14ac:dyDescent="0.45">
      <c r="B32" t="s">
        <v>301</v>
      </c>
      <c r="C32" t="s">
        <v>107</v>
      </c>
      <c r="D32">
        <v>0.24586608017100398</v>
      </c>
      <c r="E32">
        <v>0.23188787094673913</v>
      </c>
      <c r="F32">
        <v>0.2217623644652417</v>
      </c>
      <c r="G32">
        <v>0.21979417024418241</v>
      </c>
      <c r="H32">
        <v>0.23471500891824176</v>
      </c>
      <c r="I32">
        <v>0.25141401681446296</v>
      </c>
      <c r="J32">
        <v>0.24023102887446207</v>
      </c>
      <c r="K32">
        <v>0.2577062070018431</v>
      </c>
      <c r="L32">
        <v>0.27774462257024468</v>
      </c>
      <c r="M32">
        <v>0.27834028577268743</v>
      </c>
      <c r="N32">
        <v>0.2614552999887334</v>
      </c>
      <c r="O32">
        <v>0.23933019373933667</v>
      </c>
      <c r="P32">
        <v>0.3020487254854925</v>
      </c>
      <c r="Q32">
        <v>0.33361345780766688</v>
      </c>
      <c r="R32">
        <v>0.34961059617762513</v>
      </c>
      <c r="S32">
        <v>0.34169733336592661</v>
      </c>
      <c r="T32">
        <v>0.30525231441823808</v>
      </c>
      <c r="U32">
        <v>0.27438924910333279</v>
      </c>
      <c r="V32">
        <v>0.27549799394529828</v>
      </c>
      <c r="W32">
        <v>0.29328444929505731</v>
      </c>
      <c r="X32">
        <v>0.28068251129491895</v>
      </c>
      <c r="Y32">
        <v>0.28072503667306326</v>
      </c>
      <c r="Z32">
        <v>0.26084213370537723</v>
      </c>
      <c r="AA32">
        <v>0.26239862218080051</v>
      </c>
      <c r="CE32" t="s">
        <v>301</v>
      </c>
      <c r="CF32">
        <v>0.61501140605307114</v>
      </c>
      <c r="CG32">
        <v>0.62689776641679562</v>
      </c>
      <c r="CH32">
        <v>0.61821191461682345</v>
      </c>
      <c r="CI32">
        <v>0.60969210101861837</v>
      </c>
      <c r="CJ32">
        <v>0.60931626452826482</v>
      </c>
      <c r="CK32">
        <v>0.61721915853907638</v>
      </c>
      <c r="CL32">
        <v>0.58430057401576563</v>
      </c>
      <c r="CM32">
        <v>0.56713033356373799</v>
      </c>
      <c r="CN32">
        <v>0.54184226308300631</v>
      </c>
      <c r="CO32">
        <v>0.54719664935420043</v>
      </c>
      <c r="CP32">
        <v>0.57606510575392655</v>
      </c>
      <c r="CQ32">
        <v>0.60042458674204691</v>
      </c>
      <c r="CR32">
        <v>0.43702650687489508</v>
      </c>
      <c r="CS32">
        <v>0.42008583097591351</v>
      </c>
      <c r="CT32">
        <v>0.3935415377237938</v>
      </c>
      <c r="CU32">
        <v>0.40004336827726023</v>
      </c>
      <c r="CV32">
        <v>0.43511594209600662</v>
      </c>
      <c r="CW32">
        <v>0.45504582158954093</v>
      </c>
      <c r="CX32">
        <v>0.55618493540173009</v>
      </c>
      <c r="CY32">
        <v>0.54017080723794819</v>
      </c>
      <c r="CZ32">
        <v>0.54212444888524491</v>
      </c>
      <c r="DA32">
        <v>0.54431419475224385</v>
      </c>
      <c r="DB32">
        <v>0.57945377108354457</v>
      </c>
      <c r="DC32">
        <v>0.58356245079983782</v>
      </c>
      <c r="DE32" t="s">
        <v>302</v>
      </c>
      <c r="DF32" t="s">
        <v>111</v>
      </c>
      <c r="DG32" t="s">
        <v>112</v>
      </c>
      <c r="DH32">
        <v>0.65861165523477638</v>
      </c>
    </row>
    <row r="33" spans="2:112" x14ac:dyDescent="0.45">
      <c r="B33" t="s">
        <v>303</v>
      </c>
      <c r="C33" t="s">
        <v>107</v>
      </c>
      <c r="D33">
        <v>0.25006882266027508</v>
      </c>
      <c r="E33">
        <v>0.23849240531823568</v>
      </c>
      <c r="F33">
        <v>0.25579046579478004</v>
      </c>
      <c r="G33">
        <v>0.26497103311929826</v>
      </c>
      <c r="H33">
        <v>0.26666583723626702</v>
      </c>
      <c r="I33">
        <v>0.25119799493981509</v>
      </c>
      <c r="J33">
        <v>0.25437346370510361</v>
      </c>
      <c r="K33">
        <v>0.2669057746235417</v>
      </c>
      <c r="L33">
        <v>0.30437823660617502</v>
      </c>
      <c r="M33">
        <v>0.32122314527356866</v>
      </c>
      <c r="N33">
        <v>0.28745430072009032</v>
      </c>
      <c r="O33">
        <v>0.26743454323955507</v>
      </c>
      <c r="P33">
        <v>0.31890216902986612</v>
      </c>
      <c r="Q33">
        <v>0.34106606434651215</v>
      </c>
      <c r="R33">
        <v>0.37270316613551152</v>
      </c>
      <c r="S33">
        <v>0.38373879599873195</v>
      </c>
      <c r="T33">
        <v>0.36693372259731299</v>
      </c>
      <c r="U33">
        <v>0.32737355702129201</v>
      </c>
      <c r="V33">
        <v>0.30093856758736653</v>
      </c>
      <c r="W33">
        <v>0.32658086491333238</v>
      </c>
      <c r="X33">
        <v>0.313126627411351</v>
      </c>
      <c r="Y33">
        <v>0.30105525496175928</v>
      </c>
      <c r="Z33">
        <v>0.28132275270369866</v>
      </c>
      <c r="AA33">
        <v>0.27085273637803364</v>
      </c>
      <c r="CE33" t="s">
        <v>303</v>
      </c>
      <c r="CF33">
        <v>0.61943012830606059</v>
      </c>
      <c r="CG33">
        <v>0.61505268463108187</v>
      </c>
      <c r="CH33">
        <v>0.61221316143332505</v>
      </c>
      <c r="CI33">
        <v>0.6002551508314572</v>
      </c>
      <c r="CJ33">
        <v>0.60061936959672357</v>
      </c>
      <c r="CK33">
        <v>0.63062916931837387</v>
      </c>
      <c r="CL33">
        <v>0.57171347186083499</v>
      </c>
      <c r="CM33">
        <v>0.56086132416035428</v>
      </c>
      <c r="CN33">
        <v>0.50372340348118139</v>
      </c>
      <c r="CO33">
        <v>0.48238052915435958</v>
      </c>
      <c r="CP33">
        <v>0.52548298350183409</v>
      </c>
      <c r="CQ33">
        <v>0.56755192338019456</v>
      </c>
      <c r="CR33">
        <v>0.48841393032949265</v>
      </c>
      <c r="CS33">
        <v>0.42892298593549066</v>
      </c>
      <c r="CT33">
        <v>0.40513678965439226</v>
      </c>
      <c r="CU33">
        <v>0.42353235327809352</v>
      </c>
      <c r="CV33">
        <v>0.47812720357784672</v>
      </c>
      <c r="CW33">
        <v>0.51735714529339771</v>
      </c>
      <c r="CX33">
        <v>0.56213636210037443</v>
      </c>
      <c r="CY33">
        <v>0.53538804841442267</v>
      </c>
      <c r="CZ33">
        <v>0.56389647026348855</v>
      </c>
      <c r="DA33">
        <v>0.55839632923927995</v>
      </c>
      <c r="DB33">
        <v>0.58052209848082026</v>
      </c>
      <c r="DC33">
        <v>0.60053074511576965</v>
      </c>
      <c r="DE33" t="s">
        <v>304</v>
      </c>
      <c r="DF33" t="s">
        <v>111</v>
      </c>
      <c r="DG33" t="s">
        <v>112</v>
      </c>
      <c r="DH33">
        <v>0.55735152710445357</v>
      </c>
    </row>
    <row r="34" spans="2:112" x14ac:dyDescent="0.45">
      <c r="B34" t="s">
        <v>305</v>
      </c>
      <c r="C34" t="s">
        <v>107</v>
      </c>
      <c r="D34">
        <v>0.24866167891941574</v>
      </c>
      <c r="E34">
        <v>0.23632837912538826</v>
      </c>
      <c r="F34">
        <v>0.2523206278034395</v>
      </c>
      <c r="G34">
        <v>0.27076869364809403</v>
      </c>
      <c r="H34">
        <v>0.26056544969712114</v>
      </c>
      <c r="I34">
        <v>0.23758466597702627</v>
      </c>
      <c r="J34">
        <v>0.25949338691805557</v>
      </c>
      <c r="K34">
        <v>0.25695259949937244</v>
      </c>
      <c r="L34">
        <v>0.27620618165641175</v>
      </c>
      <c r="M34">
        <v>0.28266295249300799</v>
      </c>
      <c r="N34">
        <v>0.25682413157227296</v>
      </c>
      <c r="O34">
        <v>0.23620246083044286</v>
      </c>
      <c r="P34">
        <v>0.30900816530176883</v>
      </c>
      <c r="Q34">
        <v>0.32199274614301032</v>
      </c>
      <c r="R34">
        <v>0.33734447630651426</v>
      </c>
      <c r="S34">
        <v>0.3346517477888229</v>
      </c>
      <c r="T34">
        <v>0.32038112878597741</v>
      </c>
      <c r="U34">
        <v>0.31359850150331681</v>
      </c>
      <c r="V34">
        <v>0.27577561182622184</v>
      </c>
      <c r="W34">
        <v>0.29684412951808209</v>
      </c>
      <c r="X34">
        <v>0.30722569630048652</v>
      </c>
      <c r="Y34">
        <v>0.29412605883677156</v>
      </c>
      <c r="Z34">
        <v>0.2906210886140711</v>
      </c>
      <c r="AA34">
        <v>0.26979931931727197</v>
      </c>
      <c r="CE34" t="s">
        <v>305</v>
      </c>
      <c r="CF34">
        <v>0.59097888004720855</v>
      </c>
      <c r="CG34">
        <v>0.59154075735597844</v>
      </c>
      <c r="CH34">
        <v>0.57035866913916455</v>
      </c>
      <c r="CI34">
        <v>0.55667710766446132</v>
      </c>
      <c r="CJ34">
        <v>0.57396564003922335</v>
      </c>
      <c r="CK34">
        <v>0.59800567477093203</v>
      </c>
      <c r="CL34">
        <v>0.52096218476307143</v>
      </c>
      <c r="CM34">
        <v>0.52227338381263</v>
      </c>
      <c r="CN34">
        <v>0.50658703822614704</v>
      </c>
      <c r="CO34">
        <v>0.51681734281204561</v>
      </c>
      <c r="CP34">
        <v>0.53472743697947811</v>
      </c>
      <c r="CQ34">
        <v>0.5404674826055339</v>
      </c>
      <c r="CR34">
        <v>0.39740562231001286</v>
      </c>
      <c r="CS34">
        <v>0.36406162356615857</v>
      </c>
      <c r="CT34">
        <v>0.34003742421761096</v>
      </c>
      <c r="CU34">
        <v>0.36190239909296557</v>
      </c>
      <c r="CV34">
        <v>0.38992648293910653</v>
      </c>
      <c r="CW34">
        <v>0.40266654374203775</v>
      </c>
      <c r="CX34">
        <v>0.53725555247292012</v>
      </c>
      <c r="CY34">
        <v>0.5245916889608252</v>
      </c>
      <c r="CZ34">
        <v>0.51136217689471586</v>
      </c>
      <c r="DA34">
        <v>0.53121208663983055</v>
      </c>
      <c r="DB34">
        <v>0.53824258714421713</v>
      </c>
      <c r="DC34">
        <v>0.56507397446666563</v>
      </c>
      <c r="DE34" t="s">
        <v>306</v>
      </c>
      <c r="DF34" t="s">
        <v>111</v>
      </c>
      <c r="DG34" t="s">
        <v>112</v>
      </c>
      <c r="DH34">
        <v>0.5433442241187324</v>
      </c>
    </row>
    <row r="35" spans="2:112" x14ac:dyDescent="0.45">
      <c r="B35" t="s">
        <v>307</v>
      </c>
      <c r="C35" t="s">
        <v>107</v>
      </c>
      <c r="D35">
        <v>0.21997514587244185</v>
      </c>
      <c r="E35">
        <v>0.20502995049592251</v>
      </c>
      <c r="F35">
        <v>0.20170337014358009</v>
      </c>
      <c r="G35">
        <v>0.20689129379577487</v>
      </c>
      <c r="H35">
        <v>0.21154423594371982</v>
      </c>
      <c r="I35">
        <v>0.22329269723142428</v>
      </c>
      <c r="J35">
        <v>0.20448622608776287</v>
      </c>
      <c r="K35">
        <v>0.22577172933138887</v>
      </c>
      <c r="L35">
        <v>0.24651975549947316</v>
      </c>
      <c r="M35">
        <v>0.23750533193425818</v>
      </c>
      <c r="N35">
        <v>0.21760081233453571</v>
      </c>
      <c r="O35">
        <v>0.20039322348678279</v>
      </c>
      <c r="P35">
        <v>0.31109948656431002</v>
      </c>
      <c r="Q35">
        <v>0.32812026551101348</v>
      </c>
      <c r="R35">
        <v>0.3525624158149418</v>
      </c>
      <c r="S35">
        <v>0.33212904480409877</v>
      </c>
      <c r="T35">
        <v>0.28935629538992297</v>
      </c>
      <c r="U35">
        <v>0.27618997161284892</v>
      </c>
      <c r="V35">
        <v>0.28050272408633808</v>
      </c>
      <c r="W35">
        <v>0.3024741925448669</v>
      </c>
      <c r="X35">
        <v>0.31217242163877468</v>
      </c>
      <c r="Y35">
        <v>0.31026768574936037</v>
      </c>
      <c r="Z35">
        <v>0.28472826876892471</v>
      </c>
      <c r="AA35">
        <v>0.26035429013158778</v>
      </c>
      <c r="CE35" t="s">
        <v>307</v>
      </c>
      <c r="CF35">
        <v>0.6670602290612011</v>
      </c>
      <c r="CG35">
        <v>0.6747455061430061</v>
      </c>
      <c r="CH35">
        <v>0.66990200308357317</v>
      </c>
      <c r="CI35">
        <v>0.66709669000856964</v>
      </c>
      <c r="CJ35">
        <v>0.67406123163514187</v>
      </c>
      <c r="CK35">
        <v>0.67121950911668438</v>
      </c>
      <c r="CL35">
        <v>0.64500072288818788</v>
      </c>
      <c r="CM35">
        <v>0.6305047650409612</v>
      </c>
      <c r="CN35">
        <v>0.6109030198629728</v>
      </c>
      <c r="CO35">
        <v>0.62236723272875027</v>
      </c>
      <c r="CP35">
        <v>0.64944096571348775</v>
      </c>
      <c r="CQ35">
        <v>0.66326345247739726</v>
      </c>
      <c r="CR35">
        <v>0.45749652505416033</v>
      </c>
      <c r="CS35">
        <v>0.43885488979592546</v>
      </c>
      <c r="CT35">
        <v>0.42130542532969789</v>
      </c>
      <c r="CU35">
        <v>0.43200791490333662</v>
      </c>
      <c r="CV35">
        <v>0.47891015729340258</v>
      </c>
      <c r="CW35">
        <v>0.4826917673229062</v>
      </c>
      <c r="CX35">
        <v>0.55140773523520725</v>
      </c>
      <c r="CY35">
        <v>0.54097706304531479</v>
      </c>
      <c r="CZ35">
        <v>0.53600517478193854</v>
      </c>
      <c r="DA35">
        <v>0.53483780392046243</v>
      </c>
      <c r="DB35">
        <v>0.55882300601783252</v>
      </c>
      <c r="DC35">
        <v>0.57664280665162926</v>
      </c>
      <c r="DE35" t="s">
        <v>308</v>
      </c>
      <c r="DF35" t="s">
        <v>111</v>
      </c>
      <c r="DG35" t="s">
        <v>112</v>
      </c>
      <c r="DH35">
        <v>0.51883364535976906</v>
      </c>
    </row>
    <row r="36" spans="2:112" x14ac:dyDescent="0.45">
      <c r="B36" t="s">
        <v>309</v>
      </c>
      <c r="C36" t="s">
        <v>107</v>
      </c>
      <c r="D36">
        <v>0.20619434784051752</v>
      </c>
      <c r="E36">
        <v>0.19482887690021838</v>
      </c>
      <c r="F36">
        <v>0.19613483925899206</v>
      </c>
      <c r="G36">
        <v>0.19496525484137267</v>
      </c>
      <c r="H36">
        <v>0.19196260493590681</v>
      </c>
      <c r="I36">
        <v>0.19884653469507918</v>
      </c>
      <c r="J36">
        <v>0.19062932434401397</v>
      </c>
      <c r="K36">
        <v>0.20487348781779555</v>
      </c>
      <c r="L36">
        <v>0.21913067918971468</v>
      </c>
      <c r="M36">
        <v>0.21862887385636756</v>
      </c>
      <c r="N36">
        <v>0.20887600855615243</v>
      </c>
      <c r="O36">
        <v>0.19113678935908096</v>
      </c>
      <c r="P36">
        <v>0.29351135044551785</v>
      </c>
      <c r="Q36">
        <v>0.3059542065873912</v>
      </c>
      <c r="R36">
        <v>0.32226472639930787</v>
      </c>
      <c r="S36">
        <v>0.32104916693724761</v>
      </c>
      <c r="T36">
        <v>0.29662324683365771</v>
      </c>
      <c r="U36">
        <v>0.28400502176291897</v>
      </c>
      <c r="V36">
        <v>0.27962870180753385</v>
      </c>
      <c r="W36">
        <v>0.2864910028645819</v>
      </c>
      <c r="X36">
        <v>0.28681111203180576</v>
      </c>
      <c r="Y36">
        <v>0.27977531237219527</v>
      </c>
      <c r="Z36">
        <v>0.27289356012662741</v>
      </c>
      <c r="AA36">
        <v>0.2754291550775736</v>
      </c>
      <c r="CE36" t="s">
        <v>309</v>
      </c>
      <c r="CF36">
        <v>0.6892672718425743</v>
      </c>
      <c r="CG36">
        <v>0.68947616401325407</v>
      </c>
      <c r="CH36">
        <v>0.69206101413484367</v>
      </c>
      <c r="CI36">
        <v>0.70524542235909726</v>
      </c>
      <c r="CJ36">
        <v>0.7137142387642943</v>
      </c>
      <c r="CK36">
        <v>0.70761838087177797</v>
      </c>
      <c r="CL36">
        <v>0.67562121040023493</v>
      </c>
      <c r="CM36">
        <v>0.67111300091281534</v>
      </c>
      <c r="CN36">
        <v>0.6486638635447135</v>
      </c>
      <c r="CO36">
        <v>0.64238741545821443</v>
      </c>
      <c r="CP36">
        <v>0.64498422639751818</v>
      </c>
      <c r="CQ36">
        <v>0.66334982330324377</v>
      </c>
      <c r="CR36">
        <v>0.44886328787148921</v>
      </c>
      <c r="CS36">
        <v>0.43730533775794039</v>
      </c>
      <c r="CT36">
        <v>0.40344727008699505</v>
      </c>
      <c r="CU36">
        <v>0.41204833953904113</v>
      </c>
      <c r="CV36">
        <v>0.45187910810211912</v>
      </c>
      <c r="CW36">
        <v>0.45769897421846112</v>
      </c>
      <c r="CX36">
        <v>0.53977049198686833</v>
      </c>
      <c r="CY36">
        <v>0.54499015288398933</v>
      </c>
      <c r="CZ36">
        <v>0.54661103255092536</v>
      </c>
      <c r="DA36">
        <v>0.55580608164415635</v>
      </c>
      <c r="DB36">
        <v>0.56865252141292411</v>
      </c>
      <c r="DC36">
        <v>0.55526046252011285</v>
      </c>
      <c r="DE36" t="s">
        <v>310</v>
      </c>
      <c r="DF36" t="s">
        <v>111</v>
      </c>
      <c r="DG36" t="s">
        <v>112</v>
      </c>
      <c r="DH36">
        <v>0.45767796039788844</v>
      </c>
    </row>
    <row r="37" spans="2:112" x14ac:dyDescent="0.45">
      <c r="B37" t="s">
        <v>311</v>
      </c>
      <c r="C37" t="s">
        <v>107</v>
      </c>
      <c r="D37">
        <v>0.21857627601031934</v>
      </c>
      <c r="E37">
        <v>0.22367512062218337</v>
      </c>
      <c r="F37">
        <v>0.23995274003749434</v>
      </c>
      <c r="G37">
        <v>0.2438369481741009</v>
      </c>
      <c r="H37">
        <v>0.24407033959403279</v>
      </c>
      <c r="I37">
        <v>0.24206426755068552</v>
      </c>
      <c r="J37">
        <v>0.26412107959723968</v>
      </c>
      <c r="K37">
        <v>0.26068928302212241</v>
      </c>
      <c r="L37">
        <v>0.25046980264533258</v>
      </c>
      <c r="M37">
        <v>0.25486956107022452</v>
      </c>
      <c r="N37">
        <v>0.2516343510944451</v>
      </c>
      <c r="O37">
        <v>0.2497834631905142</v>
      </c>
      <c r="P37">
        <v>0.32841140440279198</v>
      </c>
      <c r="Q37">
        <v>0.33580496189183107</v>
      </c>
      <c r="R37">
        <v>0.3529911489690431</v>
      </c>
      <c r="S37">
        <v>0.339116302583295</v>
      </c>
      <c r="T37">
        <v>0.3068976674298225</v>
      </c>
      <c r="U37">
        <v>0.29997997346361815</v>
      </c>
      <c r="V37">
        <v>0.284428642680852</v>
      </c>
      <c r="W37">
        <v>0.29655361907743527</v>
      </c>
      <c r="X37">
        <v>0.31011432282142176</v>
      </c>
      <c r="Y37">
        <v>0.29432719200578045</v>
      </c>
      <c r="Z37">
        <v>0.2819393611026188</v>
      </c>
      <c r="AA37">
        <v>0.27862936281699718</v>
      </c>
      <c r="CE37" t="s">
        <v>311</v>
      </c>
      <c r="CF37">
        <v>0.63803056403054148</v>
      </c>
      <c r="CG37">
        <v>0.62759863575439045</v>
      </c>
      <c r="CH37">
        <v>0.61476944574673398</v>
      </c>
      <c r="CI37">
        <v>0.61952964047302472</v>
      </c>
      <c r="CJ37">
        <v>0.62398598379451631</v>
      </c>
      <c r="CK37">
        <v>0.63212139380455212</v>
      </c>
      <c r="CL37">
        <v>0.56842670948173446</v>
      </c>
      <c r="CM37">
        <v>0.58778667230858728</v>
      </c>
      <c r="CN37">
        <v>0.58977167523054452</v>
      </c>
      <c r="CO37">
        <v>0.57454731524855374</v>
      </c>
      <c r="CP37">
        <v>0.58067710219614133</v>
      </c>
      <c r="CQ37">
        <v>0.57783237170195145</v>
      </c>
      <c r="CR37">
        <v>0.40526922889376532</v>
      </c>
      <c r="CS37">
        <v>0.36320220928604263</v>
      </c>
      <c r="CT37">
        <v>0.34465150263170041</v>
      </c>
      <c r="CU37">
        <v>0.36983072081627816</v>
      </c>
      <c r="CV37">
        <v>0.40917375018674296</v>
      </c>
      <c r="CW37">
        <v>0.41893247341002116</v>
      </c>
      <c r="CX37">
        <v>0.5162218047449243</v>
      </c>
      <c r="CY37">
        <v>0.51555541538544636</v>
      </c>
      <c r="CZ37">
        <v>0.51837880232654021</v>
      </c>
      <c r="DA37">
        <v>0.53255027752442596</v>
      </c>
      <c r="DB37">
        <v>0.55392850196343635</v>
      </c>
      <c r="DC37">
        <v>0.54852084503110521</v>
      </c>
      <c r="DE37" t="s">
        <v>312</v>
      </c>
      <c r="DF37" t="s">
        <v>111</v>
      </c>
      <c r="DG37" t="s">
        <v>112</v>
      </c>
      <c r="DH37">
        <v>0.55443726914551605</v>
      </c>
    </row>
    <row r="38" spans="2:112" x14ac:dyDescent="0.45">
      <c r="B38" t="s">
        <v>313</v>
      </c>
      <c r="C38" t="s">
        <v>107</v>
      </c>
      <c r="D38">
        <v>0.21831441832641826</v>
      </c>
      <c r="E38">
        <v>0.22311128775176672</v>
      </c>
      <c r="F38">
        <v>0.22694225874768975</v>
      </c>
      <c r="G38">
        <v>0.23442867012086882</v>
      </c>
      <c r="H38">
        <v>0.22854313574666113</v>
      </c>
      <c r="I38">
        <v>0.21465893392270377</v>
      </c>
      <c r="J38">
        <v>0.26874574246531585</v>
      </c>
      <c r="K38">
        <v>0.26156616875571392</v>
      </c>
      <c r="L38">
        <v>0.27253442418246637</v>
      </c>
      <c r="M38">
        <v>0.28584527085807665</v>
      </c>
      <c r="N38">
        <v>0.27879507024690731</v>
      </c>
      <c r="O38">
        <v>0.27455354470825027</v>
      </c>
      <c r="P38">
        <v>0.32470775263041124</v>
      </c>
      <c r="Q38">
        <v>0.35979804992123776</v>
      </c>
      <c r="R38">
        <v>0.38002309042097943</v>
      </c>
      <c r="S38">
        <v>0.36053285190965212</v>
      </c>
      <c r="T38">
        <v>0.31316809829399928</v>
      </c>
      <c r="U38">
        <v>0.30011584084111387</v>
      </c>
      <c r="V38">
        <v>0.25483774751200766</v>
      </c>
      <c r="W38">
        <v>0.26622312032782314</v>
      </c>
      <c r="X38">
        <v>0.2660475189996438</v>
      </c>
      <c r="Y38">
        <v>0.27865198687348564</v>
      </c>
      <c r="Z38">
        <v>0.2773595172356349</v>
      </c>
      <c r="AA38">
        <v>0.25583243632422908</v>
      </c>
      <c r="CE38" t="s">
        <v>313</v>
      </c>
      <c r="CF38">
        <v>0.67231272685308496</v>
      </c>
      <c r="CG38">
        <v>0.65486699939166593</v>
      </c>
      <c r="CH38">
        <v>0.64101667794318085</v>
      </c>
      <c r="CI38">
        <v>0.64075055305797235</v>
      </c>
      <c r="CJ38">
        <v>0.6463254410357685</v>
      </c>
      <c r="CK38">
        <v>0.67227836319497458</v>
      </c>
      <c r="CL38">
        <v>0.57440718395959156</v>
      </c>
      <c r="CM38">
        <v>0.59794352927341088</v>
      </c>
      <c r="CN38">
        <v>0.58876982527504484</v>
      </c>
      <c r="CO38">
        <v>0.54541251425779003</v>
      </c>
      <c r="CP38">
        <v>0.53617993398896024</v>
      </c>
      <c r="CQ38">
        <v>0.5500745227671503</v>
      </c>
      <c r="CR38">
        <v>0.38387316733653032</v>
      </c>
      <c r="CS38">
        <v>0.33216402004815121</v>
      </c>
      <c r="CT38">
        <v>0.3125662847911912</v>
      </c>
      <c r="CU38">
        <v>0.36119256430658853</v>
      </c>
      <c r="CV38">
        <v>0.43323074435938058</v>
      </c>
      <c r="CW38">
        <v>0.44310837291347188</v>
      </c>
      <c r="CX38">
        <v>0.55081882693806272</v>
      </c>
      <c r="CY38">
        <v>0.55305436000541164</v>
      </c>
      <c r="CZ38">
        <v>0.57042990264368465</v>
      </c>
      <c r="DA38">
        <v>0.55626699044457284</v>
      </c>
      <c r="DB38">
        <v>0.54805990497016766</v>
      </c>
      <c r="DC38">
        <v>0.55541811071817071</v>
      </c>
      <c r="DE38" t="s">
        <v>314</v>
      </c>
      <c r="DF38" t="s">
        <v>111</v>
      </c>
      <c r="DG38" t="s">
        <v>112</v>
      </c>
      <c r="DH38">
        <v>0.49298259277665274</v>
      </c>
    </row>
    <row r="39" spans="2:112" x14ac:dyDescent="0.45">
      <c r="B39" t="s">
        <v>315</v>
      </c>
      <c r="C39" t="s">
        <v>107</v>
      </c>
      <c r="D39">
        <v>0.2141137473941328</v>
      </c>
      <c r="E39">
        <v>0.21148068142112825</v>
      </c>
      <c r="F39">
        <v>0.21580926487275692</v>
      </c>
      <c r="G39">
        <v>0.21601153910082155</v>
      </c>
      <c r="H39">
        <v>0.21630508919725197</v>
      </c>
      <c r="I39">
        <v>0.21916974941868006</v>
      </c>
      <c r="J39">
        <v>0.23539108201817405</v>
      </c>
      <c r="K39">
        <v>0.22449047124649352</v>
      </c>
      <c r="L39">
        <v>0.2393161691494308</v>
      </c>
      <c r="M39">
        <v>0.24591264587953629</v>
      </c>
      <c r="N39">
        <v>0.23589391874435081</v>
      </c>
      <c r="O39">
        <v>0.23543968583794825</v>
      </c>
      <c r="P39">
        <v>0.29806075551106592</v>
      </c>
      <c r="Q39">
        <v>0.30860569913894292</v>
      </c>
      <c r="R39">
        <v>0.33489113293082129</v>
      </c>
      <c r="S39">
        <v>0.33140142515320203</v>
      </c>
      <c r="T39">
        <v>0.29950883105186882</v>
      </c>
      <c r="U39">
        <v>0.2831671479419598</v>
      </c>
      <c r="V39">
        <v>0.27026623364128033</v>
      </c>
      <c r="W39">
        <v>0.26269739733213887</v>
      </c>
      <c r="X39">
        <v>0.27041447384248796</v>
      </c>
      <c r="Y39">
        <v>0.28198940442336379</v>
      </c>
      <c r="Z39">
        <v>0.26761243119511308</v>
      </c>
      <c r="AA39">
        <v>0.26208904105302833</v>
      </c>
      <c r="CE39" t="s">
        <v>315</v>
      </c>
      <c r="CF39">
        <v>0.67534215348122695</v>
      </c>
      <c r="CG39">
        <v>0.66093813875098595</v>
      </c>
      <c r="CH39">
        <v>0.65851306039929736</v>
      </c>
      <c r="CI39">
        <v>0.67170154573673713</v>
      </c>
      <c r="CJ39">
        <v>0.68263997457441616</v>
      </c>
      <c r="CK39">
        <v>0.67853013013914909</v>
      </c>
      <c r="CL39">
        <v>0.62478432569020148</v>
      </c>
      <c r="CM39">
        <v>0.65333762179169641</v>
      </c>
      <c r="CN39">
        <v>0.63243648078362047</v>
      </c>
      <c r="CO39">
        <v>0.59607088134971664</v>
      </c>
      <c r="CP39">
        <v>0.58787970954671143</v>
      </c>
      <c r="CQ39">
        <v>0.59659701961249478</v>
      </c>
      <c r="CR39">
        <v>0.4404773062358896</v>
      </c>
      <c r="CS39">
        <v>0.39669091381359012</v>
      </c>
      <c r="CT39">
        <v>0.3795772622389269</v>
      </c>
      <c r="CU39">
        <v>0.40449053197159113</v>
      </c>
      <c r="CV39">
        <v>0.46038363439762015</v>
      </c>
      <c r="CW39">
        <v>0.4816986013053024</v>
      </c>
      <c r="CX39">
        <v>0.54205002917833212</v>
      </c>
      <c r="CY39">
        <v>0.55504386834200448</v>
      </c>
      <c r="CZ39">
        <v>0.567130689511949</v>
      </c>
      <c r="DA39">
        <v>0.56453608843949765</v>
      </c>
      <c r="DB39">
        <v>0.57615517582549047</v>
      </c>
      <c r="DC39">
        <v>0.57455029935897128</v>
      </c>
      <c r="DE39" t="s">
        <v>316</v>
      </c>
      <c r="DF39" t="s">
        <v>111</v>
      </c>
      <c r="DG39" t="s">
        <v>112</v>
      </c>
      <c r="DH39">
        <v>0.5575924998465005</v>
      </c>
    </row>
    <row r="40" spans="2:112" x14ac:dyDescent="0.45">
      <c r="B40" t="s">
        <v>317</v>
      </c>
      <c r="C40" t="s">
        <v>107</v>
      </c>
      <c r="D40">
        <v>0.23053723352124897</v>
      </c>
      <c r="E40">
        <v>0.24394498337483775</v>
      </c>
      <c r="F40">
        <v>0.26729279483570118</v>
      </c>
      <c r="G40">
        <v>0.26969030273798844</v>
      </c>
      <c r="H40">
        <v>0.26589533212771993</v>
      </c>
      <c r="I40">
        <v>0.24958016588840395</v>
      </c>
      <c r="J40">
        <v>0.34565465323793809</v>
      </c>
      <c r="K40">
        <v>0.36702156579245082</v>
      </c>
      <c r="L40">
        <v>0.35546374274428322</v>
      </c>
      <c r="M40">
        <v>0.33795648690256458</v>
      </c>
      <c r="N40">
        <v>0.33727337239100752</v>
      </c>
      <c r="O40">
        <v>0.34014722563156835</v>
      </c>
      <c r="P40">
        <v>0.39410497140659173</v>
      </c>
      <c r="Q40">
        <v>0.39303089441727856</v>
      </c>
      <c r="R40">
        <v>0.40503115461858863</v>
      </c>
      <c r="S40">
        <v>0.4043941438865693</v>
      </c>
      <c r="T40">
        <v>0.39319985638858901</v>
      </c>
      <c r="U40">
        <v>0.3854965961718303</v>
      </c>
      <c r="V40">
        <v>0.34095726463662135</v>
      </c>
      <c r="W40">
        <v>0.31802305394961694</v>
      </c>
      <c r="X40">
        <v>0.30454811076393146</v>
      </c>
      <c r="Y40">
        <v>0.30911040163730374</v>
      </c>
      <c r="Z40">
        <v>0.32064383481280578</v>
      </c>
      <c r="AA40">
        <v>0.32007824857558148</v>
      </c>
      <c r="CE40" t="s">
        <v>317</v>
      </c>
      <c r="CF40">
        <v>0.61064209594576879</v>
      </c>
      <c r="CG40">
        <v>0.5852763573337888</v>
      </c>
      <c r="CH40">
        <v>0.561116444845291</v>
      </c>
      <c r="CI40">
        <v>0.57847799338294392</v>
      </c>
      <c r="CJ40">
        <v>0.59390565199307721</v>
      </c>
      <c r="CK40">
        <v>0.60665387439663465</v>
      </c>
      <c r="CL40">
        <v>0.41691810221067582</v>
      </c>
      <c r="CM40">
        <v>0.39285641383728687</v>
      </c>
      <c r="CN40">
        <v>0.41231435518416776</v>
      </c>
      <c r="CO40">
        <v>0.43795223090103369</v>
      </c>
      <c r="CP40">
        <v>0.45140173754666596</v>
      </c>
      <c r="CQ40">
        <v>0.45090256218008706</v>
      </c>
      <c r="CR40">
        <v>0.3009836516619766</v>
      </c>
      <c r="CS40">
        <v>0.30949701764636667</v>
      </c>
      <c r="CT40">
        <v>0.32825246594002727</v>
      </c>
      <c r="CU40">
        <v>0.35247383185656145</v>
      </c>
      <c r="CV40">
        <v>0.34912349012420046</v>
      </c>
      <c r="CW40">
        <v>0.31231033918755485</v>
      </c>
      <c r="CX40">
        <v>0.45347181982708024</v>
      </c>
      <c r="CY40">
        <v>0.47132391201327295</v>
      </c>
      <c r="CZ40">
        <v>0.49531880015906438</v>
      </c>
      <c r="DA40">
        <v>0.50625510210687685</v>
      </c>
      <c r="DB40">
        <v>0.49949793695083655</v>
      </c>
      <c r="DC40">
        <v>0.47894281522971616</v>
      </c>
      <c r="DE40" t="s">
        <v>318</v>
      </c>
      <c r="DF40" t="s">
        <v>111</v>
      </c>
      <c r="DG40" t="s">
        <v>112</v>
      </c>
      <c r="DH40">
        <v>0.4667827826443941</v>
      </c>
    </row>
    <row r="41" spans="2:112" x14ac:dyDescent="0.45">
      <c r="B41" t="s">
        <v>319</v>
      </c>
      <c r="C41" t="s">
        <v>107</v>
      </c>
      <c r="D41">
        <v>0.29999369657652147</v>
      </c>
      <c r="E41">
        <v>0.2899650672053265</v>
      </c>
      <c r="F41">
        <v>0.29579260214800618</v>
      </c>
      <c r="G41">
        <v>0.31510215443243716</v>
      </c>
      <c r="H41">
        <v>0.31954028975726118</v>
      </c>
      <c r="I41">
        <v>0.30953070235557273</v>
      </c>
      <c r="J41">
        <v>0.36192843874102143</v>
      </c>
      <c r="K41">
        <v>0.39576083811381807</v>
      </c>
      <c r="L41">
        <v>0.39052772080447706</v>
      </c>
      <c r="M41">
        <v>0.37025521417894308</v>
      </c>
      <c r="N41">
        <v>0.34441767797214717</v>
      </c>
      <c r="O41">
        <v>0.33898495070602391</v>
      </c>
      <c r="P41">
        <v>0.3786442361412643</v>
      </c>
      <c r="Q41">
        <v>0.39234567737006931</v>
      </c>
      <c r="R41">
        <v>0.41069422692345264</v>
      </c>
      <c r="S41">
        <v>0.40577813470596535</v>
      </c>
      <c r="T41">
        <v>0.38934602136274288</v>
      </c>
      <c r="U41">
        <v>0.38079102108844021</v>
      </c>
      <c r="V41">
        <v>0.31598338121273489</v>
      </c>
      <c r="W41">
        <v>0.32686604872784847</v>
      </c>
      <c r="X41">
        <v>0.31962689810161932</v>
      </c>
      <c r="Y41">
        <v>0.30816773781971812</v>
      </c>
      <c r="Z41">
        <v>0.31392186343108602</v>
      </c>
      <c r="AA41">
        <v>0.29958525401820485</v>
      </c>
      <c r="CE41" t="s">
        <v>319</v>
      </c>
      <c r="CF41">
        <v>0.49970761620309762</v>
      </c>
      <c r="CG41">
        <v>0.47829454949101124</v>
      </c>
      <c r="CH41">
        <v>0.45699290220727401</v>
      </c>
      <c r="CI41">
        <v>0.45353888846435053</v>
      </c>
      <c r="CJ41">
        <v>0.46233200751474091</v>
      </c>
      <c r="CK41">
        <v>0.4854488231842724</v>
      </c>
      <c r="CL41">
        <v>0.33294590203926022</v>
      </c>
      <c r="CM41">
        <v>0.30752809620032279</v>
      </c>
      <c r="CN41">
        <v>0.34640835835264122</v>
      </c>
      <c r="CO41">
        <v>0.37624215716785891</v>
      </c>
      <c r="CP41">
        <v>0.37478421148882823</v>
      </c>
      <c r="CQ41">
        <v>0.35815663436172612</v>
      </c>
      <c r="CR41">
        <v>0.214284443722598</v>
      </c>
      <c r="CS41">
        <v>0.22654373744610268</v>
      </c>
      <c r="CT41">
        <v>0.25821973124057096</v>
      </c>
      <c r="CU41">
        <v>0.27874253642701702</v>
      </c>
      <c r="CV41">
        <v>0.27076583569987434</v>
      </c>
      <c r="CW41">
        <v>0.2400272494415954</v>
      </c>
      <c r="CX41">
        <v>0.39252582712233364</v>
      </c>
      <c r="CY41">
        <v>0.38601750639418547</v>
      </c>
      <c r="CZ41">
        <v>0.40453821738094931</v>
      </c>
      <c r="DA41">
        <v>0.42652822348383335</v>
      </c>
      <c r="DB41">
        <v>0.41420412553436825</v>
      </c>
      <c r="DC41">
        <v>0.40481737272077406</v>
      </c>
      <c r="DE41" t="s">
        <v>320</v>
      </c>
      <c r="DF41" t="s">
        <v>111</v>
      </c>
      <c r="DG41" t="s">
        <v>112</v>
      </c>
      <c r="DH41">
        <v>0.54393480448476339</v>
      </c>
    </row>
    <row r="42" spans="2:112" x14ac:dyDescent="0.45">
      <c r="B42" t="s">
        <v>321</v>
      </c>
      <c r="C42" t="s">
        <v>107</v>
      </c>
      <c r="D42">
        <v>0.18693921491752008</v>
      </c>
      <c r="E42">
        <v>0.18610182885307561</v>
      </c>
      <c r="F42">
        <v>0.19512637293064783</v>
      </c>
      <c r="G42">
        <v>0.21482607756790442</v>
      </c>
      <c r="H42">
        <v>0.21988424209317681</v>
      </c>
      <c r="I42">
        <v>0.1968427289641988</v>
      </c>
      <c r="J42">
        <v>0.24360244157076374</v>
      </c>
      <c r="K42">
        <v>0.25712873629307909</v>
      </c>
      <c r="L42">
        <v>0.24261936261411446</v>
      </c>
      <c r="M42">
        <v>0.25220310111726507</v>
      </c>
      <c r="N42">
        <v>0.26514730428465233</v>
      </c>
      <c r="O42">
        <v>0.25102763909958553</v>
      </c>
      <c r="P42">
        <v>0.33113272061544158</v>
      </c>
      <c r="Q42">
        <v>0.37910482313603872</v>
      </c>
      <c r="R42">
        <v>0.40650121810027501</v>
      </c>
      <c r="S42">
        <v>0.38129157400030916</v>
      </c>
      <c r="T42">
        <v>0.34399896402631508</v>
      </c>
      <c r="U42">
        <v>0.3281656763234343</v>
      </c>
      <c r="V42">
        <v>0.22505433638932154</v>
      </c>
      <c r="W42">
        <v>0.24865366055984808</v>
      </c>
      <c r="X42">
        <v>0.24717063755099541</v>
      </c>
      <c r="Y42">
        <v>0.25188193721365987</v>
      </c>
      <c r="Z42">
        <v>0.2467108877274086</v>
      </c>
      <c r="AA42">
        <v>0.22682322052474871</v>
      </c>
      <c r="CE42" t="s">
        <v>321</v>
      </c>
      <c r="CF42">
        <v>0.70016970993268512</v>
      </c>
      <c r="CG42">
        <v>0.68432394289076703</v>
      </c>
      <c r="CH42">
        <v>0.66973032131197241</v>
      </c>
      <c r="CI42">
        <v>0.66070694984909306</v>
      </c>
      <c r="CJ42">
        <v>0.66461479270880708</v>
      </c>
      <c r="CK42">
        <v>0.69109169621350963</v>
      </c>
      <c r="CL42">
        <v>0.59713157436435604</v>
      </c>
      <c r="CM42">
        <v>0.59206827177385413</v>
      </c>
      <c r="CN42">
        <v>0.59112637143043323</v>
      </c>
      <c r="CO42">
        <v>0.57368597391884812</v>
      </c>
      <c r="CP42">
        <v>0.56158564896654539</v>
      </c>
      <c r="CQ42">
        <v>0.57116749766184405</v>
      </c>
      <c r="CR42">
        <v>0.33790289707658794</v>
      </c>
      <c r="CS42">
        <v>0.32127748266270556</v>
      </c>
      <c r="CT42">
        <v>0.30613889551373691</v>
      </c>
      <c r="CU42">
        <v>0.31952187084953065</v>
      </c>
      <c r="CV42">
        <v>0.34134701221431324</v>
      </c>
      <c r="CW42">
        <v>0.35219954951845073</v>
      </c>
      <c r="CX42">
        <v>0.5784559639885849</v>
      </c>
      <c r="CY42">
        <v>0.56936253741612775</v>
      </c>
      <c r="CZ42">
        <v>0.57874331645786359</v>
      </c>
      <c r="DA42">
        <v>0.56914240830306739</v>
      </c>
      <c r="DB42">
        <v>0.55991432570340127</v>
      </c>
      <c r="DC42">
        <v>0.5765862335738926</v>
      </c>
      <c r="DE42" t="s">
        <v>322</v>
      </c>
      <c r="DF42" t="s">
        <v>111</v>
      </c>
      <c r="DG42" t="s">
        <v>112</v>
      </c>
      <c r="DH42">
        <v>0.69842874893026019</v>
      </c>
    </row>
    <row r="43" spans="2:112" x14ac:dyDescent="0.45">
      <c r="B43" t="s">
        <v>323</v>
      </c>
      <c r="C43" t="s">
        <v>107</v>
      </c>
      <c r="D43">
        <v>0.17990500817421173</v>
      </c>
      <c r="E43">
        <v>0.18754064516644481</v>
      </c>
      <c r="F43">
        <v>0.19831154642335572</v>
      </c>
      <c r="G43">
        <v>0.21163126257747517</v>
      </c>
      <c r="H43">
        <v>0.20813707179397903</v>
      </c>
      <c r="I43">
        <v>0.18846849925763159</v>
      </c>
      <c r="J43">
        <v>0.24987101759876315</v>
      </c>
      <c r="K43">
        <v>0.26132400947898327</v>
      </c>
      <c r="L43">
        <v>0.25754584072944881</v>
      </c>
      <c r="M43">
        <v>0.26569601491532552</v>
      </c>
      <c r="N43">
        <v>0.26182448215510884</v>
      </c>
      <c r="O43">
        <v>0.24636582910114091</v>
      </c>
      <c r="P43">
        <v>0.38829076148051622</v>
      </c>
      <c r="Q43">
        <v>0.39073554944531397</v>
      </c>
      <c r="R43">
        <v>0.39270751673739035</v>
      </c>
      <c r="S43">
        <v>0.39848997284005655</v>
      </c>
      <c r="T43">
        <v>0.39742457385687835</v>
      </c>
      <c r="U43">
        <v>0.38905148245700188</v>
      </c>
      <c r="V43">
        <v>0.24733163475245684</v>
      </c>
      <c r="W43">
        <v>0.2549148796406937</v>
      </c>
      <c r="X43">
        <v>0.25256295002005186</v>
      </c>
      <c r="Y43">
        <v>0.25783553978478602</v>
      </c>
      <c r="Z43">
        <v>0.25045947945345864</v>
      </c>
      <c r="AA43">
        <v>0.23890295219644242</v>
      </c>
      <c r="CE43" t="s">
        <v>323</v>
      </c>
      <c r="CF43">
        <v>0.71131312744300457</v>
      </c>
      <c r="CG43">
        <v>0.69563983784517225</v>
      </c>
      <c r="CH43">
        <v>0.68496375852814451</v>
      </c>
      <c r="CI43">
        <v>0.6818926155412588</v>
      </c>
      <c r="CJ43">
        <v>0.69057405143906048</v>
      </c>
      <c r="CK43">
        <v>0.70816542160358409</v>
      </c>
      <c r="CL43">
        <v>0.57412131901000707</v>
      </c>
      <c r="CM43">
        <v>0.55942797552909984</v>
      </c>
      <c r="CN43">
        <v>0.56460029791116639</v>
      </c>
      <c r="CO43">
        <v>0.56740774264845584</v>
      </c>
      <c r="CP43">
        <v>0.5737790248335759</v>
      </c>
      <c r="CQ43">
        <v>0.58277595370550084</v>
      </c>
      <c r="CR43">
        <v>0.32266761693751855</v>
      </c>
      <c r="CS43">
        <v>0.32862421928222985</v>
      </c>
      <c r="CT43">
        <v>0.32518162437642495</v>
      </c>
      <c r="CU43">
        <v>0.32069049391524113</v>
      </c>
      <c r="CV43">
        <v>0.32682199584767097</v>
      </c>
      <c r="CW43">
        <v>0.32721558492449021</v>
      </c>
      <c r="CX43">
        <v>0.57456421181191142</v>
      </c>
      <c r="CY43">
        <v>0.57753477706693823</v>
      </c>
      <c r="CZ43">
        <v>0.58962666793054253</v>
      </c>
      <c r="DA43">
        <v>0.57965645926856335</v>
      </c>
      <c r="DB43">
        <v>0.57795159482686553</v>
      </c>
      <c r="DC43">
        <v>0.58519927269577865</v>
      </c>
      <c r="DE43" t="s">
        <v>324</v>
      </c>
      <c r="DF43" t="s">
        <v>111</v>
      </c>
      <c r="DG43" t="s">
        <v>112</v>
      </c>
      <c r="DH43">
        <v>0.57897747888165907</v>
      </c>
    </row>
    <row r="44" spans="2:112" x14ac:dyDescent="0.45">
      <c r="B44" t="s">
        <v>325</v>
      </c>
      <c r="C44" t="s">
        <v>107</v>
      </c>
      <c r="D44">
        <v>0.15130637267312594</v>
      </c>
      <c r="E44">
        <v>0.16281501076969968</v>
      </c>
      <c r="F44">
        <v>0.17222236432640015</v>
      </c>
      <c r="G44">
        <v>0.17357124534803836</v>
      </c>
      <c r="H44">
        <v>0.16398904046359583</v>
      </c>
      <c r="I44">
        <v>0.15062981589379415</v>
      </c>
      <c r="J44">
        <v>0.25289786608989118</v>
      </c>
      <c r="K44">
        <v>0.24767137493696992</v>
      </c>
      <c r="L44">
        <v>0.24445600334256051</v>
      </c>
      <c r="M44">
        <v>0.24283901348825473</v>
      </c>
      <c r="N44">
        <v>0.24481207191089102</v>
      </c>
      <c r="O44">
        <v>0.24360585328962941</v>
      </c>
      <c r="P44">
        <v>0.33198917712198922</v>
      </c>
      <c r="Q44">
        <v>0.31251001609516732</v>
      </c>
      <c r="R44">
        <v>0.33474568252712006</v>
      </c>
      <c r="S44">
        <v>0.34325620318139771</v>
      </c>
      <c r="T44">
        <v>0.33017188498151295</v>
      </c>
      <c r="U44">
        <v>0.32318009042787726</v>
      </c>
      <c r="V44">
        <v>0.2552755169997642</v>
      </c>
      <c r="W44">
        <v>0.2544170764994565</v>
      </c>
      <c r="X44">
        <v>0.2476545704613497</v>
      </c>
      <c r="Y44">
        <v>0.24772629030949558</v>
      </c>
      <c r="Z44">
        <v>0.24492477288771955</v>
      </c>
      <c r="AA44">
        <v>0.23837517690275847</v>
      </c>
      <c r="CE44" t="s">
        <v>325</v>
      </c>
      <c r="CF44">
        <v>0.7733123755880873</v>
      </c>
      <c r="CG44">
        <v>0.745830314791191</v>
      </c>
      <c r="CH44">
        <v>0.74549690162046078</v>
      </c>
      <c r="CI44">
        <v>0.75468852587555624</v>
      </c>
      <c r="CJ44">
        <v>0.76818608538285715</v>
      </c>
      <c r="CK44">
        <v>0.78272499172251842</v>
      </c>
      <c r="CL44">
        <v>0.60747741531590893</v>
      </c>
      <c r="CM44">
        <v>0.6097291768378984</v>
      </c>
      <c r="CN44">
        <v>0.61743748929492404</v>
      </c>
      <c r="CO44">
        <v>0.62095657764220902</v>
      </c>
      <c r="CP44">
        <v>0.6288208445371386</v>
      </c>
      <c r="CQ44">
        <v>0.63224109414105822</v>
      </c>
      <c r="CR44">
        <v>0.44493535227840902</v>
      </c>
      <c r="CS44">
        <v>0.44777507885752005</v>
      </c>
      <c r="CT44">
        <v>0.43196092818606008</v>
      </c>
      <c r="CU44">
        <v>0.43073347547959318</v>
      </c>
      <c r="CV44">
        <v>0.43568396042358282</v>
      </c>
      <c r="CW44">
        <v>0.43532624902511924</v>
      </c>
      <c r="CX44">
        <v>0.6239053519241341</v>
      </c>
      <c r="CY44">
        <v>0.64679746458658594</v>
      </c>
      <c r="CZ44">
        <v>0.64895587513838615</v>
      </c>
      <c r="DA44">
        <v>0.64778810835874412</v>
      </c>
      <c r="DB44">
        <v>0.64937974730627901</v>
      </c>
      <c r="DC44">
        <v>0.64274431818605937</v>
      </c>
      <c r="DE44" t="s">
        <v>326</v>
      </c>
      <c r="DF44" t="s">
        <v>111</v>
      </c>
      <c r="DG44" t="s">
        <v>112</v>
      </c>
      <c r="DH44">
        <v>0.5332631722442458</v>
      </c>
    </row>
    <row r="45" spans="2:112" x14ac:dyDescent="0.45">
      <c r="B45" t="s">
        <v>327</v>
      </c>
      <c r="C45" t="s">
        <v>107</v>
      </c>
      <c r="D45">
        <v>0.1584069832874459</v>
      </c>
      <c r="E45">
        <v>0.1828877097774855</v>
      </c>
      <c r="F45">
        <v>0.15315171632876345</v>
      </c>
      <c r="G45">
        <v>0.1419363046538597</v>
      </c>
      <c r="H45">
        <v>0.1203721613156498</v>
      </c>
      <c r="I45">
        <v>0.13529484575562514</v>
      </c>
      <c r="J45">
        <v>0.22706180089103498</v>
      </c>
      <c r="K45">
        <v>0.22110550035609694</v>
      </c>
      <c r="L45">
        <v>0.21301835817930273</v>
      </c>
      <c r="M45">
        <v>0.21594430279507582</v>
      </c>
      <c r="N45">
        <v>0.22639963804679505</v>
      </c>
      <c r="O45">
        <v>0.22630431774957124</v>
      </c>
      <c r="P45">
        <v>0.25774131043201975</v>
      </c>
      <c r="Q45">
        <v>0.26792394173672823</v>
      </c>
      <c r="R45">
        <v>0.26134244593295697</v>
      </c>
      <c r="S45">
        <v>0.25036382238040755</v>
      </c>
      <c r="T45">
        <v>0.25325154405176648</v>
      </c>
      <c r="U45">
        <v>0.24838608870416412</v>
      </c>
      <c r="V45">
        <v>0.24445829057418667</v>
      </c>
      <c r="W45">
        <v>0.24949275596627743</v>
      </c>
      <c r="X45">
        <v>0.2619921767096795</v>
      </c>
      <c r="Y45">
        <v>0.2499306740739948</v>
      </c>
      <c r="Z45">
        <v>0.2452049902941883</v>
      </c>
      <c r="AA45">
        <v>0.25585652267031045</v>
      </c>
      <c r="CE45" t="s">
        <v>327</v>
      </c>
      <c r="CF45">
        <v>0.76594798908178974</v>
      </c>
      <c r="CG45">
        <v>0.7417164895047571</v>
      </c>
      <c r="CH45">
        <v>0.77949331271072553</v>
      </c>
      <c r="CI45">
        <v>0.78994787066185546</v>
      </c>
      <c r="CJ45">
        <v>0.80987910241670502</v>
      </c>
      <c r="CK45">
        <v>0.79421738685489529</v>
      </c>
      <c r="CL45">
        <v>0.65441129960018241</v>
      </c>
      <c r="CM45">
        <v>0.66204662773781053</v>
      </c>
      <c r="CN45">
        <v>0.66903233250462235</v>
      </c>
      <c r="CO45">
        <v>0.68007123425293425</v>
      </c>
      <c r="CP45">
        <v>0.664535944176327</v>
      </c>
      <c r="CQ45">
        <v>0.64761035281232804</v>
      </c>
      <c r="CR45">
        <v>0.57438639729839547</v>
      </c>
      <c r="CS45">
        <v>0.55652304367747263</v>
      </c>
      <c r="CT45">
        <v>0.56163985679754691</v>
      </c>
      <c r="CU45">
        <v>0.58877818194203568</v>
      </c>
      <c r="CV45">
        <v>0.60052561886398292</v>
      </c>
      <c r="CW45">
        <v>0.59185806696004062</v>
      </c>
      <c r="CX45">
        <v>0.62530118260785883</v>
      </c>
      <c r="CY45">
        <v>0.60488905564567774</v>
      </c>
      <c r="CZ45">
        <v>0.61501515564452203</v>
      </c>
      <c r="DA45">
        <v>0.63726094461977478</v>
      </c>
      <c r="DB45">
        <v>0.6360556626717806</v>
      </c>
      <c r="DC45">
        <v>0.62527909250026059</v>
      </c>
      <c r="DE45" t="s">
        <v>328</v>
      </c>
      <c r="DF45" t="s">
        <v>111</v>
      </c>
      <c r="DG45" t="s">
        <v>112</v>
      </c>
      <c r="DH45">
        <v>0.55321965794643979</v>
      </c>
    </row>
    <row r="46" spans="2:112" x14ac:dyDescent="0.45">
      <c r="B46" t="s">
        <v>329</v>
      </c>
      <c r="C46" t="s">
        <v>107</v>
      </c>
      <c r="D46">
        <v>0.15132829384272314</v>
      </c>
      <c r="E46">
        <v>0.16489749012880259</v>
      </c>
      <c r="F46">
        <v>0.17103831596424968</v>
      </c>
      <c r="G46">
        <v>0.15145699508242508</v>
      </c>
      <c r="H46">
        <v>0.13599820651765537</v>
      </c>
      <c r="I46">
        <v>0.13867161504250472</v>
      </c>
      <c r="J46">
        <v>0.25304815280473303</v>
      </c>
      <c r="K46">
        <v>0.24524805093241261</v>
      </c>
      <c r="L46">
        <v>0.24515839926743341</v>
      </c>
      <c r="M46">
        <v>0.24970100107017415</v>
      </c>
      <c r="N46">
        <v>0.25993300873402991</v>
      </c>
      <c r="O46">
        <v>0.25621019751127916</v>
      </c>
      <c r="P46">
        <v>0.28012441346005679</v>
      </c>
      <c r="Q46">
        <v>0.28899234908314086</v>
      </c>
      <c r="R46">
        <v>0.29539951059199676</v>
      </c>
      <c r="S46">
        <v>0.29023916748149614</v>
      </c>
      <c r="T46">
        <v>0.27475750480825062</v>
      </c>
      <c r="U46">
        <v>0.27945773447732014</v>
      </c>
      <c r="V46">
        <v>0.24620100921117713</v>
      </c>
      <c r="W46">
        <v>0.23020584662803745</v>
      </c>
      <c r="X46">
        <v>0.24272451016356608</v>
      </c>
      <c r="Y46">
        <v>0.24903904562107676</v>
      </c>
      <c r="Z46">
        <v>0.24471452193284945</v>
      </c>
      <c r="AA46">
        <v>0.23975719267992204</v>
      </c>
      <c r="CE46" t="s">
        <v>329</v>
      </c>
      <c r="CF46">
        <v>0.77376768054157852</v>
      </c>
      <c r="CG46">
        <v>0.75467535997054158</v>
      </c>
      <c r="CH46">
        <v>0.75510243516960729</v>
      </c>
      <c r="CI46">
        <v>0.7802469733804992</v>
      </c>
      <c r="CJ46">
        <v>0.78924744646215661</v>
      </c>
      <c r="CK46">
        <v>0.79551767311032584</v>
      </c>
      <c r="CL46">
        <v>0.61628481804991619</v>
      </c>
      <c r="CM46">
        <v>0.62454851775545384</v>
      </c>
      <c r="CN46">
        <v>0.63406900498662244</v>
      </c>
      <c r="CO46">
        <v>0.64118641873669813</v>
      </c>
      <c r="CP46">
        <v>0.63463945254546794</v>
      </c>
      <c r="CQ46">
        <v>0.62611067634716422</v>
      </c>
      <c r="CR46">
        <v>0.51546583256328393</v>
      </c>
      <c r="CS46">
        <v>0.50155219778117965</v>
      </c>
      <c r="CT46">
        <v>0.48603376816147298</v>
      </c>
      <c r="CU46">
        <v>0.50597816357673209</v>
      </c>
      <c r="CV46">
        <v>0.51755160474535034</v>
      </c>
      <c r="CW46">
        <v>0.5101906461445388</v>
      </c>
      <c r="CX46">
        <v>0.63016253557201141</v>
      </c>
      <c r="CY46">
        <v>0.6502213173533139</v>
      </c>
      <c r="CZ46">
        <v>0.63806981791851303</v>
      </c>
      <c r="DA46">
        <v>0.65252421563599072</v>
      </c>
      <c r="DB46">
        <v>0.66137355498152695</v>
      </c>
      <c r="DC46">
        <v>0.64941376279076435</v>
      </c>
      <c r="DE46" t="s">
        <v>330</v>
      </c>
      <c r="DF46" t="s">
        <v>111</v>
      </c>
      <c r="DG46" t="s">
        <v>112</v>
      </c>
      <c r="DH46">
        <v>0.51231650404842854</v>
      </c>
    </row>
    <row r="47" spans="2:112" x14ac:dyDescent="0.45">
      <c r="B47" t="s">
        <v>331</v>
      </c>
      <c r="C47" t="s">
        <v>107</v>
      </c>
      <c r="D47">
        <v>0.1802864871996504</v>
      </c>
      <c r="E47">
        <v>0.1646017019284991</v>
      </c>
      <c r="F47">
        <v>0.16552156595212647</v>
      </c>
      <c r="G47">
        <v>0.18882733381127204</v>
      </c>
      <c r="H47">
        <v>0.18065480767188552</v>
      </c>
      <c r="I47">
        <v>0.18585214256087515</v>
      </c>
      <c r="J47">
        <v>0.30296720032155372</v>
      </c>
      <c r="K47">
        <v>0.31688419287109326</v>
      </c>
      <c r="L47">
        <v>0.28799441522942076</v>
      </c>
      <c r="M47">
        <v>0.26887229859310524</v>
      </c>
      <c r="N47">
        <v>0.2878439129640486</v>
      </c>
      <c r="O47">
        <v>0.30167627298937155</v>
      </c>
      <c r="P47">
        <v>0.31192793656108886</v>
      </c>
      <c r="Q47">
        <v>0.30530696286613451</v>
      </c>
      <c r="R47">
        <v>0.31427108069345788</v>
      </c>
      <c r="S47">
        <v>0.30349382977356776</v>
      </c>
      <c r="T47">
        <v>0.31486009049880237</v>
      </c>
      <c r="U47">
        <v>0.32665239760504972</v>
      </c>
      <c r="V47">
        <v>0.24709111326363184</v>
      </c>
      <c r="W47">
        <v>0.25194883966664061</v>
      </c>
      <c r="X47">
        <v>0.27382959885327823</v>
      </c>
      <c r="Y47">
        <v>0.25451926820507925</v>
      </c>
      <c r="Z47">
        <v>0.2533709127666065</v>
      </c>
      <c r="AA47">
        <v>0.2620363724120055</v>
      </c>
      <c r="CE47" t="s">
        <v>331</v>
      </c>
      <c r="CF47">
        <v>0.74616070866728379</v>
      </c>
      <c r="CG47">
        <v>0.76914190551420192</v>
      </c>
      <c r="CH47">
        <v>0.75898444972477375</v>
      </c>
      <c r="CI47">
        <v>0.73052793779480574</v>
      </c>
      <c r="CJ47">
        <v>0.74591194121419235</v>
      </c>
      <c r="CK47">
        <v>0.74842711213774538</v>
      </c>
      <c r="CL47">
        <v>0.55934010968403225</v>
      </c>
      <c r="CM47">
        <v>0.53937927576263356</v>
      </c>
      <c r="CN47">
        <v>0.55556106122635962</v>
      </c>
      <c r="CO47">
        <v>0.58788087117605103</v>
      </c>
      <c r="CP47">
        <v>0.59066435325169908</v>
      </c>
      <c r="CQ47">
        <v>0.58649356596550928</v>
      </c>
      <c r="CR47">
        <v>0.51391254197800362</v>
      </c>
      <c r="CS47">
        <v>0.51263598220753126</v>
      </c>
      <c r="CT47">
        <v>0.50897264949369159</v>
      </c>
      <c r="CU47">
        <v>0.52701640967017249</v>
      </c>
      <c r="CV47">
        <v>0.51607245826083026</v>
      </c>
      <c r="CW47">
        <v>0.5115147382672055</v>
      </c>
      <c r="CX47">
        <v>0.62922623685195067</v>
      </c>
      <c r="CY47">
        <v>0.5938177646308983</v>
      </c>
      <c r="CZ47">
        <v>0.5801002826748245</v>
      </c>
      <c r="DA47">
        <v>0.60421956418403266</v>
      </c>
      <c r="DB47">
        <v>0.61703773862817324</v>
      </c>
      <c r="DC47">
        <v>0.62633629998426565</v>
      </c>
      <c r="DE47" t="s">
        <v>332</v>
      </c>
      <c r="DF47" t="s">
        <v>111</v>
      </c>
      <c r="DG47" t="s">
        <v>112</v>
      </c>
      <c r="DH47">
        <v>0.42020811524821311</v>
      </c>
    </row>
    <row r="48" spans="2:112" x14ac:dyDescent="0.45">
      <c r="B48" t="s">
        <v>333</v>
      </c>
      <c r="C48" t="s">
        <v>107</v>
      </c>
      <c r="D48">
        <v>0.15188859599320026</v>
      </c>
      <c r="E48">
        <v>0.16432366104640175</v>
      </c>
      <c r="F48">
        <v>0.17475577786793414</v>
      </c>
      <c r="G48">
        <v>0.15875984488095748</v>
      </c>
      <c r="H48">
        <v>0.16281825921776902</v>
      </c>
      <c r="I48">
        <v>0.17563643088542744</v>
      </c>
      <c r="J48">
        <v>0.28176305257266093</v>
      </c>
      <c r="K48">
        <v>0.28796003050543234</v>
      </c>
      <c r="L48">
        <v>0.2632273584615038</v>
      </c>
      <c r="M48">
        <v>0.26224883801970911</v>
      </c>
      <c r="N48">
        <v>0.26292284131878291</v>
      </c>
      <c r="O48">
        <v>0.27445573299808185</v>
      </c>
      <c r="P48">
        <v>0.29708082399577906</v>
      </c>
      <c r="Q48">
        <v>0.28569512529351143</v>
      </c>
      <c r="R48">
        <v>0.29879933934868486</v>
      </c>
      <c r="S48">
        <v>0.30164577030258399</v>
      </c>
      <c r="T48">
        <v>0.29751041749685359</v>
      </c>
      <c r="U48">
        <v>0.29101249283728703</v>
      </c>
      <c r="V48">
        <v>0.24250139520175204</v>
      </c>
      <c r="W48">
        <v>0.2604771617395274</v>
      </c>
      <c r="X48">
        <v>0.24703579730604802</v>
      </c>
      <c r="Y48">
        <v>0.25094109165727169</v>
      </c>
      <c r="Z48">
        <v>0.26794862839409139</v>
      </c>
      <c r="AA48">
        <v>0.26384891188091097</v>
      </c>
      <c r="CE48" t="s">
        <v>333</v>
      </c>
      <c r="CF48">
        <v>0.77703769193210492</v>
      </c>
      <c r="CG48">
        <v>0.75865689896361288</v>
      </c>
      <c r="CH48">
        <v>0.73362875165071351</v>
      </c>
      <c r="CI48">
        <v>0.75301944406411714</v>
      </c>
      <c r="CJ48">
        <v>0.75875370727624092</v>
      </c>
      <c r="CK48">
        <v>0.75231210230355605</v>
      </c>
      <c r="CL48">
        <v>0.57867353603286287</v>
      </c>
      <c r="CM48">
        <v>0.57747725043985976</v>
      </c>
      <c r="CN48">
        <v>0.58880634265206622</v>
      </c>
      <c r="CO48">
        <v>0.60067399403342436</v>
      </c>
      <c r="CP48">
        <v>0.60021517652071488</v>
      </c>
      <c r="CQ48">
        <v>0.59569590800653482</v>
      </c>
      <c r="CR48">
        <v>0.52479081554542861</v>
      </c>
      <c r="CS48">
        <v>0.52432979223211174</v>
      </c>
      <c r="CT48">
        <v>0.52782914044343543</v>
      </c>
      <c r="CU48">
        <v>0.52869871123035628</v>
      </c>
      <c r="CV48">
        <v>0.52260872675726844</v>
      </c>
      <c r="CW48">
        <v>0.52235447162796622</v>
      </c>
      <c r="CX48">
        <v>0.62157473349287273</v>
      </c>
      <c r="CY48">
        <v>0.59076963856093767</v>
      </c>
      <c r="CZ48">
        <v>0.60980492269889119</v>
      </c>
      <c r="DA48">
        <v>0.61991279758244211</v>
      </c>
      <c r="DB48">
        <v>0.60925564146152511</v>
      </c>
      <c r="DC48">
        <v>0.61008414543798239</v>
      </c>
      <c r="DE48" t="s">
        <v>334</v>
      </c>
      <c r="DF48" t="s">
        <v>111</v>
      </c>
      <c r="DG48" t="s">
        <v>112</v>
      </c>
      <c r="DH48">
        <v>0.46592556098655241</v>
      </c>
    </row>
    <row r="49" spans="2:112" x14ac:dyDescent="0.45">
      <c r="B49" t="s">
        <v>335</v>
      </c>
      <c r="C49" t="s">
        <v>107</v>
      </c>
      <c r="D49">
        <v>0.14625134451783448</v>
      </c>
      <c r="E49">
        <v>0.16880643808310278</v>
      </c>
      <c r="F49">
        <v>0.19067852086361953</v>
      </c>
      <c r="G49">
        <v>0.18019674733301488</v>
      </c>
      <c r="H49">
        <v>0.16322446835447987</v>
      </c>
      <c r="I49">
        <v>0.14885569881230412</v>
      </c>
      <c r="J49">
        <v>0.29577188550101813</v>
      </c>
      <c r="K49">
        <v>0.29558633434501075</v>
      </c>
      <c r="L49">
        <v>0.28686985320608732</v>
      </c>
      <c r="M49">
        <v>0.28532649569600532</v>
      </c>
      <c r="N49">
        <v>0.2937955861819358</v>
      </c>
      <c r="O49">
        <v>0.30174176617709703</v>
      </c>
      <c r="P49">
        <v>0.30578391919586173</v>
      </c>
      <c r="Q49">
        <v>0.30731748276996773</v>
      </c>
      <c r="R49">
        <v>0.32036835135198638</v>
      </c>
      <c r="S49">
        <v>0.32140885423338728</v>
      </c>
      <c r="T49">
        <v>0.30713811008656006</v>
      </c>
      <c r="U49">
        <v>0.29703768219327009</v>
      </c>
      <c r="V49">
        <v>0.25409534488917229</v>
      </c>
      <c r="W49">
        <v>0.24750287948492194</v>
      </c>
      <c r="X49">
        <v>0.24502120613930611</v>
      </c>
      <c r="Y49">
        <v>0.26454814523120102</v>
      </c>
      <c r="Z49">
        <v>0.26239902316076269</v>
      </c>
      <c r="AA49">
        <v>0.24813681836215759</v>
      </c>
      <c r="CE49" t="s">
        <v>335</v>
      </c>
      <c r="CF49">
        <v>0.77126242170024051</v>
      </c>
      <c r="CG49">
        <v>0.74417221676094125</v>
      </c>
      <c r="CH49">
        <v>0.72046922232976052</v>
      </c>
      <c r="CI49">
        <v>0.73466511840338777</v>
      </c>
      <c r="CJ49">
        <v>0.75189787281878484</v>
      </c>
      <c r="CK49">
        <v>0.77357771189193092</v>
      </c>
      <c r="CL49">
        <v>0.56975558739465326</v>
      </c>
      <c r="CM49">
        <v>0.56688954174557526</v>
      </c>
      <c r="CN49">
        <v>0.57646300729571387</v>
      </c>
      <c r="CO49">
        <v>0.58513243494151457</v>
      </c>
      <c r="CP49">
        <v>0.58349913167752865</v>
      </c>
      <c r="CQ49">
        <v>0.58566629142451099</v>
      </c>
      <c r="CR49">
        <v>0.49536057839826458</v>
      </c>
      <c r="CS49">
        <v>0.49105313076104706</v>
      </c>
      <c r="CT49">
        <v>0.48065605811191509</v>
      </c>
      <c r="CU49">
        <v>0.48968997294513822</v>
      </c>
      <c r="CV49">
        <v>0.49693877871139264</v>
      </c>
      <c r="CW49">
        <v>0.49021974052264511</v>
      </c>
      <c r="CX49">
        <v>0.61298856053943684</v>
      </c>
      <c r="CY49">
        <v>0.61832598987003107</v>
      </c>
      <c r="CZ49">
        <v>0.62192238464658511</v>
      </c>
      <c r="DA49">
        <v>0.61641258601006976</v>
      </c>
      <c r="DB49">
        <v>0.62732951252149627</v>
      </c>
      <c r="DC49">
        <v>0.62922640489003578</v>
      </c>
      <c r="DE49" t="s">
        <v>336</v>
      </c>
      <c r="DF49" t="s">
        <v>111</v>
      </c>
      <c r="DG49" t="s">
        <v>112</v>
      </c>
      <c r="DH49">
        <v>0.64854991865464395</v>
      </c>
    </row>
    <row r="50" spans="2:112" x14ac:dyDescent="0.45">
      <c r="B50" t="s">
        <v>337</v>
      </c>
      <c r="C50" t="s">
        <v>107</v>
      </c>
      <c r="D50">
        <v>0.18757563355983806</v>
      </c>
      <c r="E50">
        <v>0.19432511860595258</v>
      </c>
      <c r="F50">
        <v>0.18763622005627462</v>
      </c>
      <c r="G50">
        <v>0.20906121116528537</v>
      </c>
      <c r="H50">
        <v>0.1977836648073745</v>
      </c>
      <c r="I50">
        <v>0.18562670226930764</v>
      </c>
      <c r="J50">
        <v>0.29208264740272322</v>
      </c>
      <c r="K50">
        <v>0.31516830160443066</v>
      </c>
      <c r="L50">
        <v>0.31419996310845738</v>
      </c>
      <c r="M50">
        <v>0.32062685054549867</v>
      </c>
      <c r="N50">
        <v>0.29430980048409866</v>
      </c>
      <c r="O50">
        <v>0.27127285360001263</v>
      </c>
      <c r="P50">
        <v>0.29446896936127265</v>
      </c>
      <c r="Q50">
        <v>0.29476752697170727</v>
      </c>
      <c r="R50">
        <v>0.30733254400654736</v>
      </c>
      <c r="S50">
        <v>0.31216160011699323</v>
      </c>
      <c r="T50">
        <v>0.31543973933094388</v>
      </c>
      <c r="U50">
        <v>0.30560771189375951</v>
      </c>
      <c r="V50">
        <v>0.23119984085805398</v>
      </c>
      <c r="W50">
        <v>0.22736415295494555</v>
      </c>
      <c r="X50">
        <v>0.23087967658125486</v>
      </c>
      <c r="Y50">
        <v>0.23838128261055874</v>
      </c>
      <c r="Z50">
        <v>0.23992221300799124</v>
      </c>
      <c r="AA50">
        <v>0.24464157438753256</v>
      </c>
      <c r="CE50" t="s">
        <v>337</v>
      </c>
      <c r="CF50">
        <v>0.72110821027000638</v>
      </c>
      <c r="CG50">
        <v>0.71351248987287619</v>
      </c>
      <c r="CH50">
        <v>0.70097181155907873</v>
      </c>
      <c r="CI50">
        <v>0.68213248265967907</v>
      </c>
      <c r="CJ50">
        <v>0.69967437531085352</v>
      </c>
      <c r="CK50">
        <v>0.71963587846582566</v>
      </c>
      <c r="CL50">
        <v>0.56407760521365724</v>
      </c>
      <c r="CM50">
        <v>0.52513930671460796</v>
      </c>
      <c r="CN50">
        <v>0.52670085567952118</v>
      </c>
      <c r="CO50">
        <v>0.53526892942799464</v>
      </c>
      <c r="CP50">
        <v>0.56836818374218034</v>
      </c>
      <c r="CQ50">
        <v>0.5957228806277135</v>
      </c>
      <c r="CR50">
        <v>0.49491902232725082</v>
      </c>
      <c r="CS50">
        <v>0.49593149461730623</v>
      </c>
      <c r="CT50">
        <v>0.48553447180637022</v>
      </c>
      <c r="CU50">
        <v>0.48648909219509706</v>
      </c>
      <c r="CV50">
        <v>0.48635701116237429</v>
      </c>
      <c r="CW50">
        <v>0.49329642539739094</v>
      </c>
      <c r="CX50">
        <v>0.6415185463924864</v>
      </c>
      <c r="CY50">
        <v>0.62564171253747458</v>
      </c>
      <c r="CZ50">
        <v>0.61833795694624916</v>
      </c>
      <c r="DA50">
        <v>0.62611335019582326</v>
      </c>
      <c r="DB50">
        <v>0.6213121437853415</v>
      </c>
      <c r="DC50">
        <v>0.62328114816640723</v>
      </c>
      <c r="DE50" t="s">
        <v>338</v>
      </c>
      <c r="DF50" t="s">
        <v>111</v>
      </c>
      <c r="DG50" t="s">
        <v>112</v>
      </c>
      <c r="DH50">
        <v>0.72926850140982802</v>
      </c>
    </row>
    <row r="51" spans="2:112" x14ac:dyDescent="0.45">
      <c r="B51" t="s">
        <v>339</v>
      </c>
      <c r="C51" t="s">
        <v>107</v>
      </c>
      <c r="D51">
        <v>0.19375749771093873</v>
      </c>
      <c r="E51">
        <v>0.18882137906672303</v>
      </c>
      <c r="F51">
        <v>0.16493037584627013</v>
      </c>
      <c r="G51">
        <v>0.18748559052685151</v>
      </c>
      <c r="H51">
        <v>0.20564499163267111</v>
      </c>
      <c r="I51">
        <v>0.18759916035913624</v>
      </c>
      <c r="J51">
        <v>0.29565987864307075</v>
      </c>
      <c r="K51">
        <v>0.31282503164662689</v>
      </c>
      <c r="L51">
        <v>0.30881312003663797</v>
      </c>
      <c r="M51">
        <v>0.29215548090634363</v>
      </c>
      <c r="N51">
        <v>0.2882240104118578</v>
      </c>
      <c r="O51">
        <v>0.27527870414946176</v>
      </c>
      <c r="P51">
        <v>0.31276765347293278</v>
      </c>
      <c r="Q51">
        <v>0.30572191288904477</v>
      </c>
      <c r="R51">
        <v>0.30962093218386255</v>
      </c>
      <c r="S51">
        <v>0.29687072497676048</v>
      </c>
      <c r="T51">
        <v>0.29867651618511215</v>
      </c>
      <c r="U51">
        <v>0.31790135343218778</v>
      </c>
      <c r="V51">
        <v>0.25091091320594161</v>
      </c>
      <c r="W51">
        <v>0.24299076263786321</v>
      </c>
      <c r="X51">
        <v>0.25536623135558201</v>
      </c>
      <c r="Y51">
        <v>0.25660904897095776</v>
      </c>
      <c r="Z51">
        <v>0.24850144205996072</v>
      </c>
      <c r="AA51">
        <v>0.24804850111448876</v>
      </c>
      <c r="CE51" t="s">
        <v>339</v>
      </c>
      <c r="CF51">
        <v>0.71885132137439467</v>
      </c>
      <c r="CG51">
        <v>0.7208092190756975</v>
      </c>
      <c r="CH51">
        <v>0.74911413323514597</v>
      </c>
      <c r="CI51">
        <v>0.71650819081185968</v>
      </c>
      <c r="CJ51">
        <v>0.69711816954831196</v>
      </c>
      <c r="CK51">
        <v>0.72314053490669772</v>
      </c>
      <c r="CL51">
        <v>0.56950333761006899</v>
      </c>
      <c r="CM51">
        <v>0.53497412615898299</v>
      </c>
      <c r="CN51">
        <v>0.52896139407304188</v>
      </c>
      <c r="CO51">
        <v>0.54591724459394453</v>
      </c>
      <c r="CP51">
        <v>0.57819323151792945</v>
      </c>
      <c r="CQ51">
        <v>0.59802911823392746</v>
      </c>
      <c r="CR51">
        <v>0.50186404648850236</v>
      </c>
      <c r="CS51">
        <v>0.49479429868240049</v>
      </c>
      <c r="CT51">
        <v>0.48644284234433743</v>
      </c>
      <c r="CU51">
        <v>0.50010799927810479</v>
      </c>
      <c r="CV51">
        <v>0.50573467263278971</v>
      </c>
      <c r="CW51">
        <v>0.50164093611815841</v>
      </c>
      <c r="CX51">
        <v>0.63845846458097899</v>
      </c>
      <c r="CY51">
        <v>0.63381874442814445</v>
      </c>
      <c r="CZ51">
        <v>0.60833169613907934</v>
      </c>
      <c r="DA51">
        <v>0.60628599939771111</v>
      </c>
      <c r="DB51">
        <v>0.61423542544844223</v>
      </c>
      <c r="DC51">
        <v>0.63509359377341912</v>
      </c>
      <c r="DE51" t="s">
        <v>340</v>
      </c>
      <c r="DF51" t="s">
        <v>111</v>
      </c>
      <c r="DG51" t="s">
        <v>112</v>
      </c>
      <c r="DH51">
        <v>0.69455798137709579</v>
      </c>
    </row>
    <row r="52" spans="2:112" x14ac:dyDescent="0.45">
      <c r="B52" t="s">
        <v>341</v>
      </c>
      <c r="C52" t="s">
        <v>107</v>
      </c>
      <c r="D52">
        <v>0.2206453529523551</v>
      </c>
      <c r="E52">
        <v>0.23848522224740171</v>
      </c>
      <c r="F52">
        <v>0.21672255142560076</v>
      </c>
      <c r="G52">
        <v>0.21626839022003524</v>
      </c>
      <c r="H52">
        <v>0.22758904086724552</v>
      </c>
      <c r="I52">
        <v>0.23138576990876822</v>
      </c>
      <c r="J52">
        <v>0.30277760224658717</v>
      </c>
      <c r="K52">
        <v>0.29326978240205132</v>
      </c>
      <c r="L52">
        <v>0.30559249012114814</v>
      </c>
      <c r="M52">
        <v>0.30613191326014461</v>
      </c>
      <c r="N52">
        <v>0.30430840824794314</v>
      </c>
      <c r="O52">
        <v>0.30077681616697288</v>
      </c>
      <c r="P52">
        <v>0.34219762171878415</v>
      </c>
      <c r="Q52">
        <v>0.34355933481079098</v>
      </c>
      <c r="R52">
        <v>0.34446664764268048</v>
      </c>
      <c r="S52">
        <v>0.34548816039345082</v>
      </c>
      <c r="T52">
        <v>0.35392503780923346</v>
      </c>
      <c r="U52">
        <v>0.36045278501807798</v>
      </c>
      <c r="V52">
        <v>0.29115638018582757</v>
      </c>
      <c r="W52">
        <v>0.26954753686898342</v>
      </c>
      <c r="X52">
        <v>0.25465386070958185</v>
      </c>
      <c r="Y52">
        <v>0.27137077190602971</v>
      </c>
      <c r="Z52">
        <v>0.29950767106151205</v>
      </c>
      <c r="AA52">
        <v>0.28201351357881932</v>
      </c>
      <c r="CE52" t="s">
        <v>341</v>
      </c>
      <c r="CF52">
        <v>0.67801308977901675</v>
      </c>
      <c r="CG52">
        <v>0.66597825908143293</v>
      </c>
      <c r="CH52">
        <v>0.68230197925030744</v>
      </c>
      <c r="CI52">
        <v>0.69616261153444403</v>
      </c>
      <c r="CJ52">
        <v>0.67675931664146727</v>
      </c>
      <c r="CK52">
        <v>0.67847938129744501</v>
      </c>
      <c r="CL52">
        <v>0.56361498608183735</v>
      </c>
      <c r="CM52">
        <v>0.54141014721086167</v>
      </c>
      <c r="CN52">
        <v>0.53223574946377028</v>
      </c>
      <c r="CO52">
        <v>0.52555268883830897</v>
      </c>
      <c r="CP52">
        <v>0.52897202604746296</v>
      </c>
      <c r="CQ52">
        <v>0.55262127293227015</v>
      </c>
      <c r="CR52">
        <v>0.45655698979482684</v>
      </c>
      <c r="CS52">
        <v>0.4494691019699304</v>
      </c>
      <c r="CT52">
        <v>0.46239793132747853</v>
      </c>
      <c r="CU52">
        <v>0.48301429584591904</v>
      </c>
      <c r="CV52">
        <v>0.49190723410732812</v>
      </c>
      <c r="CW52">
        <v>0.47585587808594132</v>
      </c>
      <c r="CX52">
        <v>0.57476964321719293</v>
      </c>
      <c r="CY52">
        <v>0.58085592725049318</v>
      </c>
      <c r="CZ52">
        <v>0.5922496000719697</v>
      </c>
      <c r="DA52">
        <v>0.59374668393099839</v>
      </c>
      <c r="DB52">
        <v>0.57845125630499505</v>
      </c>
      <c r="DC52">
        <v>0.56942018516865367</v>
      </c>
      <c r="DE52" t="s">
        <v>342</v>
      </c>
      <c r="DF52" t="s">
        <v>111</v>
      </c>
      <c r="DG52" t="s">
        <v>112</v>
      </c>
      <c r="DH52">
        <v>0.75551256478113693</v>
      </c>
    </row>
    <row r="53" spans="2:112" x14ac:dyDescent="0.45">
      <c r="B53" t="s">
        <v>343</v>
      </c>
      <c r="C53" t="s">
        <v>107</v>
      </c>
      <c r="D53">
        <v>0.2040890535159314</v>
      </c>
      <c r="E53">
        <v>0.22876873203096995</v>
      </c>
      <c r="F53">
        <v>0.20445129928272904</v>
      </c>
      <c r="G53">
        <v>0.19820891317908873</v>
      </c>
      <c r="H53">
        <v>0.22531740990709179</v>
      </c>
      <c r="I53">
        <v>0.22876475010370387</v>
      </c>
      <c r="J53">
        <v>0.295763347957398</v>
      </c>
      <c r="K53">
        <v>0.30807298066206057</v>
      </c>
      <c r="L53">
        <v>0.30640745767575728</v>
      </c>
      <c r="M53">
        <v>0.30437712034620118</v>
      </c>
      <c r="N53">
        <v>0.29418616072544512</v>
      </c>
      <c r="O53">
        <v>0.28597117378923931</v>
      </c>
      <c r="P53">
        <v>0.33713815166878047</v>
      </c>
      <c r="Q53">
        <v>0.34172037999407617</v>
      </c>
      <c r="R53">
        <v>0.34763020848163434</v>
      </c>
      <c r="S53">
        <v>0.32882202945547029</v>
      </c>
      <c r="T53">
        <v>0.32414784006471464</v>
      </c>
      <c r="U53">
        <v>0.3342192406322898</v>
      </c>
      <c r="V53">
        <v>0.27563196640879178</v>
      </c>
      <c r="W53">
        <v>0.25221545759955127</v>
      </c>
      <c r="X53">
        <v>0.25426393724743684</v>
      </c>
      <c r="Y53">
        <v>0.25950783040811953</v>
      </c>
      <c r="Z53">
        <v>0.27311855477237457</v>
      </c>
      <c r="AA53">
        <v>0.26095835736104545</v>
      </c>
      <c r="CE53" t="s">
        <v>343</v>
      </c>
      <c r="CF53">
        <v>0.70287267704476275</v>
      </c>
      <c r="CG53">
        <v>0.6725380504682269</v>
      </c>
      <c r="CH53">
        <v>0.69336462391528653</v>
      </c>
      <c r="CI53">
        <v>0.70437570432407193</v>
      </c>
      <c r="CJ53">
        <v>0.67641147846125749</v>
      </c>
      <c r="CK53">
        <v>0.68173976394026037</v>
      </c>
      <c r="CL53">
        <v>0.56027926044539345</v>
      </c>
      <c r="CM53">
        <v>0.5391229259742798</v>
      </c>
      <c r="CN53">
        <v>0.5340438757664081</v>
      </c>
      <c r="CO53">
        <v>0.53395073948145766</v>
      </c>
      <c r="CP53">
        <v>0.54783369395676074</v>
      </c>
      <c r="CQ53">
        <v>0.57594054714292819</v>
      </c>
      <c r="CR53">
        <v>0.46863339506264007</v>
      </c>
      <c r="CS53">
        <v>0.46619106844821795</v>
      </c>
      <c r="CT53">
        <v>0.46488025628041746</v>
      </c>
      <c r="CU53">
        <v>0.47716877410331987</v>
      </c>
      <c r="CV53">
        <v>0.47955688195289864</v>
      </c>
      <c r="CW53">
        <v>0.47459005158692491</v>
      </c>
      <c r="CX53">
        <v>0.61139181026183254</v>
      </c>
      <c r="CY53">
        <v>0.61286933226042439</v>
      </c>
      <c r="CZ53">
        <v>0.62022039091264258</v>
      </c>
      <c r="DA53">
        <v>0.61158567583799195</v>
      </c>
      <c r="DB53">
        <v>0.59868410192006816</v>
      </c>
      <c r="DC53">
        <v>0.61062109024873501</v>
      </c>
      <c r="DE53" t="s">
        <v>301</v>
      </c>
      <c r="DF53" t="s">
        <v>111</v>
      </c>
      <c r="DG53" t="s">
        <v>112</v>
      </c>
      <c r="DH53">
        <v>0.60854213335465845</v>
      </c>
    </row>
    <row r="54" spans="2:112" x14ac:dyDescent="0.45">
      <c r="B54" t="s">
        <v>344</v>
      </c>
      <c r="C54" t="s">
        <v>107</v>
      </c>
      <c r="D54">
        <v>0.24852474467773231</v>
      </c>
      <c r="E54">
        <v>0.240508024503295</v>
      </c>
      <c r="F54">
        <v>0.24780928525053353</v>
      </c>
      <c r="G54">
        <v>0.23965327088624366</v>
      </c>
      <c r="H54">
        <v>0.25017985853871472</v>
      </c>
      <c r="I54">
        <v>0.25864045987319939</v>
      </c>
      <c r="J54">
        <v>0.32114874070118699</v>
      </c>
      <c r="K54">
        <v>0.32994757573680777</v>
      </c>
      <c r="L54">
        <v>0.34718590276317152</v>
      </c>
      <c r="M54">
        <v>0.34165876580910487</v>
      </c>
      <c r="N54">
        <v>0.33207676524257107</v>
      </c>
      <c r="O54">
        <v>0.30908420909224565</v>
      </c>
      <c r="P54">
        <v>0.34297906343735635</v>
      </c>
      <c r="Q54">
        <v>0.33870388072366425</v>
      </c>
      <c r="R54">
        <v>0.3375501181112579</v>
      </c>
      <c r="S54">
        <v>0.34198303381680256</v>
      </c>
      <c r="T54">
        <v>0.33505849984176345</v>
      </c>
      <c r="U54">
        <v>0.32631282994356375</v>
      </c>
      <c r="V54">
        <v>0.26512948314890772</v>
      </c>
      <c r="W54">
        <v>0.2718580426270954</v>
      </c>
      <c r="X54">
        <v>0.25665018450566807</v>
      </c>
      <c r="Y54">
        <v>0.25200739548420781</v>
      </c>
      <c r="Z54">
        <v>0.2520710300621723</v>
      </c>
      <c r="AA54">
        <v>0.25321810313117749</v>
      </c>
      <c r="CE54" t="s">
        <v>344</v>
      </c>
      <c r="CF54">
        <v>0.64445717433996219</v>
      </c>
      <c r="CG54">
        <v>0.65117516830962507</v>
      </c>
      <c r="CH54">
        <v>0.64070824348623956</v>
      </c>
      <c r="CI54">
        <v>0.64596225625049686</v>
      </c>
      <c r="CJ54">
        <v>0.6382823255752782</v>
      </c>
      <c r="CK54">
        <v>0.63158549216151705</v>
      </c>
      <c r="CL54">
        <v>0.53524084632214253</v>
      </c>
      <c r="CM54">
        <v>0.51183403316579135</v>
      </c>
      <c r="CN54">
        <v>0.48456843493245871</v>
      </c>
      <c r="CO54">
        <v>0.4672421596898797</v>
      </c>
      <c r="CP54">
        <v>0.47952335511207494</v>
      </c>
      <c r="CQ54">
        <v>0.52056895898482691</v>
      </c>
      <c r="CR54">
        <v>0.45072580989678779</v>
      </c>
      <c r="CS54">
        <v>0.45517631061338087</v>
      </c>
      <c r="CT54">
        <v>0.47509586610714433</v>
      </c>
      <c r="CU54">
        <v>0.48951785895558853</v>
      </c>
      <c r="CV54">
        <v>0.48733287594522468</v>
      </c>
      <c r="CW54">
        <v>0.47378778044123748</v>
      </c>
      <c r="CX54">
        <v>0.59801991718270908</v>
      </c>
      <c r="CY54">
        <v>0.59065487174882614</v>
      </c>
      <c r="CZ54">
        <v>0.59145433697403804</v>
      </c>
      <c r="DA54">
        <v>0.6029994642562102</v>
      </c>
      <c r="DB54">
        <v>0.60154243113815375</v>
      </c>
      <c r="DC54">
        <v>0.59387141799804499</v>
      </c>
      <c r="DE54" t="s">
        <v>303</v>
      </c>
      <c r="DF54" t="s">
        <v>111</v>
      </c>
      <c r="DG54" t="s">
        <v>112</v>
      </c>
      <c r="DH54">
        <v>0.62387632222357903</v>
      </c>
    </row>
    <row r="55" spans="2:112" x14ac:dyDescent="0.45">
      <c r="B55" t="s">
        <v>345</v>
      </c>
      <c r="C55" t="s">
        <v>107</v>
      </c>
      <c r="D55">
        <v>0.26252946777363179</v>
      </c>
      <c r="E55">
        <v>0.26199404834324391</v>
      </c>
      <c r="F55">
        <v>0.28390759246531355</v>
      </c>
      <c r="G55">
        <v>0.26380746360993157</v>
      </c>
      <c r="H55">
        <v>0.26166131983075736</v>
      </c>
      <c r="I55">
        <v>0.26271358028824215</v>
      </c>
      <c r="J55">
        <v>0.31684861413371573</v>
      </c>
      <c r="K55">
        <v>0.31313284944509029</v>
      </c>
      <c r="L55">
        <v>0.32891830109288717</v>
      </c>
      <c r="M55">
        <v>0.33040266025062465</v>
      </c>
      <c r="N55">
        <v>0.32412669936660621</v>
      </c>
      <c r="O55">
        <v>0.3189194037392043</v>
      </c>
      <c r="P55">
        <v>0.32930313452761562</v>
      </c>
      <c r="Q55">
        <v>0.34325100648682955</v>
      </c>
      <c r="R55">
        <v>0.31078528806707095</v>
      </c>
      <c r="S55">
        <v>0.30168641129944046</v>
      </c>
      <c r="T55">
        <v>0.29972299732221303</v>
      </c>
      <c r="U55">
        <v>0.31233533654695733</v>
      </c>
      <c r="V55">
        <v>0.25700406972673562</v>
      </c>
      <c r="W55">
        <v>0.2344580251590144</v>
      </c>
      <c r="X55">
        <v>0.2307789862811172</v>
      </c>
      <c r="Y55">
        <v>0.25614206017143859</v>
      </c>
      <c r="Z55">
        <v>0.25867596607763299</v>
      </c>
      <c r="AA55">
        <v>0.25469507025207233</v>
      </c>
      <c r="CE55" t="s">
        <v>345</v>
      </c>
      <c r="CF55">
        <v>0.63182987528700174</v>
      </c>
      <c r="CG55">
        <v>0.63393205872682634</v>
      </c>
      <c r="CH55">
        <v>0.59848500245497038</v>
      </c>
      <c r="CI55">
        <v>0.61574470459067698</v>
      </c>
      <c r="CJ55">
        <v>0.61688176915449688</v>
      </c>
      <c r="CK55">
        <v>0.6156221930633714</v>
      </c>
      <c r="CL55">
        <v>0.51615601250809728</v>
      </c>
      <c r="CM55">
        <v>0.50749145260362927</v>
      </c>
      <c r="CN55">
        <v>0.477004300663744</v>
      </c>
      <c r="CO55">
        <v>0.45816066740224287</v>
      </c>
      <c r="CP55">
        <v>0.46531330841822838</v>
      </c>
      <c r="CQ55">
        <v>0.50248046230584975</v>
      </c>
      <c r="CR55">
        <v>0.4282257899221435</v>
      </c>
      <c r="CS55">
        <v>0.44361914389797447</v>
      </c>
      <c r="CT55">
        <v>0.46792193581822639</v>
      </c>
      <c r="CU55">
        <v>0.48595989734397904</v>
      </c>
      <c r="CV55">
        <v>0.47431322709772766</v>
      </c>
      <c r="CW55">
        <v>0.44496031593317237</v>
      </c>
      <c r="CX55">
        <v>0.62008995692388547</v>
      </c>
      <c r="CY55">
        <v>0.61968206305791085</v>
      </c>
      <c r="CZ55">
        <v>0.60026307949718594</v>
      </c>
      <c r="DA55">
        <v>0.61031355621021699</v>
      </c>
      <c r="DB55">
        <v>0.62175430309579094</v>
      </c>
      <c r="DC55">
        <v>0.62897956367211816</v>
      </c>
      <c r="DE55" t="s">
        <v>305</v>
      </c>
      <c r="DF55" t="s">
        <v>111</v>
      </c>
      <c r="DG55" t="s">
        <v>112</v>
      </c>
      <c r="DH55">
        <v>0.58598673842407423</v>
      </c>
    </row>
    <row r="56" spans="2:112" x14ac:dyDescent="0.45">
      <c r="B56" t="s">
        <v>346</v>
      </c>
      <c r="C56" t="s">
        <v>107</v>
      </c>
      <c r="D56">
        <v>0.22196511945894487</v>
      </c>
      <c r="E56">
        <v>0.23863092271920539</v>
      </c>
      <c r="F56">
        <v>0.24907604512792098</v>
      </c>
      <c r="G56">
        <v>0.24160078881330593</v>
      </c>
      <c r="H56">
        <v>0.24954593770868541</v>
      </c>
      <c r="I56">
        <v>0.2579979015703045</v>
      </c>
      <c r="J56">
        <v>0.29469144145492415</v>
      </c>
      <c r="K56">
        <v>0.31205061897011671</v>
      </c>
      <c r="L56">
        <v>0.32241186860903404</v>
      </c>
      <c r="M56">
        <v>0.30892805803526813</v>
      </c>
      <c r="N56">
        <v>0.30376297541160574</v>
      </c>
      <c r="O56">
        <v>0.28548591319327177</v>
      </c>
      <c r="P56">
        <v>0.33019762748553461</v>
      </c>
      <c r="Q56">
        <v>0.34110735181384155</v>
      </c>
      <c r="R56">
        <v>0.3263023319359048</v>
      </c>
      <c r="S56">
        <v>0.31865277847695683</v>
      </c>
      <c r="T56">
        <v>0.30982858768564631</v>
      </c>
      <c r="U56">
        <v>0.31394949666280486</v>
      </c>
      <c r="V56">
        <v>0.25509565653212646</v>
      </c>
      <c r="W56">
        <v>0.24912466866782018</v>
      </c>
      <c r="X56">
        <v>0.25805793374795993</v>
      </c>
      <c r="Y56">
        <v>0.25340409915706863</v>
      </c>
      <c r="Z56">
        <v>0.25414952831451393</v>
      </c>
      <c r="AA56">
        <v>0.24530393525992139</v>
      </c>
      <c r="CE56" t="s">
        <v>346</v>
      </c>
      <c r="CF56">
        <v>0.68124561818236795</v>
      </c>
      <c r="CG56">
        <v>0.6574331011925767</v>
      </c>
      <c r="CH56">
        <v>0.6451688422391475</v>
      </c>
      <c r="CI56">
        <v>0.65613304445043275</v>
      </c>
      <c r="CJ56">
        <v>0.63817962324900157</v>
      </c>
      <c r="CK56">
        <v>0.64249749863373162</v>
      </c>
      <c r="CL56">
        <v>0.54426818538408828</v>
      </c>
      <c r="CM56">
        <v>0.53896873374367305</v>
      </c>
      <c r="CN56">
        <v>0.51733993204428752</v>
      </c>
      <c r="CO56">
        <v>0.51468101097224972</v>
      </c>
      <c r="CP56">
        <v>0.5190371956559775</v>
      </c>
      <c r="CQ56">
        <v>0.54545121783632944</v>
      </c>
      <c r="CR56">
        <v>0.4348628877621234</v>
      </c>
      <c r="CS56">
        <v>0.45524671966764624</v>
      </c>
      <c r="CT56">
        <v>0.47801278342954678</v>
      </c>
      <c r="CU56">
        <v>0.48458678475138112</v>
      </c>
      <c r="CV56">
        <v>0.46242512909352218</v>
      </c>
      <c r="CW56">
        <v>0.43222755560612391</v>
      </c>
      <c r="CX56">
        <v>0.63021620621506247</v>
      </c>
      <c r="CY56">
        <v>0.61220655268209068</v>
      </c>
      <c r="CZ56">
        <v>0.60480007990962281</v>
      </c>
      <c r="DA56">
        <v>0.61573422067939798</v>
      </c>
      <c r="DB56">
        <v>0.61672252373417458</v>
      </c>
      <c r="DC56">
        <v>0.62336318446930894</v>
      </c>
      <c r="DE56" t="s">
        <v>307</v>
      </c>
      <c r="DF56" t="s">
        <v>111</v>
      </c>
      <c r="DG56" t="s">
        <v>112</v>
      </c>
      <c r="DH56">
        <v>0.67067491762967424</v>
      </c>
    </row>
    <row r="57" spans="2:112" x14ac:dyDescent="0.45">
      <c r="B57" t="s">
        <v>347</v>
      </c>
      <c r="C57" t="s">
        <v>107</v>
      </c>
      <c r="D57">
        <v>0.23019345703863162</v>
      </c>
      <c r="E57">
        <v>0.23693735327042068</v>
      </c>
      <c r="F57">
        <v>0.24080699794512392</v>
      </c>
      <c r="G57">
        <v>0.25354081555252528</v>
      </c>
      <c r="H57">
        <v>0.2458089714185541</v>
      </c>
      <c r="I57">
        <v>0.21546603643194115</v>
      </c>
      <c r="J57">
        <v>0.25666796344039378</v>
      </c>
      <c r="K57">
        <v>0.2470915883918024</v>
      </c>
      <c r="L57">
        <v>0.26610848595181941</v>
      </c>
      <c r="M57">
        <v>0.26590997796007532</v>
      </c>
      <c r="N57">
        <v>0.24933482872584245</v>
      </c>
      <c r="O57">
        <v>0.23794166076163334</v>
      </c>
      <c r="P57">
        <v>0.34133888452368716</v>
      </c>
      <c r="Q57">
        <v>0.34124016804876456</v>
      </c>
      <c r="R57">
        <v>0.35332121070556366</v>
      </c>
      <c r="S57">
        <v>0.3594933023967149</v>
      </c>
      <c r="T57">
        <v>0.35207112950704827</v>
      </c>
      <c r="U57">
        <v>0.33724415020029219</v>
      </c>
      <c r="V57">
        <v>0.23998420323146369</v>
      </c>
      <c r="W57">
        <v>0.24738331441377071</v>
      </c>
      <c r="X57">
        <v>0.23617501648717482</v>
      </c>
      <c r="Y57">
        <v>0.23651865422830123</v>
      </c>
      <c r="Z57">
        <v>0.24451472131119528</v>
      </c>
      <c r="AA57">
        <v>0.25093076398926101</v>
      </c>
      <c r="CE57" t="s">
        <v>347</v>
      </c>
      <c r="CF57">
        <v>0.66104309981596576</v>
      </c>
      <c r="CG57">
        <v>0.65149338903407394</v>
      </c>
      <c r="CH57">
        <v>0.64262229669620519</v>
      </c>
      <c r="CI57">
        <v>0.63632964434323203</v>
      </c>
      <c r="CJ57">
        <v>0.63845053988814482</v>
      </c>
      <c r="CK57">
        <v>0.67096693766932491</v>
      </c>
      <c r="CL57">
        <v>0.57660040458601858</v>
      </c>
      <c r="CM57">
        <v>0.59102431083238538</v>
      </c>
      <c r="CN57">
        <v>0.57286653852356362</v>
      </c>
      <c r="CO57">
        <v>0.56760249135979091</v>
      </c>
      <c r="CP57">
        <v>0.58570451226562026</v>
      </c>
      <c r="CQ57">
        <v>0.59599341553628649</v>
      </c>
      <c r="CR57">
        <v>0.38632133837344895</v>
      </c>
      <c r="CS57">
        <v>0.37633738426258789</v>
      </c>
      <c r="CT57">
        <v>0.33517330984895821</v>
      </c>
      <c r="CU57">
        <v>0.3188906819207325</v>
      </c>
      <c r="CV57">
        <v>0.33320492056765566</v>
      </c>
      <c r="CW57">
        <v>0.34570604885008871</v>
      </c>
      <c r="CX57">
        <v>0.62440415183971176</v>
      </c>
      <c r="CY57">
        <v>0.62009375792255783</v>
      </c>
      <c r="CZ57">
        <v>0.61599322081480257</v>
      </c>
      <c r="DA57">
        <v>0.61455550317355789</v>
      </c>
      <c r="DB57">
        <v>0.62648369256205294</v>
      </c>
      <c r="DC57">
        <v>0.62421876959686196</v>
      </c>
      <c r="DE57" t="s">
        <v>309</v>
      </c>
      <c r="DF57" t="s">
        <v>111</v>
      </c>
      <c r="DG57" t="s">
        <v>112</v>
      </c>
      <c r="DH57">
        <v>0.69347083489999162</v>
      </c>
    </row>
    <row r="58" spans="2:112" x14ac:dyDescent="0.45">
      <c r="B58" t="s">
        <v>348</v>
      </c>
      <c r="C58" t="s">
        <v>107</v>
      </c>
      <c r="D58">
        <v>0.22561832946352769</v>
      </c>
      <c r="E58">
        <v>0.22644551260824136</v>
      </c>
      <c r="F58">
        <v>0.22954112218117287</v>
      </c>
      <c r="G58">
        <v>0.23854198577780861</v>
      </c>
      <c r="H58">
        <v>0.22691566086634202</v>
      </c>
      <c r="I58">
        <v>0.20707392165059349</v>
      </c>
      <c r="J58">
        <v>0.25338401449991177</v>
      </c>
      <c r="K58">
        <v>0.24914737967033065</v>
      </c>
      <c r="L58">
        <v>0.26948358728466471</v>
      </c>
      <c r="M58">
        <v>0.26885743984896243</v>
      </c>
      <c r="N58">
        <v>0.27263058263410234</v>
      </c>
      <c r="O58">
        <v>0.27549848878545691</v>
      </c>
      <c r="P58">
        <v>0.37155830644115223</v>
      </c>
      <c r="Q58">
        <v>0.37156369117496602</v>
      </c>
      <c r="R58">
        <v>0.41533934508855852</v>
      </c>
      <c r="S58">
        <v>0.45675333625711911</v>
      </c>
      <c r="T58">
        <v>0.40755525638801987</v>
      </c>
      <c r="U58">
        <v>0.37148053929195279</v>
      </c>
      <c r="V58">
        <v>0.20261496646923968</v>
      </c>
      <c r="W58">
        <v>0.2328810817519042</v>
      </c>
      <c r="X58">
        <v>0.23490124163886306</v>
      </c>
      <c r="Y58">
        <v>0.23855936522997817</v>
      </c>
      <c r="Z58">
        <v>0.22755084686442251</v>
      </c>
      <c r="AA58">
        <v>0.2102848995313239</v>
      </c>
      <c r="CE58" t="s">
        <v>348</v>
      </c>
      <c r="CF58">
        <v>0.66624723716664402</v>
      </c>
      <c r="CG58">
        <v>0.64814387334811352</v>
      </c>
      <c r="CH58">
        <v>0.64875718692547835</v>
      </c>
      <c r="CI58">
        <v>0.64620063083658374</v>
      </c>
      <c r="CJ58">
        <v>0.64504424159050122</v>
      </c>
      <c r="CK58">
        <v>0.67636149193219741</v>
      </c>
      <c r="CL58">
        <v>0.55387242770973155</v>
      </c>
      <c r="CM58">
        <v>0.57760015445687185</v>
      </c>
      <c r="CN58">
        <v>0.56906148619368546</v>
      </c>
      <c r="CO58">
        <v>0.54579609329133183</v>
      </c>
      <c r="CP58">
        <v>0.54024445814971178</v>
      </c>
      <c r="CQ58">
        <v>0.54170232228090098</v>
      </c>
      <c r="CR58">
        <v>0.3121056851485946</v>
      </c>
      <c r="CS58">
        <v>0.28797472453443407</v>
      </c>
      <c r="CT58">
        <v>0.26927662189788287</v>
      </c>
      <c r="CU58">
        <v>0.25372205888787297</v>
      </c>
      <c r="CV58">
        <v>0.28278416302384307</v>
      </c>
      <c r="CW58">
        <v>0.30518787231914812</v>
      </c>
      <c r="CX58">
        <v>0.63056452064423774</v>
      </c>
      <c r="CY58">
        <v>0.59038644323120804</v>
      </c>
      <c r="CZ58">
        <v>0.58766281618073879</v>
      </c>
      <c r="DA58">
        <v>0.60006271423906932</v>
      </c>
      <c r="DB58">
        <v>0.6115645773773194</v>
      </c>
      <c r="DC58">
        <v>0.62938877038711416</v>
      </c>
      <c r="DE58" t="s">
        <v>311</v>
      </c>
      <c r="DF58" t="s">
        <v>111</v>
      </c>
      <c r="DG58" t="s">
        <v>112</v>
      </c>
      <c r="DH58">
        <v>0.62744344248598383</v>
      </c>
    </row>
    <row r="59" spans="2:112" x14ac:dyDescent="0.45">
      <c r="B59" t="s">
        <v>349</v>
      </c>
      <c r="C59" t="s">
        <v>107</v>
      </c>
      <c r="D59">
        <v>0.20798901034608691</v>
      </c>
      <c r="E59">
        <v>0.21841935918277763</v>
      </c>
      <c r="F59">
        <v>0.23001502520322156</v>
      </c>
      <c r="G59">
        <v>0.23370480574980257</v>
      </c>
      <c r="H59">
        <v>0.21893358311732405</v>
      </c>
      <c r="I59">
        <v>0.18930378819339039</v>
      </c>
      <c r="J59">
        <v>0.23665187373487981</v>
      </c>
      <c r="K59">
        <v>0.22905786107385764</v>
      </c>
      <c r="L59">
        <v>0.2413383690035085</v>
      </c>
      <c r="M59">
        <v>0.25154538427705952</v>
      </c>
      <c r="N59">
        <v>0.24761930234191637</v>
      </c>
      <c r="O59">
        <v>0.24963696850164771</v>
      </c>
      <c r="P59">
        <v>0.35411933687327324</v>
      </c>
      <c r="Q59">
        <v>0.35004645930907219</v>
      </c>
      <c r="R59">
        <v>0.36902319727655686</v>
      </c>
      <c r="S59">
        <v>0.40796299140956627</v>
      </c>
      <c r="T59">
        <v>0.41472143229401304</v>
      </c>
      <c r="U59">
        <v>0.37977723086138543</v>
      </c>
      <c r="V59">
        <v>0.19559901995130746</v>
      </c>
      <c r="W59">
        <v>0.22453683117677087</v>
      </c>
      <c r="X59">
        <v>0.21370221890736041</v>
      </c>
      <c r="Y59">
        <v>0.20326358737813946</v>
      </c>
      <c r="Z59">
        <v>0.20755333714255211</v>
      </c>
      <c r="AA59">
        <v>0.1992361622361592</v>
      </c>
      <c r="CE59" t="s">
        <v>349</v>
      </c>
      <c r="CF59">
        <v>0.7016215743172628</v>
      </c>
      <c r="CG59">
        <v>0.67965801318885266</v>
      </c>
      <c r="CH59">
        <v>0.6781070329172425</v>
      </c>
      <c r="CI59">
        <v>0.67463768632785981</v>
      </c>
      <c r="CJ59">
        <v>0.67430013345333573</v>
      </c>
      <c r="CK59">
        <v>0.69692933067214324</v>
      </c>
      <c r="CL59">
        <v>0.60333626959240727</v>
      </c>
      <c r="CM59">
        <v>0.62729159469973572</v>
      </c>
      <c r="CN59">
        <v>0.62396843151154524</v>
      </c>
      <c r="CO59">
        <v>0.60097750495200242</v>
      </c>
      <c r="CP59">
        <v>0.59676919411983687</v>
      </c>
      <c r="CQ59">
        <v>0.60405452553445216</v>
      </c>
      <c r="CR59">
        <v>0.37465196046854504</v>
      </c>
      <c r="CS59">
        <v>0.35396017879444563</v>
      </c>
      <c r="CT59">
        <v>0.32998303283273156</v>
      </c>
      <c r="CU59">
        <v>0.31162796912321888</v>
      </c>
      <c r="CV59">
        <v>0.32072073860040667</v>
      </c>
      <c r="CW59">
        <v>0.34889684434378077</v>
      </c>
      <c r="CX59">
        <v>0.68518895802115243</v>
      </c>
      <c r="CY59">
        <v>0.65504311382471014</v>
      </c>
      <c r="CZ59">
        <v>0.65451019861733961</v>
      </c>
      <c r="DA59">
        <v>0.65972645795912643</v>
      </c>
      <c r="DB59">
        <v>0.65763323066014956</v>
      </c>
      <c r="DC59">
        <v>0.67303411251649836</v>
      </c>
      <c r="DE59" t="s">
        <v>313</v>
      </c>
      <c r="DF59" t="s">
        <v>111</v>
      </c>
      <c r="DG59" t="s">
        <v>112</v>
      </c>
      <c r="DH59">
        <v>0.66226164690287548</v>
      </c>
    </row>
    <row r="60" spans="2:112" x14ac:dyDescent="0.45">
      <c r="B60" t="s">
        <v>350</v>
      </c>
      <c r="C60" t="s">
        <v>107</v>
      </c>
      <c r="D60">
        <v>0.23171009377956442</v>
      </c>
      <c r="E60">
        <v>0.22593022534671167</v>
      </c>
      <c r="F60">
        <v>0.21792167085693057</v>
      </c>
      <c r="G60">
        <v>0.21372233242428335</v>
      </c>
      <c r="H60">
        <v>0.21823015543548432</v>
      </c>
      <c r="I60">
        <v>0.2244590742866171</v>
      </c>
      <c r="J60">
        <v>0.26299812808894918</v>
      </c>
      <c r="K60">
        <v>0.25646475253515078</v>
      </c>
      <c r="L60">
        <v>0.26393767757523545</v>
      </c>
      <c r="M60">
        <v>0.27103003019456806</v>
      </c>
      <c r="N60">
        <v>0.27865879015612449</v>
      </c>
      <c r="O60">
        <v>0.28196251129346461</v>
      </c>
      <c r="P60">
        <v>0.31894289198001147</v>
      </c>
      <c r="Q60">
        <v>0.31642838336027085</v>
      </c>
      <c r="R60">
        <v>0.33061510986311382</v>
      </c>
      <c r="S60">
        <v>0.34856193508464467</v>
      </c>
      <c r="T60">
        <v>0.37294468981849321</v>
      </c>
      <c r="U60">
        <v>0.34844160669148644</v>
      </c>
      <c r="V60">
        <v>0.19841753779387813</v>
      </c>
      <c r="W60">
        <v>0.22524050891400182</v>
      </c>
      <c r="X60">
        <v>0.24142038122366674</v>
      </c>
      <c r="Y60">
        <v>0.2121938600334663</v>
      </c>
      <c r="Z60">
        <v>0.19881525534895111</v>
      </c>
      <c r="AA60">
        <v>0.19549805129937498</v>
      </c>
      <c r="CE60" t="s">
        <v>350</v>
      </c>
      <c r="CF60">
        <v>0.6708937511586921</v>
      </c>
      <c r="CG60">
        <v>0.68428594228122486</v>
      </c>
      <c r="CH60">
        <v>0.69743017254262074</v>
      </c>
      <c r="CI60">
        <v>0.69513574907939091</v>
      </c>
      <c r="CJ60">
        <v>0.67508616413547651</v>
      </c>
      <c r="CK60">
        <v>0.66548856534480649</v>
      </c>
      <c r="CL60">
        <v>0.59831011257049982</v>
      </c>
      <c r="CM60">
        <v>0.61518572880650801</v>
      </c>
      <c r="CN60">
        <v>0.60302709839375301</v>
      </c>
      <c r="CO60">
        <v>0.57829404730519962</v>
      </c>
      <c r="CP60">
        <v>0.56397323187928383</v>
      </c>
      <c r="CQ60">
        <v>0.57801916438740353</v>
      </c>
      <c r="CR60">
        <v>0.37411860753908777</v>
      </c>
      <c r="CS60">
        <v>0.36564372257810324</v>
      </c>
      <c r="CT60">
        <v>0.36102190728189765</v>
      </c>
      <c r="CU60">
        <v>0.34563865174567077</v>
      </c>
      <c r="CV60">
        <v>0.3464127377947866</v>
      </c>
      <c r="CW60">
        <v>0.36542650690772294</v>
      </c>
      <c r="CX60">
        <v>0.6767960649074366</v>
      </c>
      <c r="CY60">
        <v>0.64405188489077059</v>
      </c>
      <c r="CZ60">
        <v>0.62239082418325575</v>
      </c>
      <c r="DA60">
        <v>0.64025786766625714</v>
      </c>
      <c r="DB60">
        <v>0.65813374534263225</v>
      </c>
      <c r="DC60">
        <v>0.68073515805585527</v>
      </c>
      <c r="DE60" t="s">
        <v>315</v>
      </c>
      <c r="DF60" t="s">
        <v>111</v>
      </c>
      <c r="DG60" t="s">
        <v>112</v>
      </c>
      <c r="DH60">
        <v>0.6673365317357649</v>
      </c>
    </row>
    <row r="61" spans="2:112" x14ac:dyDescent="0.45">
      <c r="B61" t="s">
        <v>351</v>
      </c>
      <c r="C61" t="s">
        <v>107</v>
      </c>
      <c r="D61">
        <v>0.23554569509829734</v>
      </c>
      <c r="E61">
        <v>0.23181769488960072</v>
      </c>
      <c r="F61">
        <v>0.23710655491862206</v>
      </c>
      <c r="G61">
        <v>0.24446608604124886</v>
      </c>
      <c r="H61">
        <v>0.24516414836503997</v>
      </c>
      <c r="I61">
        <v>0.25216852527704114</v>
      </c>
      <c r="J61">
        <v>0.27533828914390351</v>
      </c>
      <c r="K61">
        <v>0.27002527854197761</v>
      </c>
      <c r="L61">
        <v>0.29095835222567279</v>
      </c>
      <c r="M61">
        <v>0.31286871574582226</v>
      </c>
      <c r="N61">
        <v>0.30265503584616976</v>
      </c>
      <c r="O61">
        <v>0.28454133611049365</v>
      </c>
      <c r="P61">
        <v>0.32105358319260147</v>
      </c>
      <c r="Q61">
        <v>0.3102560892809359</v>
      </c>
      <c r="R61">
        <v>0.30266080052888772</v>
      </c>
      <c r="S61">
        <v>0.29976569650279128</v>
      </c>
      <c r="T61">
        <v>0.31099510401288627</v>
      </c>
      <c r="U61">
        <v>0.31987121686896319</v>
      </c>
      <c r="V61">
        <v>0.22434172854291201</v>
      </c>
      <c r="W61">
        <v>0.23649267520289691</v>
      </c>
      <c r="X61">
        <v>0.24945353304553622</v>
      </c>
      <c r="Y61">
        <v>0.2348632818149595</v>
      </c>
      <c r="Z61">
        <v>0.23491778923525639</v>
      </c>
      <c r="AA61">
        <v>0.23499947894763779</v>
      </c>
      <c r="CE61" t="s">
        <v>351</v>
      </c>
      <c r="CF61">
        <v>0.67544780990255082</v>
      </c>
      <c r="CG61">
        <v>0.68299539105392171</v>
      </c>
      <c r="CH61">
        <v>0.67807762571356045</v>
      </c>
      <c r="CI61">
        <v>0.66426794776119114</v>
      </c>
      <c r="CJ61">
        <v>0.64837512577950929</v>
      </c>
      <c r="CK61">
        <v>0.64792561347493893</v>
      </c>
      <c r="CL61">
        <v>0.57595792218842912</v>
      </c>
      <c r="CM61">
        <v>0.59128380878347531</v>
      </c>
      <c r="CN61">
        <v>0.55451915932003493</v>
      </c>
      <c r="CO61">
        <v>0.53211356514707242</v>
      </c>
      <c r="CP61">
        <v>0.53728964998572959</v>
      </c>
      <c r="CQ61">
        <v>0.56703158373417994</v>
      </c>
      <c r="CR61">
        <v>0.38934012625864545</v>
      </c>
      <c r="CS61">
        <v>0.41669859466273457</v>
      </c>
      <c r="CT61">
        <v>0.438737736421623</v>
      </c>
      <c r="CU61">
        <v>0.43152368242051842</v>
      </c>
      <c r="CV61">
        <v>0.39420098907249418</v>
      </c>
      <c r="CW61">
        <v>0.37412257748922167</v>
      </c>
      <c r="CX61">
        <v>0.66343784483612456</v>
      </c>
      <c r="CY61">
        <v>0.63628844311264354</v>
      </c>
      <c r="CZ61">
        <v>0.62505185489248161</v>
      </c>
      <c r="DA61">
        <v>0.63507516984350088</v>
      </c>
      <c r="DB61">
        <v>0.64887613064988092</v>
      </c>
      <c r="DC61">
        <v>0.66219516725206273</v>
      </c>
      <c r="DE61" t="s">
        <v>317</v>
      </c>
      <c r="DF61" t="s">
        <v>111</v>
      </c>
      <c r="DG61" t="s">
        <v>112</v>
      </c>
      <c r="DH61">
        <v>0.60018105416916534</v>
      </c>
    </row>
    <row r="62" spans="2:112" x14ac:dyDescent="0.45">
      <c r="B62" t="s">
        <v>352</v>
      </c>
      <c r="C62" t="s">
        <v>107</v>
      </c>
      <c r="D62">
        <v>0.21208854995902654</v>
      </c>
      <c r="E62">
        <v>0.21884830616276241</v>
      </c>
      <c r="F62">
        <v>0.2041571358434357</v>
      </c>
      <c r="G62">
        <v>0.20766550115262286</v>
      </c>
      <c r="H62">
        <v>0.20519234895052538</v>
      </c>
      <c r="I62">
        <v>0.20289409805702818</v>
      </c>
      <c r="J62">
        <v>0.27600384444548431</v>
      </c>
      <c r="K62">
        <v>0.26733635372730696</v>
      </c>
      <c r="L62">
        <v>0.2619754686684666</v>
      </c>
      <c r="M62">
        <v>0.28212988613165607</v>
      </c>
      <c r="N62">
        <v>0.28346964162324861</v>
      </c>
      <c r="O62">
        <v>0.27309804705457219</v>
      </c>
      <c r="P62">
        <v>0.33077187575416084</v>
      </c>
      <c r="Q62">
        <v>0.35728792782377955</v>
      </c>
      <c r="R62">
        <v>0.3902034386363204</v>
      </c>
      <c r="S62">
        <v>0.40338667153443331</v>
      </c>
      <c r="T62">
        <v>0.3528186544694229</v>
      </c>
      <c r="U62">
        <v>0.30459009973558965</v>
      </c>
      <c r="V62">
        <v>0.1879948392455108</v>
      </c>
      <c r="W62">
        <v>0.22698528504535576</v>
      </c>
      <c r="X62">
        <v>0.22016522007023268</v>
      </c>
      <c r="Y62">
        <v>0.21973343422652486</v>
      </c>
      <c r="Z62">
        <v>0.21967732760674225</v>
      </c>
      <c r="AA62">
        <v>0.1934590725920875</v>
      </c>
      <c r="CE62" t="s">
        <v>352</v>
      </c>
      <c r="CF62">
        <v>0.68673595303487156</v>
      </c>
      <c r="CG62">
        <v>0.67615748530779474</v>
      </c>
      <c r="CH62">
        <v>0.68769674444613993</v>
      </c>
      <c r="CI62">
        <v>0.68069498404804196</v>
      </c>
      <c r="CJ62">
        <v>0.67528164699240301</v>
      </c>
      <c r="CK62">
        <v>0.68119504859101287</v>
      </c>
      <c r="CL62">
        <v>0.56633150043161284</v>
      </c>
      <c r="CM62">
        <v>0.57905404054975751</v>
      </c>
      <c r="CN62">
        <v>0.57072887683895412</v>
      </c>
      <c r="CO62">
        <v>0.54901873218362474</v>
      </c>
      <c r="CP62">
        <v>0.54955582031861383</v>
      </c>
      <c r="CQ62">
        <v>0.56082662003048378</v>
      </c>
      <c r="CR62">
        <v>0.35686201448362237</v>
      </c>
      <c r="CS62">
        <v>0.31939769301850546</v>
      </c>
      <c r="CT62">
        <v>0.2945153454145778</v>
      </c>
      <c r="CU62">
        <v>0.2905047863716208</v>
      </c>
      <c r="CV62">
        <v>0.34203278494449779</v>
      </c>
      <c r="CW62">
        <v>0.38977598334796476</v>
      </c>
      <c r="CX62">
        <v>0.66340153172793848</v>
      </c>
      <c r="CY62">
        <v>0.62128542354065797</v>
      </c>
      <c r="CZ62">
        <v>0.61991308920222865</v>
      </c>
      <c r="DA62">
        <v>0.62913055707841103</v>
      </c>
      <c r="DB62">
        <v>0.63418657007890789</v>
      </c>
      <c r="DC62">
        <v>0.66166190735425812</v>
      </c>
      <c r="DE62" t="s">
        <v>319</v>
      </c>
      <c r="DF62" t="s">
        <v>111</v>
      </c>
      <c r="DG62" t="s">
        <v>112</v>
      </c>
      <c r="DH62">
        <v>0.49482325212297551</v>
      </c>
    </row>
    <row r="63" spans="2:112" x14ac:dyDescent="0.45">
      <c r="B63" t="s">
        <v>353</v>
      </c>
      <c r="C63" t="s">
        <v>107</v>
      </c>
      <c r="D63">
        <v>0.21566473388433624</v>
      </c>
      <c r="E63">
        <v>0.2123784506133711</v>
      </c>
      <c r="F63">
        <v>0.21073980012457369</v>
      </c>
      <c r="G63">
        <v>0.21977371997540296</v>
      </c>
      <c r="H63">
        <v>0.22249906168877367</v>
      </c>
      <c r="I63">
        <v>0.2115378450985671</v>
      </c>
      <c r="J63">
        <v>0.30650952232477052</v>
      </c>
      <c r="K63">
        <v>0.32864340625477462</v>
      </c>
      <c r="L63">
        <v>0.35029847359268373</v>
      </c>
      <c r="M63">
        <v>0.33924787780994453</v>
      </c>
      <c r="N63">
        <v>0.30230858902816293</v>
      </c>
      <c r="O63">
        <v>0.28241062465045813</v>
      </c>
      <c r="P63">
        <v>0.30767266585884845</v>
      </c>
      <c r="Q63">
        <v>0.31295435929276672</v>
      </c>
      <c r="R63">
        <v>0.33090838420949387</v>
      </c>
      <c r="S63">
        <v>0.33699382653531984</v>
      </c>
      <c r="T63">
        <v>0.32008247998453548</v>
      </c>
      <c r="U63">
        <v>0.32178511817702254</v>
      </c>
      <c r="V63">
        <v>0.22996911721393901</v>
      </c>
      <c r="W63">
        <v>0.2438176436896351</v>
      </c>
      <c r="X63">
        <v>0.2421472092359474</v>
      </c>
      <c r="Y63">
        <v>0.24343852537874922</v>
      </c>
      <c r="Z63">
        <v>0.24184500168388429</v>
      </c>
      <c r="AA63">
        <v>0.21382766505854411</v>
      </c>
      <c r="CE63" t="s">
        <v>353</v>
      </c>
      <c r="CF63">
        <v>0.67555472604057853</v>
      </c>
      <c r="CG63">
        <v>0.67607052805862111</v>
      </c>
      <c r="CH63">
        <v>0.66822150954472492</v>
      </c>
      <c r="CI63">
        <v>0.64619084767085244</v>
      </c>
      <c r="CJ63">
        <v>0.64204981537554617</v>
      </c>
      <c r="CK63">
        <v>0.66260121312224496</v>
      </c>
      <c r="CL63">
        <v>0.5271603147484526</v>
      </c>
      <c r="CM63">
        <v>0.4827121292518729</v>
      </c>
      <c r="CN63">
        <v>0.47019517852326209</v>
      </c>
      <c r="CO63">
        <v>0.4858593123520164</v>
      </c>
      <c r="CP63">
        <v>0.52305170955049152</v>
      </c>
      <c r="CQ63">
        <v>0.54201938727963039</v>
      </c>
      <c r="CR63">
        <v>0.37415153043800564</v>
      </c>
      <c r="CS63">
        <v>0.38238546586355421</v>
      </c>
      <c r="CT63">
        <v>0.38115540691027766</v>
      </c>
      <c r="CU63">
        <v>0.37542609845293023</v>
      </c>
      <c r="CV63">
        <v>0.38289789746324537</v>
      </c>
      <c r="CW63">
        <v>0.38614071896912822</v>
      </c>
      <c r="CX63">
        <v>0.62684026201203369</v>
      </c>
      <c r="CY63">
        <v>0.60709563258553845</v>
      </c>
      <c r="CZ63">
        <v>0.59861347661502484</v>
      </c>
      <c r="DA63">
        <v>0.59935558499894448</v>
      </c>
      <c r="DB63">
        <v>0.60316810305668167</v>
      </c>
      <c r="DC63">
        <v>0.62759520064021368</v>
      </c>
      <c r="DE63" t="s">
        <v>321</v>
      </c>
      <c r="DF63" t="s">
        <v>111</v>
      </c>
      <c r="DG63" t="s">
        <v>112</v>
      </c>
      <c r="DH63">
        <v>0.68206987331353419</v>
      </c>
    </row>
    <row r="64" spans="2:112" x14ac:dyDescent="0.45">
      <c r="B64" t="s">
        <v>354</v>
      </c>
      <c r="C64" t="s">
        <v>107</v>
      </c>
      <c r="D64">
        <v>0.21951328760697755</v>
      </c>
      <c r="E64">
        <v>0.22692856918846221</v>
      </c>
      <c r="F64">
        <v>0.215228055142547</v>
      </c>
      <c r="G64">
        <v>0.21643858313328196</v>
      </c>
      <c r="H64">
        <v>0.23027546610997746</v>
      </c>
      <c r="I64">
        <v>0.21004751673883562</v>
      </c>
      <c r="J64">
        <v>0.29069833742165646</v>
      </c>
      <c r="K64">
        <v>0.31422286451285669</v>
      </c>
      <c r="L64">
        <v>0.32681845574093726</v>
      </c>
      <c r="M64">
        <v>0.32997734207660318</v>
      </c>
      <c r="N64">
        <v>0.29938024712143968</v>
      </c>
      <c r="O64">
        <v>0.27993509082556928</v>
      </c>
      <c r="P64">
        <v>0.34023703701880847</v>
      </c>
      <c r="Q64">
        <v>0.32942314555389235</v>
      </c>
      <c r="R64">
        <v>0.3190078378503568</v>
      </c>
      <c r="S64">
        <v>0.313400954061758</v>
      </c>
      <c r="T64">
        <v>0.32019806479292418</v>
      </c>
      <c r="U64">
        <v>0.3240655003109234</v>
      </c>
      <c r="V64">
        <v>0.23976544130429936</v>
      </c>
      <c r="W64">
        <v>0.22855530437464325</v>
      </c>
      <c r="X64">
        <v>0.24354268430328616</v>
      </c>
      <c r="Y64">
        <v>0.25947826380229622</v>
      </c>
      <c r="Z64">
        <v>0.2495574101259897</v>
      </c>
      <c r="AA64">
        <v>0.23500423359399472</v>
      </c>
      <c r="CE64" t="s">
        <v>354</v>
      </c>
      <c r="CF64">
        <v>0.70712979675454724</v>
      </c>
      <c r="CG64">
        <v>0.68623208152887816</v>
      </c>
      <c r="CH64">
        <v>0.70165955329571406</v>
      </c>
      <c r="CI64">
        <v>0.69034050925825097</v>
      </c>
      <c r="CJ64">
        <v>0.677056253855984</v>
      </c>
      <c r="CK64">
        <v>0.69408228071598166</v>
      </c>
      <c r="CL64">
        <v>0.5819909369440327</v>
      </c>
      <c r="CM64">
        <v>0.54946776982299139</v>
      </c>
      <c r="CN64">
        <v>0.5246530748617787</v>
      </c>
      <c r="CO64">
        <v>0.5223747748708758</v>
      </c>
      <c r="CP64">
        <v>0.55432860839765274</v>
      </c>
      <c r="CQ64">
        <v>0.58140832427863787</v>
      </c>
      <c r="CR64">
        <v>0.43595605365237139</v>
      </c>
      <c r="CS64">
        <v>0.44894938044080923</v>
      </c>
      <c r="CT64">
        <v>0.45092525611486806</v>
      </c>
      <c r="CU64">
        <v>0.45156370696892167</v>
      </c>
      <c r="CV64">
        <v>0.42763949490961956</v>
      </c>
      <c r="CW64">
        <v>0.42171433819621779</v>
      </c>
      <c r="CX64">
        <v>0.67220000241551403</v>
      </c>
      <c r="CY64">
        <v>0.66409339702492987</v>
      </c>
      <c r="CZ64">
        <v>0.64748003720110603</v>
      </c>
      <c r="DA64">
        <v>0.62716797511033029</v>
      </c>
      <c r="DB64">
        <v>0.64077057925821101</v>
      </c>
      <c r="DC64">
        <v>0.66038939848247924</v>
      </c>
      <c r="DE64" t="s">
        <v>323</v>
      </c>
      <c r="DF64" t="s">
        <v>111</v>
      </c>
      <c r="DG64" t="s">
        <v>112</v>
      </c>
      <c r="DH64">
        <v>0.70519970442226432</v>
      </c>
    </row>
    <row r="65" spans="2:112" x14ac:dyDescent="0.45">
      <c r="B65" t="s">
        <v>355</v>
      </c>
      <c r="C65" t="s">
        <v>107</v>
      </c>
      <c r="D65">
        <v>0.21079917669210468</v>
      </c>
      <c r="E65">
        <v>0.20418416421311122</v>
      </c>
      <c r="F65">
        <v>0.19552216141545445</v>
      </c>
      <c r="G65">
        <v>0.2067998276491157</v>
      </c>
      <c r="H65">
        <v>0.21350310685648793</v>
      </c>
      <c r="I65">
        <v>0.20239364999194437</v>
      </c>
      <c r="J65">
        <v>0.29068032205348782</v>
      </c>
      <c r="K65">
        <v>0.30906817615892879</v>
      </c>
      <c r="L65">
        <v>0.314018556381987</v>
      </c>
      <c r="M65">
        <v>0.31199386654585359</v>
      </c>
      <c r="N65">
        <v>0.31227755843508487</v>
      </c>
      <c r="O65">
        <v>0.29226508325748229</v>
      </c>
      <c r="P65">
        <v>0.33256786133036897</v>
      </c>
      <c r="Q65">
        <v>0.32857187844704028</v>
      </c>
      <c r="R65">
        <v>0.31903525055829107</v>
      </c>
      <c r="S65">
        <v>0.34956194824881393</v>
      </c>
      <c r="T65">
        <v>0.35945406681309394</v>
      </c>
      <c r="U65">
        <v>0.33434695977111323</v>
      </c>
      <c r="V65">
        <v>0.21077077452759277</v>
      </c>
      <c r="W65">
        <v>0.2263651795621241</v>
      </c>
      <c r="X65">
        <v>0.2321290078018777</v>
      </c>
      <c r="Y65">
        <v>0.21534444120893542</v>
      </c>
      <c r="Z65">
        <v>0.21605659010014228</v>
      </c>
      <c r="AA65">
        <v>0.20598890637236697</v>
      </c>
      <c r="CE65" t="s">
        <v>355</v>
      </c>
      <c r="CF65">
        <v>0.69392468369873006</v>
      </c>
      <c r="CG65">
        <v>0.69766299219751704</v>
      </c>
      <c r="CH65">
        <v>0.70417557894871519</v>
      </c>
      <c r="CI65">
        <v>0.68048803183672268</v>
      </c>
      <c r="CJ65">
        <v>0.66587683286762089</v>
      </c>
      <c r="CK65">
        <v>0.67627770811665822</v>
      </c>
      <c r="CL65">
        <v>0.57076094246880549</v>
      </c>
      <c r="CM65">
        <v>0.55284508999740656</v>
      </c>
      <c r="CN65">
        <v>0.53328773172970512</v>
      </c>
      <c r="CO65">
        <v>0.52503833132668243</v>
      </c>
      <c r="CP65">
        <v>0.53324368402824618</v>
      </c>
      <c r="CQ65">
        <v>0.55918663323592444</v>
      </c>
      <c r="CR65">
        <v>0.3666670914388192</v>
      </c>
      <c r="CS65">
        <v>0.37505676639705476</v>
      </c>
      <c r="CT65">
        <v>0.36948836635577675</v>
      </c>
      <c r="CU65">
        <v>0.34150119165545051</v>
      </c>
      <c r="CV65">
        <v>0.3517048732244914</v>
      </c>
      <c r="CW65">
        <v>0.37467472487032499</v>
      </c>
      <c r="CX65">
        <v>0.65887567833957228</v>
      </c>
      <c r="CY65">
        <v>0.6294865262408238</v>
      </c>
      <c r="CZ65">
        <v>0.62200029583800953</v>
      </c>
      <c r="DA65">
        <v>0.63844572711465264</v>
      </c>
      <c r="DB65">
        <v>0.64495502210458644</v>
      </c>
      <c r="DC65">
        <v>0.66417987584454452</v>
      </c>
      <c r="DE65" t="s">
        <v>325</v>
      </c>
      <c r="DF65" t="s">
        <v>111</v>
      </c>
      <c r="DG65" t="s">
        <v>112</v>
      </c>
      <c r="DH65">
        <v>0.76384366887295219</v>
      </c>
    </row>
    <row r="66" spans="2:112" x14ac:dyDescent="0.45">
      <c r="B66" t="s">
        <v>302</v>
      </c>
      <c r="C66" t="s">
        <v>107</v>
      </c>
      <c r="D66">
        <v>0.21011662965943687</v>
      </c>
      <c r="E66">
        <v>0.21052923253345174</v>
      </c>
      <c r="F66">
        <v>0.21963724032574838</v>
      </c>
      <c r="G66">
        <v>0.22553325593273743</v>
      </c>
      <c r="H66">
        <v>0.23279911448821314</v>
      </c>
      <c r="I66">
        <v>0.21429612113939156</v>
      </c>
      <c r="J66">
        <v>0.25410296689191608</v>
      </c>
      <c r="K66">
        <v>0.26453590133927268</v>
      </c>
      <c r="L66">
        <v>0.26478203833019004</v>
      </c>
      <c r="M66">
        <v>0.2655793706218087</v>
      </c>
      <c r="N66">
        <v>0.25556045141139122</v>
      </c>
      <c r="O66">
        <v>0.24391310543952047</v>
      </c>
      <c r="P66">
        <v>0.35566648440967902</v>
      </c>
      <c r="Q66">
        <v>0.38151195145533062</v>
      </c>
      <c r="R66">
        <v>0.40271224673345718</v>
      </c>
      <c r="S66">
        <v>0.35437447256997162</v>
      </c>
      <c r="T66">
        <v>0.33513169673085924</v>
      </c>
      <c r="U66">
        <v>0.33725049173052896</v>
      </c>
      <c r="V66">
        <v>0.2228506835301588</v>
      </c>
      <c r="W66">
        <v>0.24124636594973656</v>
      </c>
      <c r="X66">
        <v>0.25120216994352024</v>
      </c>
      <c r="Y66">
        <v>0.26254146081170093</v>
      </c>
      <c r="Z66">
        <v>0.26021402822516182</v>
      </c>
      <c r="AA66">
        <v>0.24393291463460545</v>
      </c>
      <c r="CE66" t="s">
        <v>302</v>
      </c>
      <c r="CF66">
        <v>0.67248945604780408</v>
      </c>
      <c r="CG66">
        <v>0.65833474919207857</v>
      </c>
      <c r="CH66">
        <v>0.64159371701490842</v>
      </c>
      <c r="CI66">
        <v>0.63923153117339804</v>
      </c>
      <c r="CJ66">
        <v>0.64047748515242509</v>
      </c>
      <c r="CK66">
        <v>0.67092240964653971</v>
      </c>
      <c r="CL66">
        <v>0.58982884457749474</v>
      </c>
      <c r="CM66">
        <v>0.59386949758320184</v>
      </c>
      <c r="CN66">
        <v>0.59815375469881094</v>
      </c>
      <c r="CO66">
        <v>0.59113734304656584</v>
      </c>
      <c r="CP66">
        <v>0.58621239904802902</v>
      </c>
      <c r="CQ66">
        <v>0.58976147952613478</v>
      </c>
      <c r="CR66">
        <v>0.36964552402382667</v>
      </c>
      <c r="CS66">
        <v>0.34253385327152808</v>
      </c>
      <c r="CT66">
        <v>0.32735199952184363</v>
      </c>
      <c r="CU66">
        <v>0.34892558913921135</v>
      </c>
      <c r="CV66">
        <v>0.3728088599330201</v>
      </c>
      <c r="CW66">
        <v>0.38394613803264099</v>
      </c>
      <c r="CX66">
        <v>0.60521435288779402</v>
      </c>
      <c r="CY66">
        <v>0.58141842308390645</v>
      </c>
      <c r="CZ66">
        <v>0.58504644516693904</v>
      </c>
      <c r="DA66">
        <v>0.58307621257736886</v>
      </c>
      <c r="DB66">
        <v>0.58485372866913088</v>
      </c>
      <c r="DC66">
        <v>0.60343387517038882</v>
      </c>
      <c r="DE66" t="s">
        <v>327</v>
      </c>
      <c r="DF66" t="s">
        <v>111</v>
      </c>
      <c r="DG66" t="s">
        <v>112</v>
      </c>
      <c r="DH66">
        <v>0.77949068272602484</v>
      </c>
    </row>
    <row r="67" spans="2:112" x14ac:dyDescent="0.45">
      <c r="B67" t="s">
        <v>304</v>
      </c>
      <c r="C67" t="s">
        <v>107</v>
      </c>
      <c r="D67">
        <v>0.23198957936791764</v>
      </c>
      <c r="E67">
        <v>0.23965672677483768</v>
      </c>
      <c r="F67">
        <v>0.26178627111748104</v>
      </c>
      <c r="G67">
        <v>0.26969199090809209</v>
      </c>
      <c r="H67">
        <v>0.27285324703403713</v>
      </c>
      <c r="I67">
        <v>0.25332774998376895</v>
      </c>
      <c r="J67">
        <v>0.30183285579962182</v>
      </c>
      <c r="K67">
        <v>0.29871780251650903</v>
      </c>
      <c r="L67">
        <v>0.29236754113220081</v>
      </c>
      <c r="M67">
        <v>0.29921478365046189</v>
      </c>
      <c r="N67">
        <v>0.29003703473039383</v>
      </c>
      <c r="O67">
        <v>0.28794279404791689</v>
      </c>
      <c r="P67">
        <v>0.34415696436517917</v>
      </c>
      <c r="Q67">
        <v>0.37931539697143263</v>
      </c>
      <c r="R67">
        <v>0.39135356645372726</v>
      </c>
      <c r="S67">
        <v>0.3609603707481509</v>
      </c>
      <c r="T67">
        <v>0.32749549985003795</v>
      </c>
      <c r="U67">
        <v>0.33449946643977491</v>
      </c>
      <c r="V67">
        <v>0.29804402294215526</v>
      </c>
      <c r="W67">
        <v>0.29987401786131163</v>
      </c>
      <c r="X67">
        <v>0.30942326699905204</v>
      </c>
      <c r="Y67">
        <v>0.30658177677059678</v>
      </c>
      <c r="Z67">
        <v>0.30447865211153929</v>
      </c>
      <c r="AA67">
        <v>0.29899729100968048</v>
      </c>
      <c r="CE67" t="s">
        <v>304</v>
      </c>
      <c r="CF67">
        <v>0.57283426346173472</v>
      </c>
      <c r="CG67">
        <v>0.55626994791548678</v>
      </c>
      <c r="CH67">
        <v>0.54788082507268343</v>
      </c>
      <c r="CI67">
        <v>0.55822645113969849</v>
      </c>
      <c r="CJ67">
        <v>0.54981817461572779</v>
      </c>
      <c r="CK67">
        <v>0.57055942807647464</v>
      </c>
      <c r="CL67">
        <v>0.46246039469105449</v>
      </c>
      <c r="CM67">
        <v>0.48164223649427707</v>
      </c>
      <c r="CN67">
        <v>0.51120515507819886</v>
      </c>
      <c r="CO67">
        <v>0.49498320130952012</v>
      </c>
      <c r="CP67">
        <v>0.48703300993173332</v>
      </c>
      <c r="CQ67">
        <v>0.4629526176480383</v>
      </c>
      <c r="CR67">
        <v>0.30439870098548399</v>
      </c>
      <c r="CS67">
        <v>0.27899645889756902</v>
      </c>
      <c r="CT67">
        <v>0.27083470466270421</v>
      </c>
      <c r="CU67">
        <v>0.29593838580436332</v>
      </c>
      <c r="CV67">
        <v>0.33527635532616001</v>
      </c>
      <c r="CW67">
        <v>0.32348774731550273</v>
      </c>
      <c r="CX67">
        <v>0.43841804905960874</v>
      </c>
      <c r="CY67">
        <v>0.44001764622190787</v>
      </c>
      <c r="CZ67">
        <v>0.46443957729337304</v>
      </c>
      <c r="DA67">
        <v>0.4736844638944101</v>
      </c>
      <c r="DB67">
        <v>0.47557395651243944</v>
      </c>
      <c r="DC67">
        <v>0.45391711578183797</v>
      </c>
      <c r="DE67" t="s">
        <v>329</v>
      </c>
      <c r="DF67" t="s">
        <v>111</v>
      </c>
      <c r="DG67" t="s">
        <v>112</v>
      </c>
      <c r="DH67">
        <v>0.78680641841752119</v>
      </c>
    </row>
    <row r="68" spans="2:112" x14ac:dyDescent="0.45">
      <c r="B68" t="s">
        <v>306</v>
      </c>
      <c r="C68" t="s">
        <v>107</v>
      </c>
      <c r="D68">
        <v>0.26289074831597004</v>
      </c>
      <c r="E68">
        <v>0.26872599430094185</v>
      </c>
      <c r="F68">
        <v>0.2805695767152232</v>
      </c>
      <c r="G68">
        <v>0.2846878074579749</v>
      </c>
      <c r="H68">
        <v>0.28152571762547679</v>
      </c>
      <c r="I68">
        <v>0.25654073573880326</v>
      </c>
      <c r="J68">
        <v>0.26913965499878112</v>
      </c>
      <c r="K68">
        <v>0.2952745159051226</v>
      </c>
      <c r="L68">
        <v>0.30174074765729592</v>
      </c>
      <c r="M68">
        <v>0.30048198163916739</v>
      </c>
      <c r="N68">
        <v>0.28992646361098523</v>
      </c>
      <c r="O68">
        <v>0.26682203701984514</v>
      </c>
      <c r="P68">
        <v>0.35407365203906388</v>
      </c>
      <c r="Q68">
        <v>0.36867225431279732</v>
      </c>
      <c r="R68">
        <v>0.40215765988508978</v>
      </c>
      <c r="S68">
        <v>0.39231677982274715</v>
      </c>
      <c r="T68">
        <v>0.34612122514153976</v>
      </c>
      <c r="U68">
        <v>0.32653985625576815</v>
      </c>
      <c r="V68">
        <v>0.25823050696545458</v>
      </c>
      <c r="W68">
        <v>0.2611192827088909</v>
      </c>
      <c r="X68">
        <v>0.27640341782375016</v>
      </c>
      <c r="Y68">
        <v>0.28950681336554929</v>
      </c>
      <c r="Z68">
        <v>0.29605882221002949</v>
      </c>
      <c r="AA68">
        <v>0.28759720044709458</v>
      </c>
      <c r="CE68" t="s">
        <v>306</v>
      </c>
      <c r="CF68">
        <v>0.55025713308728175</v>
      </c>
      <c r="CG68">
        <v>0.53185373043882023</v>
      </c>
      <c r="CH68">
        <v>0.51389627277287531</v>
      </c>
      <c r="CI68">
        <v>0.5199005163851258</v>
      </c>
      <c r="CJ68">
        <v>0.52524006774971344</v>
      </c>
      <c r="CK68">
        <v>0.55402577624024407</v>
      </c>
      <c r="CL68">
        <v>0.43431329759969312</v>
      </c>
      <c r="CM68">
        <v>0.43961267455645681</v>
      </c>
      <c r="CN68">
        <v>0.47692057318476994</v>
      </c>
      <c r="CO68">
        <v>0.48933742020624399</v>
      </c>
      <c r="CP68">
        <v>0.48190141345652771</v>
      </c>
      <c r="CQ68">
        <v>0.45168480681262102</v>
      </c>
      <c r="CR68">
        <v>0.27085525875558253</v>
      </c>
      <c r="CS68">
        <v>0.24441812738541349</v>
      </c>
      <c r="CT68">
        <v>0.26001469161705942</v>
      </c>
      <c r="CU68">
        <v>0.2906948868083159</v>
      </c>
      <c r="CV68">
        <v>0.29763128151610646</v>
      </c>
      <c r="CW68">
        <v>0.27992020021376529</v>
      </c>
      <c r="CX68">
        <v>0.48519695893795695</v>
      </c>
      <c r="CY68">
        <v>0.45882600285175978</v>
      </c>
      <c r="CZ68">
        <v>0.45289696596558782</v>
      </c>
      <c r="DA68">
        <v>0.47168184523762896</v>
      </c>
      <c r="DB68">
        <v>0.47826305099571192</v>
      </c>
      <c r="DC68">
        <v>0.48846130953653522</v>
      </c>
      <c r="DE68" t="s">
        <v>331</v>
      </c>
      <c r="DF68" t="s">
        <v>111</v>
      </c>
      <c r="DG68" t="s">
        <v>112</v>
      </c>
      <c r="DH68">
        <v>0.76883707232880916</v>
      </c>
    </row>
    <row r="69" spans="2:112" x14ac:dyDescent="0.45">
      <c r="B69" t="s">
        <v>308</v>
      </c>
      <c r="C69" t="s">
        <v>107</v>
      </c>
      <c r="D69">
        <v>0.26814219645836734</v>
      </c>
      <c r="E69">
        <v>0.28298766222986138</v>
      </c>
      <c r="F69">
        <v>0.29215138789498973</v>
      </c>
      <c r="G69">
        <v>0.29876349473284508</v>
      </c>
      <c r="H69">
        <v>0.30231784966274061</v>
      </c>
      <c r="I69">
        <v>0.2759439163531287</v>
      </c>
      <c r="J69">
        <v>0.30270474251076807</v>
      </c>
      <c r="K69">
        <v>0.31342532798848166</v>
      </c>
      <c r="L69">
        <v>0.32375966038204501</v>
      </c>
      <c r="M69">
        <v>0.31841012171658334</v>
      </c>
      <c r="N69">
        <v>0.3028695448804099</v>
      </c>
      <c r="O69">
        <v>0.29231467345493328</v>
      </c>
      <c r="P69">
        <v>0.33711384389585081</v>
      </c>
      <c r="Q69">
        <v>0.38387673323765764</v>
      </c>
      <c r="R69">
        <v>0.39387406811821429</v>
      </c>
      <c r="S69">
        <v>0.3866167902737796</v>
      </c>
      <c r="T69">
        <v>0.37696352090706975</v>
      </c>
      <c r="U69">
        <v>0.35328616387516287</v>
      </c>
      <c r="V69">
        <v>0.28435965922051115</v>
      </c>
      <c r="W69">
        <v>0.28701500625457288</v>
      </c>
      <c r="X69">
        <v>0.30247112342974941</v>
      </c>
      <c r="Y69">
        <v>0.31325494246033958</v>
      </c>
      <c r="Z69">
        <v>0.32363567555812667</v>
      </c>
      <c r="AA69">
        <v>0.32153193626200294</v>
      </c>
      <c r="CE69" t="s">
        <v>308</v>
      </c>
      <c r="CF69">
        <v>0.52752775354162951</v>
      </c>
      <c r="CG69">
        <v>0.50364043870587794</v>
      </c>
      <c r="CH69">
        <v>0.49365515235778396</v>
      </c>
      <c r="CI69">
        <v>0.49563712739171412</v>
      </c>
      <c r="CJ69">
        <v>0.49887801911617974</v>
      </c>
      <c r="CK69">
        <v>0.5253590173649747</v>
      </c>
      <c r="CL69">
        <v>0.42348296522448725</v>
      </c>
      <c r="CM69">
        <v>0.42353245608354895</v>
      </c>
      <c r="CN69">
        <v>0.46333756404333537</v>
      </c>
      <c r="CO69">
        <v>0.48794541300297195</v>
      </c>
      <c r="CP69">
        <v>0.47586634394816424</v>
      </c>
      <c r="CQ69">
        <v>0.45130669947813812</v>
      </c>
      <c r="CR69">
        <v>0.26103657515348738</v>
      </c>
      <c r="CS69">
        <v>0.24099002866634817</v>
      </c>
      <c r="CT69">
        <v>0.25558247614022156</v>
      </c>
      <c r="CU69">
        <v>0.27610807954381644</v>
      </c>
      <c r="CV69">
        <v>0.27867460063449351</v>
      </c>
      <c r="CW69">
        <v>0.26269170137114994</v>
      </c>
      <c r="CX69">
        <v>0.44718254800289892</v>
      </c>
      <c r="CY69">
        <v>0.42093405273133716</v>
      </c>
      <c r="CZ69">
        <v>0.42222121606688118</v>
      </c>
      <c r="DA69">
        <v>0.44401102917830987</v>
      </c>
      <c r="DB69">
        <v>0.44915819317331318</v>
      </c>
      <c r="DC69">
        <v>0.45262021069340791</v>
      </c>
      <c r="DE69" t="s">
        <v>333</v>
      </c>
      <c r="DF69" t="s">
        <v>111</v>
      </c>
      <c r="DG69" t="s">
        <v>112</v>
      </c>
      <c r="DH69">
        <v>0.77668402993107533</v>
      </c>
    </row>
    <row r="70" spans="2:112" x14ac:dyDescent="0.45">
      <c r="B70" t="s">
        <v>310</v>
      </c>
      <c r="C70" t="s">
        <v>107</v>
      </c>
      <c r="D70">
        <v>0.29135921331241238</v>
      </c>
      <c r="E70">
        <v>0.29980848339516181</v>
      </c>
      <c r="F70">
        <v>0.3159153454362299</v>
      </c>
      <c r="G70">
        <v>0.31353208151785972</v>
      </c>
      <c r="H70">
        <v>0.32336837122296347</v>
      </c>
      <c r="I70">
        <v>0.3058404079111135</v>
      </c>
      <c r="J70">
        <v>0.33102700126579593</v>
      </c>
      <c r="K70">
        <v>0.35026046710580039</v>
      </c>
      <c r="L70">
        <v>0.34101888282916215</v>
      </c>
      <c r="M70">
        <v>0.33786898583681096</v>
      </c>
      <c r="N70">
        <v>0.32593133453408812</v>
      </c>
      <c r="O70">
        <v>0.31394520807941645</v>
      </c>
      <c r="P70">
        <v>0.35186823211788482</v>
      </c>
      <c r="Q70">
        <v>0.41310178629105482</v>
      </c>
      <c r="R70">
        <v>0.39716450552673965</v>
      </c>
      <c r="S70">
        <v>0.36819799792661773</v>
      </c>
      <c r="T70">
        <v>0.34639039199105032</v>
      </c>
      <c r="U70">
        <v>0.34935602945712169</v>
      </c>
      <c r="V70">
        <v>0.32413738154100979</v>
      </c>
      <c r="W70">
        <v>0.31924660042472303</v>
      </c>
      <c r="X70">
        <v>0.34027338524497169</v>
      </c>
      <c r="Y70">
        <v>0.3384546740540687</v>
      </c>
      <c r="Z70">
        <v>0.34736926359108067</v>
      </c>
      <c r="AA70">
        <v>0.33320601534126099</v>
      </c>
      <c r="CE70" t="s">
        <v>310</v>
      </c>
      <c r="CF70">
        <v>0.46312108848274863</v>
      </c>
      <c r="CG70">
        <v>0.43900839030736905</v>
      </c>
      <c r="CH70">
        <v>0.4410326453755497</v>
      </c>
      <c r="CI70">
        <v>0.46300017026413104</v>
      </c>
      <c r="CJ70">
        <v>0.45385394017820779</v>
      </c>
      <c r="CK70">
        <v>0.46320171351911915</v>
      </c>
      <c r="CL70">
        <v>0.35970577070037452</v>
      </c>
      <c r="CM70">
        <v>0.3678216114109269</v>
      </c>
      <c r="CN70">
        <v>0.41558967970263172</v>
      </c>
      <c r="CO70">
        <v>0.43354570998835451</v>
      </c>
      <c r="CP70">
        <v>0.4184481807317777</v>
      </c>
      <c r="CQ70">
        <v>0.38151282281499044</v>
      </c>
      <c r="CR70">
        <v>0.21354994502972771</v>
      </c>
      <c r="CS70">
        <v>0.19905380020663749</v>
      </c>
      <c r="CT70">
        <v>0.21538743067966834</v>
      </c>
      <c r="CU70">
        <v>0.24340045269625268</v>
      </c>
      <c r="CV70">
        <v>0.26073238590735365</v>
      </c>
      <c r="CW70">
        <v>0.24362893943477526</v>
      </c>
      <c r="CX70">
        <v>0.33975125794388494</v>
      </c>
      <c r="CY70">
        <v>0.32859502325820766</v>
      </c>
      <c r="CZ70">
        <v>0.35761866925008523</v>
      </c>
      <c r="DA70">
        <v>0.38653099358649262</v>
      </c>
      <c r="DB70">
        <v>0.38530488096825971</v>
      </c>
      <c r="DC70">
        <v>0.36563225591174503</v>
      </c>
      <c r="DE70" t="s">
        <v>335</v>
      </c>
      <c r="DF70" t="s">
        <v>111</v>
      </c>
      <c r="DG70" t="s">
        <v>112</v>
      </c>
      <c r="DH70">
        <v>0.76951367906217416</v>
      </c>
    </row>
    <row r="71" spans="2:112" x14ac:dyDescent="0.45">
      <c r="B71" t="s">
        <v>312</v>
      </c>
      <c r="C71" t="s">
        <v>107</v>
      </c>
      <c r="D71">
        <v>0.24415190189265953</v>
      </c>
      <c r="E71">
        <v>0.23855111638311019</v>
      </c>
      <c r="F71">
        <v>0.25838402306070613</v>
      </c>
      <c r="G71">
        <v>0.26921047602738746</v>
      </c>
      <c r="H71">
        <v>0.2766944397890525</v>
      </c>
      <c r="I71">
        <v>0.2688302682525332</v>
      </c>
      <c r="J71">
        <v>0.28966432896708949</v>
      </c>
      <c r="K71">
        <v>0.3062234601920773</v>
      </c>
      <c r="L71">
        <v>0.29839826017989729</v>
      </c>
      <c r="M71">
        <v>0.27212026928455746</v>
      </c>
      <c r="N71">
        <v>0.26075161737517177</v>
      </c>
      <c r="O71">
        <v>0.25801681512704389</v>
      </c>
      <c r="P71">
        <v>0.33174597389246957</v>
      </c>
      <c r="Q71">
        <v>0.36143422267917974</v>
      </c>
      <c r="R71">
        <v>0.36970848014286051</v>
      </c>
      <c r="S71">
        <v>0.35307451803357531</v>
      </c>
      <c r="T71">
        <v>0.31985040967906281</v>
      </c>
      <c r="U71">
        <v>0.303775852125729</v>
      </c>
      <c r="V71">
        <v>0.30522387288255093</v>
      </c>
      <c r="W71">
        <v>0.31665585421558934</v>
      </c>
      <c r="X71">
        <v>0.33076868694360506</v>
      </c>
      <c r="Y71">
        <v>0.30252229753785126</v>
      </c>
      <c r="Z71">
        <v>0.30527584444042294</v>
      </c>
      <c r="AA71">
        <v>0.31283280126773888</v>
      </c>
      <c r="CE71" t="s">
        <v>312</v>
      </c>
      <c r="CF71">
        <v>0.56209408243719738</v>
      </c>
      <c r="CG71">
        <v>0.55543975316076566</v>
      </c>
      <c r="CH71">
        <v>0.53311138215517595</v>
      </c>
      <c r="CI71">
        <v>0.54544727114057945</v>
      </c>
      <c r="CJ71">
        <v>0.54425242466518253</v>
      </c>
      <c r="CK71">
        <v>0.5619959934130434</v>
      </c>
      <c r="CL71">
        <v>0.48493567525845349</v>
      </c>
      <c r="CM71">
        <v>0.48766856738430603</v>
      </c>
      <c r="CN71">
        <v>0.50606666139347856</v>
      </c>
      <c r="CO71">
        <v>0.5181113374391717</v>
      </c>
      <c r="CP71">
        <v>0.53536357017717995</v>
      </c>
      <c r="CQ71">
        <v>0.5180946376768325</v>
      </c>
      <c r="CR71">
        <v>0.33473193032685522</v>
      </c>
      <c r="CS71">
        <v>0.30633113816716151</v>
      </c>
      <c r="CT71">
        <v>0.29327517375296225</v>
      </c>
      <c r="CU71">
        <v>0.32019531465690704</v>
      </c>
      <c r="CV71">
        <v>0.35916585040720894</v>
      </c>
      <c r="CW71">
        <v>0.35039869780497063</v>
      </c>
      <c r="CX71">
        <v>0.44379680148310241</v>
      </c>
      <c r="CY71">
        <v>0.43795473692114395</v>
      </c>
      <c r="CZ71">
        <v>0.44632489842731132</v>
      </c>
      <c r="DA71">
        <v>0.48248948546343473</v>
      </c>
      <c r="DB71">
        <v>0.4957061574900738</v>
      </c>
      <c r="DC71">
        <v>0.48144096449852319</v>
      </c>
      <c r="DE71" t="s">
        <v>337</v>
      </c>
      <c r="DF71" t="s">
        <v>111</v>
      </c>
      <c r="DG71" t="s">
        <v>112</v>
      </c>
      <c r="DH71">
        <v>0.71037581891920931</v>
      </c>
    </row>
    <row r="72" spans="2:112" x14ac:dyDescent="0.45">
      <c r="B72" t="s">
        <v>314</v>
      </c>
      <c r="C72" t="s">
        <v>107</v>
      </c>
      <c r="D72">
        <v>0.26106156393809765</v>
      </c>
      <c r="E72">
        <v>0.25722774526203573</v>
      </c>
      <c r="F72">
        <v>0.2854634787984614</v>
      </c>
      <c r="G72">
        <v>0.28703025783573999</v>
      </c>
      <c r="H72">
        <v>0.28909158405116053</v>
      </c>
      <c r="I72">
        <v>0.27878027487075796</v>
      </c>
      <c r="J72">
        <v>0.28801630457904803</v>
      </c>
      <c r="K72">
        <v>0.32199305782322718</v>
      </c>
      <c r="L72">
        <v>0.33830616812708247</v>
      </c>
      <c r="M72">
        <v>0.31062154332272551</v>
      </c>
      <c r="N72">
        <v>0.29494222708388484</v>
      </c>
      <c r="O72">
        <v>0.2816369031481456</v>
      </c>
      <c r="P72">
        <v>0.28969959028283521</v>
      </c>
      <c r="Q72">
        <v>0.34508122668966706</v>
      </c>
      <c r="R72">
        <v>0.37038404523126572</v>
      </c>
      <c r="S72">
        <v>0.34892845434351688</v>
      </c>
      <c r="T72">
        <v>0.31134878212019806</v>
      </c>
      <c r="U72">
        <v>0.29013682632945292</v>
      </c>
      <c r="V72">
        <v>0.31910494668065181</v>
      </c>
      <c r="W72">
        <v>0.33331328841356467</v>
      </c>
      <c r="X72">
        <v>0.33404470315815277</v>
      </c>
      <c r="Y72">
        <v>0.32807900130385403</v>
      </c>
      <c r="Z72">
        <v>0.32007695866005492</v>
      </c>
      <c r="AA72">
        <v>0.31222938862070126</v>
      </c>
      <c r="CE72" t="s">
        <v>314</v>
      </c>
      <c r="CF72">
        <v>0.50394633125442001</v>
      </c>
      <c r="CG72">
        <v>0.49251014748523014</v>
      </c>
      <c r="CH72">
        <v>0.46740125143174444</v>
      </c>
      <c r="CI72">
        <v>0.48115696087960991</v>
      </c>
      <c r="CJ72">
        <v>0.48321184691313862</v>
      </c>
      <c r="CK72">
        <v>0.50289612141997386</v>
      </c>
      <c r="CL72">
        <v>0.43192136763294225</v>
      </c>
      <c r="CM72">
        <v>0.41678280117158656</v>
      </c>
      <c r="CN72">
        <v>0.42927272388427878</v>
      </c>
      <c r="CO72">
        <v>0.44757833075931125</v>
      </c>
      <c r="CP72">
        <v>0.46577099468801286</v>
      </c>
      <c r="CQ72">
        <v>0.45062525252116237</v>
      </c>
      <c r="CR72">
        <v>0.30269457364948699</v>
      </c>
      <c r="CS72">
        <v>0.27059332802376723</v>
      </c>
      <c r="CT72">
        <v>0.2647418828939675</v>
      </c>
      <c r="CU72">
        <v>0.29789905213532442</v>
      </c>
      <c r="CV72">
        <v>0.33183525237332678</v>
      </c>
      <c r="CW72">
        <v>0.32698291681890912</v>
      </c>
      <c r="CX72">
        <v>0.40233478426453051</v>
      </c>
      <c r="CY72">
        <v>0.39200695278178388</v>
      </c>
      <c r="CZ72">
        <v>0.38697036268023555</v>
      </c>
      <c r="DA72">
        <v>0.42320300891092316</v>
      </c>
      <c r="DB72">
        <v>0.43266641707947678</v>
      </c>
      <c r="DC72">
        <v>0.43373592244155068</v>
      </c>
      <c r="DE72" t="s">
        <v>339</v>
      </c>
      <c r="DF72" t="s">
        <v>111</v>
      </c>
      <c r="DG72" t="s">
        <v>112</v>
      </c>
      <c r="DH72">
        <v>0.71798014294622836</v>
      </c>
    </row>
    <row r="73" spans="2:112" x14ac:dyDescent="0.45">
      <c r="B73" t="s">
        <v>316</v>
      </c>
      <c r="C73" t="s">
        <v>107</v>
      </c>
      <c r="D73">
        <v>0.23573002239313809</v>
      </c>
      <c r="E73">
        <v>0.23896025822067671</v>
      </c>
      <c r="F73">
        <v>0.26634002739663948</v>
      </c>
      <c r="G73">
        <v>0.27897028620114905</v>
      </c>
      <c r="H73">
        <v>0.26544020154711284</v>
      </c>
      <c r="I73">
        <v>0.24604141780295766</v>
      </c>
      <c r="J73">
        <v>0.26666978127136132</v>
      </c>
      <c r="K73">
        <v>0.27038440058599011</v>
      </c>
      <c r="L73">
        <v>0.31579576998367281</v>
      </c>
      <c r="M73">
        <v>0.31688064732958959</v>
      </c>
      <c r="N73">
        <v>0.286151678833028</v>
      </c>
      <c r="O73">
        <v>0.26478634750995095</v>
      </c>
      <c r="P73">
        <v>0.30119600571085131</v>
      </c>
      <c r="Q73">
        <v>0.34269194275780779</v>
      </c>
      <c r="R73">
        <v>0.36125874976139738</v>
      </c>
      <c r="S73">
        <v>0.34468382402246128</v>
      </c>
      <c r="T73">
        <v>0.31389401932974981</v>
      </c>
      <c r="U73">
        <v>0.29754588449839403</v>
      </c>
      <c r="V73">
        <v>0.28865502730228254</v>
      </c>
      <c r="W73">
        <v>0.32907739028705429</v>
      </c>
      <c r="X73">
        <v>0.32190874940726405</v>
      </c>
      <c r="Y73">
        <v>0.30238002143663906</v>
      </c>
      <c r="Z73">
        <v>0.27923523674105932</v>
      </c>
      <c r="AA73">
        <v>0.25524952808894141</v>
      </c>
      <c r="CE73" t="s">
        <v>316</v>
      </c>
      <c r="CF73">
        <v>0.56858461311416886</v>
      </c>
      <c r="CG73">
        <v>0.55323682345965275</v>
      </c>
      <c r="CH73">
        <v>0.53505580656598783</v>
      </c>
      <c r="CI73">
        <v>0.53569753537569609</v>
      </c>
      <c r="CJ73">
        <v>0.54574850133870911</v>
      </c>
      <c r="CK73">
        <v>0.56897270584685489</v>
      </c>
      <c r="CL73">
        <v>0.50231325866564613</v>
      </c>
      <c r="CM73">
        <v>0.49325006057833876</v>
      </c>
      <c r="CN73">
        <v>0.46048578584804745</v>
      </c>
      <c r="CO73">
        <v>0.46691875633109786</v>
      </c>
      <c r="CP73">
        <v>0.48882099222563441</v>
      </c>
      <c r="CQ73">
        <v>0.50098182463700103</v>
      </c>
      <c r="CR73">
        <v>0.4069993808728376</v>
      </c>
      <c r="CS73">
        <v>0.36043266344664504</v>
      </c>
      <c r="CT73">
        <v>0.34247456773357227</v>
      </c>
      <c r="CU73">
        <v>0.37721234516942265</v>
      </c>
      <c r="CV73">
        <v>0.41323100658663814</v>
      </c>
      <c r="CW73">
        <v>0.4132699397801049</v>
      </c>
      <c r="CX73">
        <v>0.50391914660322767</v>
      </c>
      <c r="CY73">
        <v>0.47541203605635396</v>
      </c>
      <c r="CZ73">
        <v>0.47546692608852303</v>
      </c>
      <c r="DA73">
        <v>0.4918102757733408</v>
      </c>
      <c r="DB73">
        <v>0.50583768274023333</v>
      </c>
      <c r="DC73">
        <v>0.53043014262252575</v>
      </c>
      <c r="DE73" t="s">
        <v>341</v>
      </c>
      <c r="DF73" t="s">
        <v>111</v>
      </c>
      <c r="DG73" t="s">
        <v>112</v>
      </c>
      <c r="DH73">
        <v>0.67680627092701207</v>
      </c>
    </row>
    <row r="74" spans="2:112" x14ac:dyDescent="0.45">
      <c r="B74" t="s">
        <v>318</v>
      </c>
      <c r="C74" t="s">
        <v>107</v>
      </c>
      <c r="D74">
        <v>0.25971012202875787</v>
      </c>
      <c r="E74">
        <v>0.25653665815276111</v>
      </c>
      <c r="F74">
        <v>0.29210374298366742</v>
      </c>
      <c r="G74">
        <v>0.30739676805160854</v>
      </c>
      <c r="H74">
        <v>0.29715260786534187</v>
      </c>
      <c r="I74">
        <v>0.2750481075133262</v>
      </c>
      <c r="J74">
        <v>0.29161267845704009</v>
      </c>
      <c r="K74">
        <v>0.31551721795178644</v>
      </c>
      <c r="L74">
        <v>0.34177248530336857</v>
      </c>
      <c r="M74">
        <v>0.33150112587077313</v>
      </c>
      <c r="N74">
        <v>0.31284386196707159</v>
      </c>
      <c r="O74">
        <v>0.29427049062529081</v>
      </c>
      <c r="P74">
        <v>0.29034397428679987</v>
      </c>
      <c r="Q74">
        <v>0.34860754798978788</v>
      </c>
      <c r="R74">
        <v>0.37160962091319821</v>
      </c>
      <c r="S74">
        <v>0.35459841085109273</v>
      </c>
      <c r="T74">
        <v>0.33267159536671637</v>
      </c>
      <c r="U74">
        <v>0.31665955654529121</v>
      </c>
      <c r="V74">
        <v>0.29605897622778843</v>
      </c>
      <c r="W74">
        <v>0.31590067554501505</v>
      </c>
      <c r="X74">
        <v>0.34710193398602918</v>
      </c>
      <c r="Y74">
        <v>0.35469862389633022</v>
      </c>
      <c r="Z74">
        <v>0.33330555568599624</v>
      </c>
      <c r="AA74">
        <v>0.2916398769305214</v>
      </c>
      <c r="CE74" t="s">
        <v>318</v>
      </c>
      <c r="CF74">
        <v>0.49232561919326695</v>
      </c>
      <c r="CG74">
        <v>0.47414708533664779</v>
      </c>
      <c r="CH74">
        <v>0.44771003307614171</v>
      </c>
      <c r="CI74">
        <v>0.45874613592102365</v>
      </c>
      <c r="CJ74">
        <v>0.46756267097561693</v>
      </c>
      <c r="CK74">
        <v>0.49035950351977248</v>
      </c>
      <c r="CL74">
        <v>0.41307512486250531</v>
      </c>
      <c r="CM74">
        <v>0.39591639367693093</v>
      </c>
      <c r="CN74">
        <v>0.39853495287212254</v>
      </c>
      <c r="CO74">
        <v>0.41896475564983954</v>
      </c>
      <c r="CP74">
        <v>0.42575950743535235</v>
      </c>
      <c r="CQ74">
        <v>0.41570035924461901</v>
      </c>
      <c r="CR74">
        <v>0.29784316416881501</v>
      </c>
      <c r="CS74">
        <v>0.26129547584479207</v>
      </c>
      <c r="CT74">
        <v>0.24400070717821035</v>
      </c>
      <c r="CU74">
        <v>0.27513862234569253</v>
      </c>
      <c r="CV74">
        <v>0.29613129278310352</v>
      </c>
      <c r="CW74">
        <v>0.29147988849281264</v>
      </c>
      <c r="CX74">
        <v>0.42458686418486258</v>
      </c>
      <c r="CY74">
        <v>0.40432288826915136</v>
      </c>
      <c r="CZ74">
        <v>0.37964508635403299</v>
      </c>
      <c r="DA74">
        <v>0.40363880577096384</v>
      </c>
      <c r="DB74">
        <v>0.40412071371081271</v>
      </c>
      <c r="DC74">
        <v>0.42873098826885542</v>
      </c>
      <c r="DE74" t="s">
        <v>343</v>
      </c>
      <c r="DF74" t="s">
        <v>111</v>
      </c>
      <c r="DG74" t="s">
        <v>112</v>
      </c>
      <c r="DH74">
        <v>0.69650448546618027</v>
      </c>
    </row>
    <row r="75" spans="2:112" x14ac:dyDescent="0.45">
      <c r="B75" t="s">
        <v>320</v>
      </c>
      <c r="C75" t="s">
        <v>107</v>
      </c>
      <c r="D75">
        <v>0.25151771330871447</v>
      </c>
      <c r="E75">
        <v>0.25620432484629885</v>
      </c>
      <c r="F75">
        <v>0.25864360191111085</v>
      </c>
      <c r="G75">
        <v>0.26070395712830124</v>
      </c>
      <c r="H75">
        <v>0.26075223641878692</v>
      </c>
      <c r="I75">
        <v>0.24842844184915086</v>
      </c>
      <c r="J75">
        <v>0.30137515339007298</v>
      </c>
      <c r="K75">
        <v>0.28714359932393207</v>
      </c>
      <c r="L75">
        <v>0.28763215476052906</v>
      </c>
      <c r="M75">
        <v>0.29023412858990255</v>
      </c>
      <c r="N75">
        <v>0.28780052056639088</v>
      </c>
      <c r="O75">
        <v>0.30338010991594799</v>
      </c>
      <c r="P75">
        <v>0.38101231656750295</v>
      </c>
      <c r="Q75">
        <v>0.40625005106563744</v>
      </c>
      <c r="R75">
        <v>0.42439802344707028</v>
      </c>
      <c r="S75">
        <v>0.39349226323467312</v>
      </c>
      <c r="T75">
        <v>0.3864298012977655</v>
      </c>
      <c r="U75">
        <v>0.38277666475655686</v>
      </c>
      <c r="V75">
        <v>0.29376472551076432</v>
      </c>
      <c r="W75">
        <v>0.29492138734924322</v>
      </c>
      <c r="X75">
        <v>0.29490054292829671</v>
      </c>
      <c r="Y75">
        <v>0.30714768870390358</v>
      </c>
      <c r="Z75">
        <v>0.30839701411362586</v>
      </c>
      <c r="AA75">
        <v>0.28557661340617552</v>
      </c>
      <c r="CE75" t="s">
        <v>320</v>
      </c>
      <c r="CF75">
        <v>0.54679244936678884</v>
      </c>
      <c r="CG75">
        <v>0.51363831694206763</v>
      </c>
      <c r="CH75">
        <v>0.51887351262737491</v>
      </c>
      <c r="CI75">
        <v>0.53903403102792691</v>
      </c>
      <c r="CJ75">
        <v>0.54402819428748594</v>
      </c>
      <c r="CK75">
        <v>0.55045732312849827</v>
      </c>
      <c r="CL75">
        <v>0.42727534097592856</v>
      </c>
      <c r="CM75">
        <v>0.43303296711841194</v>
      </c>
      <c r="CN75">
        <v>0.47493175162118978</v>
      </c>
      <c r="CO75">
        <v>0.48180421540705642</v>
      </c>
      <c r="CP75">
        <v>0.4720157531473832</v>
      </c>
      <c r="CQ75">
        <v>0.43046870877965143</v>
      </c>
      <c r="CR75">
        <v>0.20907825173774638</v>
      </c>
      <c r="CS75">
        <v>0.22260558709909725</v>
      </c>
      <c r="CT75">
        <v>0.23771085172760817</v>
      </c>
      <c r="CU75">
        <v>0.25035022436863646</v>
      </c>
      <c r="CV75">
        <v>0.24716835842841584</v>
      </c>
      <c r="CW75">
        <v>0.21311673698515318</v>
      </c>
      <c r="CX75">
        <v>0.37358624978229277</v>
      </c>
      <c r="CY75">
        <v>0.39352885679668814</v>
      </c>
      <c r="CZ75">
        <v>0.42102292746820652</v>
      </c>
      <c r="DA75">
        <v>0.41930125093443205</v>
      </c>
      <c r="DB75">
        <v>0.39118125566592871</v>
      </c>
      <c r="DC75">
        <v>0.37135427370366214</v>
      </c>
      <c r="DE75" t="s">
        <v>344</v>
      </c>
      <c r="DF75" t="s">
        <v>111</v>
      </c>
      <c r="DG75" t="s">
        <v>112</v>
      </c>
      <c r="DH75">
        <v>0.64053927145971434</v>
      </c>
    </row>
    <row r="76" spans="2:112" x14ac:dyDescent="0.45">
      <c r="B76" t="s">
        <v>322</v>
      </c>
      <c r="C76" t="s">
        <v>107</v>
      </c>
      <c r="D76">
        <v>0.16411061362869228</v>
      </c>
      <c r="E76">
        <v>0.16756172849393541</v>
      </c>
      <c r="F76">
        <v>0.18208430056583191</v>
      </c>
      <c r="G76">
        <v>0.1978057576625763</v>
      </c>
      <c r="H76">
        <v>0.1964275792599641</v>
      </c>
      <c r="I76">
        <v>0.17308415907358612</v>
      </c>
      <c r="J76">
        <v>0.23755568800368018</v>
      </c>
      <c r="K76">
        <v>0.24444269871384955</v>
      </c>
      <c r="L76">
        <v>0.23551373006764376</v>
      </c>
      <c r="M76">
        <v>0.2396106013386935</v>
      </c>
      <c r="N76">
        <v>0.23771887927471305</v>
      </c>
      <c r="O76">
        <v>0.23058931601246677</v>
      </c>
      <c r="P76">
        <v>0.34249658834923424</v>
      </c>
      <c r="Q76">
        <v>0.36503684062373315</v>
      </c>
      <c r="R76">
        <v>0.37398738983084295</v>
      </c>
      <c r="S76">
        <v>0.358902684263667</v>
      </c>
      <c r="T76">
        <v>0.33409303633196419</v>
      </c>
      <c r="U76">
        <v>0.32846012723344253</v>
      </c>
      <c r="V76">
        <v>0.23107998798091953</v>
      </c>
      <c r="W76">
        <v>0.2401124756234943</v>
      </c>
      <c r="X76">
        <v>0.23705036747419583</v>
      </c>
      <c r="Y76">
        <v>0.23791950284737268</v>
      </c>
      <c r="Z76">
        <v>0.2309291572258059</v>
      </c>
      <c r="AA76">
        <v>0.22056699902755056</v>
      </c>
      <c r="CE76" t="s">
        <v>322</v>
      </c>
      <c r="CF76">
        <v>0.71142505630753905</v>
      </c>
      <c r="CG76">
        <v>0.69240408609435145</v>
      </c>
      <c r="CH76">
        <v>0.68772532667229758</v>
      </c>
      <c r="CI76">
        <v>0.68599417274117014</v>
      </c>
      <c r="CJ76">
        <v>0.69019297404343061</v>
      </c>
      <c r="CK76">
        <v>0.70810996394818859</v>
      </c>
      <c r="CL76">
        <v>0.58376368977555071</v>
      </c>
      <c r="CM76">
        <v>0.57800757775346101</v>
      </c>
      <c r="CN76">
        <v>0.58987679710828733</v>
      </c>
      <c r="CO76">
        <v>0.58792179787163901</v>
      </c>
      <c r="CP76">
        <v>0.58492363866911057</v>
      </c>
      <c r="CQ76">
        <v>0.5844061667681314</v>
      </c>
      <c r="CR76">
        <v>0.32815700205848125</v>
      </c>
      <c r="CS76">
        <v>0.33518829370692016</v>
      </c>
      <c r="CT76">
        <v>0.33089881126861159</v>
      </c>
      <c r="CU76">
        <v>0.33204006655337659</v>
      </c>
      <c r="CV76">
        <v>0.34019342421234283</v>
      </c>
      <c r="CW76">
        <v>0.33449084525437744</v>
      </c>
      <c r="CX76">
        <v>0.56559462992726206</v>
      </c>
      <c r="CY76">
        <v>0.57173570630206416</v>
      </c>
      <c r="CZ76">
        <v>0.5839421143075767</v>
      </c>
      <c r="DA76">
        <v>0.57368514497285961</v>
      </c>
      <c r="DB76">
        <v>0.56388883390404609</v>
      </c>
      <c r="DC76">
        <v>0.56865318313538171</v>
      </c>
      <c r="DE76" t="s">
        <v>345</v>
      </c>
      <c r="DF76" t="s">
        <v>111</v>
      </c>
      <c r="DG76" t="s">
        <v>112</v>
      </c>
      <c r="DH76">
        <v>0.62965467751839821</v>
      </c>
    </row>
    <row r="77" spans="2:112" x14ac:dyDescent="0.45">
      <c r="B77" t="s">
        <v>324</v>
      </c>
      <c r="C77" t="s">
        <v>107</v>
      </c>
      <c r="D77">
        <v>0.27036600608219996</v>
      </c>
      <c r="E77">
        <v>0.25592075035950357</v>
      </c>
      <c r="F77">
        <v>0.26118306000850905</v>
      </c>
      <c r="G77">
        <v>0.27014243652890702</v>
      </c>
      <c r="H77">
        <v>0.26860736493337606</v>
      </c>
      <c r="I77">
        <v>0.26410049438797217</v>
      </c>
      <c r="J77">
        <v>0.30722163874027647</v>
      </c>
      <c r="K77">
        <v>0.30632309254707069</v>
      </c>
      <c r="L77">
        <v>0.30350579248020532</v>
      </c>
      <c r="M77">
        <v>0.30131605798341687</v>
      </c>
      <c r="N77">
        <v>0.30219062470359631</v>
      </c>
      <c r="O77">
        <v>0.30006052697396496</v>
      </c>
      <c r="P77">
        <v>0.35834484841731484</v>
      </c>
      <c r="Q77">
        <v>0.4067835052580453</v>
      </c>
      <c r="R77">
        <v>0.42334784274386023</v>
      </c>
      <c r="S77">
        <v>0.40453770864192456</v>
      </c>
      <c r="T77">
        <v>0.36781953963551556</v>
      </c>
      <c r="U77">
        <v>0.33370233463882759</v>
      </c>
      <c r="V77">
        <v>0.24170387226806678</v>
      </c>
      <c r="W77">
        <v>0.27042893601717061</v>
      </c>
      <c r="X77">
        <v>0.27256466080823882</v>
      </c>
      <c r="Y77">
        <v>0.27932217976778551</v>
      </c>
      <c r="Z77">
        <v>0.25855734432239635</v>
      </c>
      <c r="AA77">
        <v>0.2394567912310013</v>
      </c>
      <c r="CE77" t="s">
        <v>324</v>
      </c>
      <c r="CF77">
        <v>0.58029841215721234</v>
      </c>
      <c r="CG77">
        <v>0.5695329922760255</v>
      </c>
      <c r="CH77">
        <v>0.57144617794304298</v>
      </c>
      <c r="CI77">
        <v>0.56644732891067839</v>
      </c>
      <c r="CJ77">
        <v>0.56146330053479465</v>
      </c>
      <c r="CK77">
        <v>0.58201913716405218</v>
      </c>
      <c r="CL77">
        <v>0.43679249174417001</v>
      </c>
      <c r="CM77">
        <v>0.46243850445636209</v>
      </c>
      <c r="CN77">
        <v>0.49013048107800233</v>
      </c>
      <c r="CO77">
        <v>0.48306012480856214</v>
      </c>
      <c r="CP77">
        <v>0.47774818633662464</v>
      </c>
      <c r="CQ77">
        <v>0.44219114989578712</v>
      </c>
      <c r="CR77">
        <v>0.24461699365881365</v>
      </c>
      <c r="CS77">
        <v>0.22602550052077328</v>
      </c>
      <c r="CT77">
        <v>0.24778177460231085</v>
      </c>
      <c r="CU77">
        <v>0.26866538125442346</v>
      </c>
      <c r="CV77">
        <v>0.29680272579507927</v>
      </c>
      <c r="CW77">
        <v>0.27307271883214912</v>
      </c>
      <c r="CX77">
        <v>0.50998067545357906</v>
      </c>
      <c r="CY77">
        <v>0.47688271345413225</v>
      </c>
      <c r="CZ77">
        <v>0.49309962800649065</v>
      </c>
      <c r="DA77">
        <v>0.50989253951114322</v>
      </c>
      <c r="DB77">
        <v>0.51328307229989301</v>
      </c>
      <c r="DC77">
        <v>0.50974571171245886</v>
      </c>
      <c r="DE77" t="s">
        <v>346</v>
      </c>
      <c r="DF77" t="s">
        <v>111</v>
      </c>
      <c r="DG77" t="s">
        <v>112</v>
      </c>
      <c r="DH77">
        <v>0.67872271922367067</v>
      </c>
    </row>
    <row r="78" spans="2:112" x14ac:dyDescent="0.45">
      <c r="B78" t="s">
        <v>326</v>
      </c>
      <c r="C78" t="s">
        <v>107</v>
      </c>
      <c r="D78">
        <v>0.28858066443389058</v>
      </c>
      <c r="E78">
        <v>0.28532650730513404</v>
      </c>
      <c r="F78">
        <v>0.28329174387875994</v>
      </c>
      <c r="G78">
        <v>0.28056816932811163</v>
      </c>
      <c r="H78">
        <v>0.2939653979494406</v>
      </c>
      <c r="I78">
        <v>0.30040945035064726</v>
      </c>
      <c r="J78">
        <v>0.37286892390074627</v>
      </c>
      <c r="K78">
        <v>0.37070611708319756</v>
      </c>
      <c r="L78">
        <v>0.33358154838189641</v>
      </c>
      <c r="M78">
        <v>0.33153355094007908</v>
      </c>
      <c r="N78">
        <v>0.33584506627640576</v>
      </c>
      <c r="O78">
        <v>0.35713290538771064</v>
      </c>
      <c r="P78">
        <v>0.38221787185127815</v>
      </c>
      <c r="Q78">
        <v>0.42229780739937389</v>
      </c>
      <c r="R78">
        <v>0.43101414206427541</v>
      </c>
      <c r="S78">
        <v>0.40834072447833647</v>
      </c>
      <c r="T78">
        <v>0.37718053949557062</v>
      </c>
      <c r="U78">
        <v>0.36515173365743137</v>
      </c>
      <c r="V78">
        <v>0.294388239093408</v>
      </c>
      <c r="W78">
        <v>0.31741322568330432</v>
      </c>
      <c r="X78">
        <v>0.31319085222152698</v>
      </c>
      <c r="Y78">
        <v>0.30303804019657155</v>
      </c>
      <c r="Z78">
        <v>0.31709578013880146</v>
      </c>
      <c r="AA78">
        <v>0.29921975390195865</v>
      </c>
      <c r="CE78" t="s">
        <v>326</v>
      </c>
      <c r="CF78">
        <v>0.53643762399218375</v>
      </c>
      <c r="CG78">
        <v>0.52470217138003516</v>
      </c>
      <c r="CH78">
        <v>0.50787574336101993</v>
      </c>
      <c r="CI78">
        <v>0.51004684754549023</v>
      </c>
      <c r="CJ78">
        <v>0.50099649568735261</v>
      </c>
      <c r="CK78">
        <v>0.51219693424735291</v>
      </c>
      <c r="CL78">
        <v>0.36279427501792644</v>
      </c>
      <c r="CM78">
        <v>0.35222300756198199</v>
      </c>
      <c r="CN78">
        <v>0.38764995007085445</v>
      </c>
      <c r="CO78">
        <v>0.39832670289397942</v>
      </c>
      <c r="CP78">
        <v>0.38942117411965183</v>
      </c>
      <c r="CQ78">
        <v>0.353987148398068</v>
      </c>
      <c r="CR78">
        <v>0.16407667368606499</v>
      </c>
      <c r="CS78">
        <v>0.16199639045018624</v>
      </c>
      <c r="CT78">
        <v>0.19470317806965212</v>
      </c>
      <c r="CU78">
        <v>0.21960193974303033</v>
      </c>
      <c r="CV78">
        <v>0.2255258643579465</v>
      </c>
      <c r="CW78">
        <v>0.18831384413868435</v>
      </c>
      <c r="CX78">
        <v>0.42360728045594315</v>
      </c>
      <c r="CY78">
        <v>0.40975503700308818</v>
      </c>
      <c r="CZ78">
        <v>0.41637718412311614</v>
      </c>
      <c r="DA78">
        <v>0.44116772740960525</v>
      </c>
      <c r="DB78">
        <v>0.43398448990721911</v>
      </c>
      <c r="DC78">
        <v>0.42545731556042432</v>
      </c>
      <c r="DE78" t="s">
        <v>347</v>
      </c>
      <c r="DF78" t="s">
        <v>111</v>
      </c>
      <c r="DG78" t="s">
        <v>112</v>
      </c>
      <c r="DH78">
        <v>0.65890388106694431</v>
      </c>
    </row>
    <row r="79" spans="2:112" x14ac:dyDescent="0.45">
      <c r="B79" t="s">
        <v>328</v>
      </c>
      <c r="C79" t="s">
        <v>107</v>
      </c>
      <c r="D79">
        <v>0.26758444163135481</v>
      </c>
      <c r="E79">
        <v>0.25888068751001603</v>
      </c>
      <c r="F79">
        <v>0.26560682845719091</v>
      </c>
      <c r="G79">
        <v>0.28504766841904583</v>
      </c>
      <c r="H79">
        <v>0.2821010386021115</v>
      </c>
      <c r="I79">
        <v>0.25882145054435102</v>
      </c>
      <c r="J79">
        <v>0.2924609072526862</v>
      </c>
      <c r="K79">
        <v>0.31922988120882456</v>
      </c>
      <c r="L79">
        <v>0.31182212148238014</v>
      </c>
      <c r="M79">
        <v>0.2985278477038118</v>
      </c>
      <c r="N79">
        <v>0.28948781349812347</v>
      </c>
      <c r="O79">
        <v>0.28509030801696122</v>
      </c>
      <c r="P79">
        <v>0.37276449634825026</v>
      </c>
      <c r="Q79">
        <v>0.41557500384689411</v>
      </c>
      <c r="R79">
        <v>0.4236793112678095</v>
      </c>
      <c r="S79">
        <v>0.397730794138351</v>
      </c>
      <c r="T79">
        <v>0.38342872413581391</v>
      </c>
      <c r="U79">
        <v>0.37376744326186495</v>
      </c>
      <c r="V79">
        <v>0.26600855566633003</v>
      </c>
      <c r="W79">
        <v>0.27246964324803896</v>
      </c>
      <c r="X79">
        <v>0.27461593508320081</v>
      </c>
      <c r="Y79">
        <v>0.27501553110179527</v>
      </c>
      <c r="Z79">
        <v>0.26009201684358479</v>
      </c>
      <c r="AA79">
        <v>0.24332252980854288</v>
      </c>
      <c r="CE79" t="s">
        <v>328</v>
      </c>
      <c r="CF79">
        <v>0.55658109338475525</v>
      </c>
      <c r="CG79">
        <v>0.5409922174418027</v>
      </c>
      <c r="CH79">
        <v>0.54030424612878325</v>
      </c>
      <c r="CI79">
        <v>0.54105816713320865</v>
      </c>
      <c r="CJ79">
        <v>0.5378074489767547</v>
      </c>
      <c r="CK79">
        <v>0.56179062247131051</v>
      </c>
      <c r="CL79">
        <v>0.42905897493136258</v>
      </c>
      <c r="CM79">
        <v>0.44013066997912353</v>
      </c>
      <c r="CN79">
        <v>0.47817814687340987</v>
      </c>
      <c r="CO79">
        <v>0.4833048160917357</v>
      </c>
      <c r="CP79">
        <v>0.47960776892901591</v>
      </c>
      <c r="CQ79">
        <v>0.44701769705231365</v>
      </c>
      <c r="CR79">
        <v>0.21934096431920502</v>
      </c>
      <c r="CS79">
        <v>0.21942275765328745</v>
      </c>
      <c r="CT79">
        <v>0.24848558355935502</v>
      </c>
      <c r="CU79">
        <v>0.27877589918627377</v>
      </c>
      <c r="CV79">
        <v>0.27850835355487041</v>
      </c>
      <c r="CW79">
        <v>0.24259103514030417</v>
      </c>
      <c r="CX79">
        <v>0.45180886896966038</v>
      </c>
      <c r="CY79">
        <v>0.42936061676937343</v>
      </c>
      <c r="CZ79">
        <v>0.45960474064229689</v>
      </c>
      <c r="DA79">
        <v>0.47581729769434622</v>
      </c>
      <c r="DB79">
        <v>0.4689842536011849</v>
      </c>
      <c r="DC79">
        <v>0.45597989965458241</v>
      </c>
      <c r="DE79" t="s">
        <v>348</v>
      </c>
      <c r="DF79" t="s">
        <v>111</v>
      </c>
      <c r="DG79" t="s">
        <v>112</v>
      </c>
      <c r="DH79">
        <v>0.66671724117673226</v>
      </c>
    </row>
    <row r="80" spans="2:112" x14ac:dyDescent="0.45">
      <c r="B80" t="s">
        <v>330</v>
      </c>
      <c r="C80" t="s">
        <v>107</v>
      </c>
      <c r="D80">
        <v>0.29683275300601397</v>
      </c>
      <c r="E80">
        <v>0.30290260051012363</v>
      </c>
      <c r="F80">
        <v>0.29917623596329518</v>
      </c>
      <c r="G80">
        <v>0.29936440447887686</v>
      </c>
      <c r="H80">
        <v>0.29815433176252659</v>
      </c>
      <c r="I80">
        <v>0.2757350235946841</v>
      </c>
      <c r="J80">
        <v>0.3079150212081665</v>
      </c>
      <c r="K80">
        <v>0.33862133067469419</v>
      </c>
      <c r="L80">
        <v>0.3265147177930855</v>
      </c>
      <c r="M80">
        <v>0.30320945404985217</v>
      </c>
      <c r="N80">
        <v>0.30731590056057395</v>
      </c>
      <c r="O80">
        <v>0.305730935895626</v>
      </c>
      <c r="P80">
        <v>0.37284428278419823</v>
      </c>
      <c r="Q80">
        <v>0.41112042310601754</v>
      </c>
      <c r="R80">
        <v>0.41683905604619459</v>
      </c>
      <c r="S80">
        <v>0.39901935255338011</v>
      </c>
      <c r="T80">
        <v>0.38581194926434531</v>
      </c>
      <c r="U80">
        <v>0.36576178147217364</v>
      </c>
      <c r="V80">
        <v>0.27929973617686271</v>
      </c>
      <c r="W80">
        <v>0.29673082094150272</v>
      </c>
      <c r="X80">
        <v>0.30070113566049433</v>
      </c>
      <c r="Y80">
        <v>0.29697028543651843</v>
      </c>
      <c r="Z80">
        <v>0.28941964595575781</v>
      </c>
      <c r="AA80">
        <v>0.27881974654976865</v>
      </c>
      <c r="CE80" t="s">
        <v>330</v>
      </c>
      <c r="CF80">
        <v>0.51420137261099097</v>
      </c>
      <c r="CG80">
        <v>0.49852542859939225</v>
      </c>
      <c r="CH80">
        <v>0.50067812183502725</v>
      </c>
      <c r="CI80">
        <v>0.50719965352691976</v>
      </c>
      <c r="CJ80">
        <v>0.49873325506322547</v>
      </c>
      <c r="CK80">
        <v>0.52351329371464772</v>
      </c>
      <c r="CL80">
        <v>0.37814748524608172</v>
      </c>
      <c r="CM80">
        <v>0.40586228964226889</v>
      </c>
      <c r="CN80">
        <v>0.47077060628479739</v>
      </c>
      <c r="CO80">
        <v>0.47267980650759062</v>
      </c>
      <c r="CP80">
        <v>0.4485141189559097</v>
      </c>
      <c r="CQ80">
        <v>0.40362729180204687</v>
      </c>
      <c r="CR80">
        <v>0.19402252868092221</v>
      </c>
      <c r="CS80">
        <v>0.18700450153524778</v>
      </c>
      <c r="CT80">
        <v>0.23400094105348174</v>
      </c>
      <c r="CU80">
        <v>0.26713202472012604</v>
      </c>
      <c r="CV80">
        <v>0.26831758257487143</v>
      </c>
      <c r="CW80">
        <v>0.22239743780834803</v>
      </c>
      <c r="CX80">
        <v>0.43754300291171577</v>
      </c>
      <c r="CY80">
        <v>0.40130726498018299</v>
      </c>
      <c r="CZ80">
        <v>0.4275429951870478</v>
      </c>
      <c r="DA80">
        <v>0.4610646933321158</v>
      </c>
      <c r="DB80">
        <v>0.45914024212455068</v>
      </c>
      <c r="DC80">
        <v>0.44215161610980352</v>
      </c>
      <c r="DE80" t="s">
        <v>349</v>
      </c>
      <c r="DF80" t="s">
        <v>111</v>
      </c>
      <c r="DG80" t="s">
        <v>112</v>
      </c>
      <c r="DH80">
        <v>0.68990138101184983</v>
      </c>
    </row>
    <row r="81" spans="2:112" x14ac:dyDescent="0.45">
      <c r="B81" t="s">
        <v>332</v>
      </c>
      <c r="C81" t="s">
        <v>107</v>
      </c>
      <c r="D81">
        <v>0.3479213362720569</v>
      </c>
      <c r="E81">
        <v>0.33811758732476421</v>
      </c>
      <c r="F81">
        <v>0.33463732301328769</v>
      </c>
      <c r="G81">
        <v>0.32933515918294304</v>
      </c>
      <c r="H81">
        <v>0.33911341889194185</v>
      </c>
      <c r="I81">
        <v>0.34346322827548825</v>
      </c>
      <c r="J81">
        <v>0.37543279182569927</v>
      </c>
      <c r="K81">
        <v>0.38325143100668019</v>
      </c>
      <c r="L81">
        <v>0.35660150284942677</v>
      </c>
      <c r="M81">
        <v>0.33042570489585749</v>
      </c>
      <c r="N81">
        <v>0.31597425296652465</v>
      </c>
      <c r="O81">
        <v>0.33651179861848496</v>
      </c>
      <c r="P81">
        <v>0.40972876391445961</v>
      </c>
      <c r="Q81">
        <v>0.45691576231370756</v>
      </c>
      <c r="R81">
        <v>0.42579033849516051</v>
      </c>
      <c r="S81">
        <v>0.39912138675153025</v>
      </c>
      <c r="T81">
        <v>0.38805497096983405</v>
      </c>
      <c r="U81">
        <v>0.38334522216356742</v>
      </c>
      <c r="V81">
        <v>0.35056600525606813</v>
      </c>
      <c r="W81">
        <v>0.36558839469965437</v>
      </c>
      <c r="X81">
        <v>0.33796628337712492</v>
      </c>
      <c r="Y81">
        <v>0.32650735819584309</v>
      </c>
      <c r="Z81">
        <v>0.33781408528783369</v>
      </c>
      <c r="AA81">
        <v>0.33575665549966061</v>
      </c>
      <c r="CE81" t="s">
        <v>332</v>
      </c>
      <c r="CF81">
        <v>0.42502690760832296</v>
      </c>
      <c r="CG81">
        <v>0.40382225762211937</v>
      </c>
      <c r="CH81">
        <v>0.39727432198559565</v>
      </c>
      <c r="CI81">
        <v>0.41189588032622415</v>
      </c>
      <c r="CJ81">
        <v>0.3969217541310287</v>
      </c>
      <c r="CK81">
        <v>0.40902674943561929</v>
      </c>
      <c r="CL81">
        <v>0.29826094509267853</v>
      </c>
      <c r="CM81">
        <v>0.28858271774194832</v>
      </c>
      <c r="CN81">
        <v>0.35622247946568358</v>
      </c>
      <c r="CO81">
        <v>0.37881589641145308</v>
      </c>
      <c r="CP81">
        <v>0.36844307260025239</v>
      </c>
      <c r="CQ81">
        <v>0.32735514857667675</v>
      </c>
      <c r="CR81">
        <v>0.13336758243818203</v>
      </c>
      <c r="CS81">
        <v>0.13779754751488826</v>
      </c>
      <c r="CT81">
        <v>0.18828722708227832</v>
      </c>
      <c r="CU81">
        <v>0.22639361721697648</v>
      </c>
      <c r="CV81">
        <v>0.21981005093413633</v>
      </c>
      <c r="CW81">
        <v>0.1763583720665137</v>
      </c>
      <c r="CX81">
        <v>0.30629329876737554</v>
      </c>
      <c r="CY81">
        <v>0.30495917054765753</v>
      </c>
      <c r="CZ81">
        <v>0.33952916108087899</v>
      </c>
      <c r="DA81">
        <v>0.37883295931958783</v>
      </c>
      <c r="DB81">
        <v>0.35865027044254383</v>
      </c>
      <c r="DC81">
        <v>0.32347718354672628</v>
      </c>
      <c r="DE81" t="s">
        <v>350</v>
      </c>
      <c r="DF81" t="s">
        <v>111</v>
      </c>
      <c r="DG81" t="s">
        <v>112</v>
      </c>
      <c r="DH81">
        <v>0.69096201103096822</v>
      </c>
    </row>
    <row r="82" spans="2:112" x14ac:dyDescent="0.45">
      <c r="B82" t="s">
        <v>334</v>
      </c>
      <c r="C82" t="s">
        <v>107</v>
      </c>
      <c r="D82">
        <v>0.30995890980523305</v>
      </c>
      <c r="E82">
        <v>0.29838580806614878</v>
      </c>
      <c r="F82">
        <v>0.30381618360482204</v>
      </c>
      <c r="G82">
        <v>0.31972770856515564</v>
      </c>
      <c r="H82">
        <v>0.3236050963929275</v>
      </c>
      <c r="I82">
        <v>0.31477760260430732</v>
      </c>
      <c r="J82">
        <v>0.37322595788995933</v>
      </c>
      <c r="K82">
        <v>0.40475221739429063</v>
      </c>
      <c r="L82">
        <v>0.37926838936599894</v>
      </c>
      <c r="M82">
        <v>0.34394169463838115</v>
      </c>
      <c r="N82">
        <v>0.32983154463017816</v>
      </c>
      <c r="O82">
        <v>0.344509572374256</v>
      </c>
      <c r="P82">
        <v>0.40954599420685994</v>
      </c>
      <c r="Q82">
        <v>0.4145810053481811</v>
      </c>
      <c r="R82">
        <v>0.41376601801808149</v>
      </c>
      <c r="S82">
        <v>0.40376441205171043</v>
      </c>
      <c r="T82">
        <v>0.39716352132590166</v>
      </c>
      <c r="U82">
        <v>0.39461107301673309</v>
      </c>
      <c r="V82">
        <v>0.33633721916297155</v>
      </c>
      <c r="W82">
        <v>0.35036674013401892</v>
      </c>
      <c r="X82">
        <v>0.32670579638318531</v>
      </c>
      <c r="Y82">
        <v>0.31742645918323187</v>
      </c>
      <c r="Z82">
        <v>0.32531952893181637</v>
      </c>
      <c r="AA82">
        <v>0.3151805498145836</v>
      </c>
      <c r="CE82" t="s">
        <v>334</v>
      </c>
      <c r="CF82">
        <v>0.48043049566208729</v>
      </c>
      <c r="CG82">
        <v>0.45702989436900432</v>
      </c>
      <c r="CH82">
        <v>0.43572015664213987</v>
      </c>
      <c r="CI82">
        <v>0.44376057789332618</v>
      </c>
      <c r="CJ82">
        <v>0.45013822764927169</v>
      </c>
      <c r="CK82">
        <v>0.46777715293331174</v>
      </c>
      <c r="CL82">
        <v>0.31828093677776598</v>
      </c>
      <c r="CM82">
        <v>0.29322522469482609</v>
      </c>
      <c r="CN82">
        <v>0.34945759037429508</v>
      </c>
      <c r="CO82">
        <v>0.38532855983378178</v>
      </c>
      <c r="CP82">
        <v>0.37627866802658338</v>
      </c>
      <c r="CQ82">
        <v>0.35109961240948884</v>
      </c>
      <c r="CR82">
        <v>0.18902097554019676</v>
      </c>
      <c r="CS82">
        <v>0.20596187215290335</v>
      </c>
      <c r="CT82">
        <v>0.25371251872526523</v>
      </c>
      <c r="CU82">
        <v>0.2812344098708684</v>
      </c>
      <c r="CV82">
        <v>0.26761001318431193</v>
      </c>
      <c r="CW82">
        <v>0.22248128109255139</v>
      </c>
      <c r="CX82">
        <v>0.36186643497283782</v>
      </c>
      <c r="CY82">
        <v>0.35707516850372095</v>
      </c>
      <c r="CZ82">
        <v>0.38765328756526468</v>
      </c>
      <c r="DA82">
        <v>0.41760303251367986</v>
      </c>
      <c r="DB82">
        <v>0.40501431393016107</v>
      </c>
      <c r="DC82">
        <v>0.38042617737192258</v>
      </c>
      <c r="DE82" t="s">
        <v>351</v>
      </c>
      <c r="DF82" t="s">
        <v>111</v>
      </c>
      <c r="DG82" t="s">
        <v>112</v>
      </c>
      <c r="DH82">
        <v>0.67508354344144117</v>
      </c>
    </row>
    <row r="83" spans="2:112" x14ac:dyDescent="0.45">
      <c r="B83" t="s">
        <v>336</v>
      </c>
      <c r="C83" t="s">
        <v>107</v>
      </c>
      <c r="D83">
        <v>0.23110974153435473</v>
      </c>
      <c r="E83">
        <v>0.22599364563466612</v>
      </c>
      <c r="F83">
        <v>0.22385386084931097</v>
      </c>
      <c r="G83">
        <v>0.23768944126237862</v>
      </c>
      <c r="H83">
        <v>0.24610194968998542</v>
      </c>
      <c r="I83">
        <v>0.23253776990740349</v>
      </c>
      <c r="J83">
        <v>0.32175255318647139</v>
      </c>
      <c r="K83">
        <v>0.35340936448553617</v>
      </c>
      <c r="L83">
        <v>0.36510696749705529</v>
      </c>
      <c r="M83">
        <v>0.33865016135632925</v>
      </c>
      <c r="N83">
        <v>0.29872065586041413</v>
      </c>
      <c r="O83">
        <v>0.28270849419368416</v>
      </c>
      <c r="P83">
        <v>0.32013549964021931</v>
      </c>
      <c r="Q83">
        <v>0.32304350645294411</v>
      </c>
      <c r="R83">
        <v>0.33700373625093011</v>
      </c>
      <c r="S83">
        <v>0.33782612781915522</v>
      </c>
      <c r="T83">
        <v>0.33026225726144198</v>
      </c>
      <c r="U83">
        <v>0.32935543790880156</v>
      </c>
      <c r="V83">
        <v>0.25293554936768692</v>
      </c>
      <c r="W83">
        <v>0.26606206946032418</v>
      </c>
      <c r="X83">
        <v>0.25290237273909755</v>
      </c>
      <c r="Y83">
        <v>0.25097845462812629</v>
      </c>
      <c r="Z83">
        <v>0.25412536704492611</v>
      </c>
      <c r="AA83">
        <v>0.23764651952148633</v>
      </c>
      <c r="CE83" t="s">
        <v>336</v>
      </c>
      <c r="CF83">
        <v>0.65487253667572953</v>
      </c>
      <c r="CG83">
        <v>0.64829061742292737</v>
      </c>
      <c r="CH83">
        <v>0.63344943752275951</v>
      </c>
      <c r="CI83">
        <v>0.61512944141858161</v>
      </c>
      <c r="CJ83">
        <v>0.61982952477119635</v>
      </c>
      <c r="CK83">
        <v>0.64011422667470053</v>
      </c>
      <c r="CL83">
        <v>0.48296155990295064</v>
      </c>
      <c r="CM83">
        <v>0.43738788634018477</v>
      </c>
      <c r="CN83">
        <v>0.45901115773570178</v>
      </c>
      <c r="CO83">
        <v>0.49378982455508658</v>
      </c>
      <c r="CP83">
        <v>0.52160672084551152</v>
      </c>
      <c r="CQ83">
        <v>0.52012983755110487</v>
      </c>
      <c r="CR83">
        <v>0.3566385024295658</v>
      </c>
      <c r="CS83">
        <v>0.37883610186105776</v>
      </c>
      <c r="CT83">
        <v>0.39777536510274941</v>
      </c>
      <c r="CU83">
        <v>0.39900996138791789</v>
      </c>
      <c r="CV83">
        <v>0.3870526149968791</v>
      </c>
      <c r="CW83">
        <v>0.36370759986617551</v>
      </c>
      <c r="CX83">
        <v>0.59157969175080427</v>
      </c>
      <c r="CY83">
        <v>0.5663842234046087</v>
      </c>
      <c r="CZ83">
        <v>0.58176546414679398</v>
      </c>
      <c r="DA83">
        <v>0.58740403356977611</v>
      </c>
      <c r="DB83">
        <v>0.57698082247669624</v>
      </c>
      <c r="DC83">
        <v>0.59154958360612087</v>
      </c>
      <c r="DE83" t="s">
        <v>352</v>
      </c>
      <c r="DF83" t="s">
        <v>111</v>
      </c>
      <c r="DG83" t="s">
        <v>112</v>
      </c>
      <c r="DH83">
        <v>0.67125975041641306</v>
      </c>
    </row>
    <row r="84" spans="2:112" x14ac:dyDescent="0.45">
      <c r="B84" t="s">
        <v>338</v>
      </c>
      <c r="C84" t="s">
        <v>107</v>
      </c>
      <c r="D84">
        <v>0.19450166959457896</v>
      </c>
      <c r="E84">
        <v>0.18718867522580873</v>
      </c>
      <c r="F84">
        <v>0.18528889514979496</v>
      </c>
      <c r="G84">
        <v>0.19278557255477444</v>
      </c>
      <c r="H84">
        <v>0.19398700049597697</v>
      </c>
      <c r="I84">
        <v>0.17744083341501568</v>
      </c>
      <c r="J84">
        <v>0.28045823322675562</v>
      </c>
      <c r="K84">
        <v>0.3019984949577062</v>
      </c>
      <c r="L84">
        <v>0.31518094446983258</v>
      </c>
      <c r="M84">
        <v>0.31370970486392946</v>
      </c>
      <c r="N84">
        <v>0.28006693798329663</v>
      </c>
      <c r="O84">
        <v>0.26492454422144857</v>
      </c>
      <c r="P84">
        <v>0.29185366931984402</v>
      </c>
      <c r="Q84">
        <v>0.28726696257516188</v>
      </c>
      <c r="R84">
        <v>0.29582075838129795</v>
      </c>
      <c r="S84">
        <v>0.29306028188230793</v>
      </c>
      <c r="T84">
        <v>0.29122191257450497</v>
      </c>
      <c r="U84">
        <v>0.30685353444585856</v>
      </c>
      <c r="V84">
        <v>0.2115048445446108</v>
      </c>
      <c r="W84">
        <v>0.20090087440722326</v>
      </c>
      <c r="X84">
        <v>0.21466560131983956</v>
      </c>
      <c r="Y84">
        <v>0.22123103662610807</v>
      </c>
      <c r="Z84">
        <v>0.22285317168377719</v>
      </c>
      <c r="AA84">
        <v>0.2012412477576008</v>
      </c>
      <c r="CE84" t="s">
        <v>338</v>
      </c>
      <c r="CF84">
        <v>0.73245032784630526</v>
      </c>
      <c r="CG84">
        <v>0.73171583422591613</v>
      </c>
      <c r="CH84">
        <v>0.74252414107617182</v>
      </c>
      <c r="CI84">
        <v>0.72150679069706114</v>
      </c>
      <c r="CJ84">
        <v>0.71668275538293602</v>
      </c>
      <c r="CK84">
        <v>0.74090464188416372</v>
      </c>
      <c r="CL84">
        <v>0.60525278909587787</v>
      </c>
      <c r="CM84">
        <v>0.55991269707902047</v>
      </c>
      <c r="CN84">
        <v>0.53763901833182681</v>
      </c>
      <c r="CO84">
        <v>0.55294454225482459</v>
      </c>
      <c r="CP84">
        <v>0.59619483075077617</v>
      </c>
      <c r="CQ84">
        <v>0.61988897563187995</v>
      </c>
      <c r="CR84">
        <v>0.48941038001291476</v>
      </c>
      <c r="CS84">
        <v>0.49927232612376671</v>
      </c>
      <c r="CT84">
        <v>0.50309658036193494</v>
      </c>
      <c r="CU84">
        <v>0.50250760700989539</v>
      </c>
      <c r="CV84">
        <v>0.49053608379285368</v>
      </c>
      <c r="CW84">
        <v>0.48368554963137561</v>
      </c>
      <c r="CX84">
        <v>0.701152264174287</v>
      </c>
      <c r="CY84">
        <v>0.70184889611844348</v>
      </c>
      <c r="CZ84">
        <v>0.67836620775752532</v>
      </c>
      <c r="DA84">
        <v>0.66316092292966045</v>
      </c>
      <c r="DB84">
        <v>0.66882375773741698</v>
      </c>
      <c r="DC84">
        <v>0.69718258728735671</v>
      </c>
      <c r="DE84" t="s">
        <v>353</v>
      </c>
      <c r="DF84" t="s">
        <v>111</v>
      </c>
      <c r="DG84" t="s">
        <v>112</v>
      </c>
      <c r="DH84">
        <v>0.66135226114753387</v>
      </c>
    </row>
    <row r="85" spans="2:112" x14ac:dyDescent="0.45">
      <c r="B85" t="s">
        <v>340</v>
      </c>
      <c r="C85" t="s">
        <v>107</v>
      </c>
      <c r="D85">
        <v>0.18722925949712582</v>
      </c>
      <c r="E85">
        <v>0.19952518686744578</v>
      </c>
      <c r="F85">
        <v>0.21725902771894162</v>
      </c>
      <c r="G85">
        <v>0.22151864649568517</v>
      </c>
      <c r="H85">
        <v>0.22108655198630575</v>
      </c>
      <c r="I85">
        <v>0.19843118215508432</v>
      </c>
      <c r="J85">
        <v>0.31208712430404928</v>
      </c>
      <c r="K85">
        <v>0.32556800287178606</v>
      </c>
      <c r="L85">
        <v>0.32370994076347726</v>
      </c>
      <c r="M85">
        <v>0.3131287460470964</v>
      </c>
      <c r="N85">
        <v>0.31621977597705136</v>
      </c>
      <c r="O85">
        <v>0.30839771775662633</v>
      </c>
      <c r="P85">
        <v>0.3407847970760603</v>
      </c>
      <c r="Q85">
        <v>0.3475024729101493</v>
      </c>
      <c r="R85">
        <v>0.35923717230340729</v>
      </c>
      <c r="S85">
        <v>0.35460612762451937</v>
      </c>
      <c r="T85">
        <v>0.34490861399750117</v>
      </c>
      <c r="U85">
        <v>0.33549246565963109</v>
      </c>
      <c r="V85">
        <v>0.28044463756851123</v>
      </c>
      <c r="W85">
        <v>0.27639401098680072</v>
      </c>
      <c r="X85">
        <v>0.27597835264873355</v>
      </c>
      <c r="Y85">
        <v>0.27805217159113804</v>
      </c>
      <c r="Z85">
        <v>0.27947628952369091</v>
      </c>
      <c r="AA85">
        <v>0.27565241006968566</v>
      </c>
      <c r="CE85" t="s">
        <v>340</v>
      </c>
      <c r="CF85">
        <v>0.70575475117445996</v>
      </c>
      <c r="CG85">
        <v>0.67701292277733816</v>
      </c>
      <c r="CH85">
        <v>0.65707043081605354</v>
      </c>
      <c r="CI85">
        <v>0.6655805883074315</v>
      </c>
      <c r="CJ85">
        <v>0.67847400378074507</v>
      </c>
      <c r="CK85">
        <v>0.70174515592325759</v>
      </c>
      <c r="CL85">
        <v>0.51302304815809574</v>
      </c>
      <c r="CM85">
        <v>0.49489134510251309</v>
      </c>
      <c r="CN85">
        <v>0.50308641612430594</v>
      </c>
      <c r="CO85">
        <v>0.52301486172122613</v>
      </c>
      <c r="CP85">
        <v>0.54118725135164214</v>
      </c>
      <c r="CQ85">
        <v>0.54373343364197302</v>
      </c>
      <c r="CR85">
        <v>0.4162394617096512</v>
      </c>
      <c r="CS85">
        <v>0.41885058570627642</v>
      </c>
      <c r="CT85">
        <v>0.4265979786833593</v>
      </c>
      <c r="CU85">
        <v>0.44554263581949816</v>
      </c>
      <c r="CV85">
        <v>0.44564324782526327</v>
      </c>
      <c r="CW85">
        <v>0.42443799982525154</v>
      </c>
      <c r="CX85">
        <v>0.56382273075388067</v>
      </c>
      <c r="CY85">
        <v>0.57069678610645358</v>
      </c>
      <c r="CZ85">
        <v>0.58559825129718612</v>
      </c>
      <c r="DA85">
        <v>0.58898776530578578</v>
      </c>
      <c r="DB85">
        <v>0.58635181442054696</v>
      </c>
      <c r="DC85">
        <v>0.58218240261514553</v>
      </c>
      <c r="DE85" t="s">
        <v>354</v>
      </c>
      <c r="DF85" t="s">
        <v>111</v>
      </c>
      <c r="DG85" t="s">
        <v>112</v>
      </c>
      <c r="DH85">
        <v>0.69568722964582519</v>
      </c>
    </row>
    <row r="86" spans="2:112" x14ac:dyDescent="0.45">
      <c r="B86" t="s">
        <v>342</v>
      </c>
      <c r="C86" t="s">
        <v>107</v>
      </c>
      <c r="D86">
        <v>0.15555531684372853</v>
      </c>
      <c r="E86">
        <v>0.16257175779978084</v>
      </c>
      <c r="F86">
        <v>0.18609823005334236</v>
      </c>
      <c r="G86">
        <v>0.18564977101794081</v>
      </c>
      <c r="H86">
        <v>0.17256792355205658</v>
      </c>
      <c r="I86">
        <v>0.15856506240044405</v>
      </c>
      <c r="J86">
        <v>0.26316273778277777</v>
      </c>
      <c r="K86">
        <v>0.27390943557850184</v>
      </c>
      <c r="L86">
        <v>0.26590017355223555</v>
      </c>
      <c r="M86">
        <v>0.25932745527869172</v>
      </c>
      <c r="N86">
        <v>0.26919200399877791</v>
      </c>
      <c r="O86">
        <v>0.27298514283935571</v>
      </c>
      <c r="P86">
        <v>0.33357380996701569</v>
      </c>
      <c r="Q86">
        <v>0.31037642020024653</v>
      </c>
      <c r="R86">
        <v>0.33407243894340227</v>
      </c>
      <c r="S86">
        <v>0.34839613632674271</v>
      </c>
      <c r="T86">
        <v>0.34776167886587206</v>
      </c>
      <c r="U86">
        <v>0.3314474418093325</v>
      </c>
      <c r="V86">
        <v>0.25845986289950962</v>
      </c>
      <c r="W86">
        <v>0.24638137294877796</v>
      </c>
      <c r="X86">
        <v>0.2290970964587801</v>
      </c>
      <c r="Y86">
        <v>0.23508719094533329</v>
      </c>
      <c r="Z86">
        <v>0.24780394048694326</v>
      </c>
      <c r="AA86">
        <v>0.24621546364456393</v>
      </c>
      <c r="CE86" t="s">
        <v>342</v>
      </c>
      <c r="CF86">
        <v>0.7650317404546646</v>
      </c>
      <c r="CG86">
        <v>0.742299328157216</v>
      </c>
      <c r="CH86">
        <v>0.72101524506087167</v>
      </c>
      <c r="CI86">
        <v>0.72759945484176969</v>
      </c>
      <c r="CJ86">
        <v>0.74799568276189732</v>
      </c>
      <c r="CK86">
        <v>0.76535074486112309</v>
      </c>
      <c r="CL86">
        <v>0.5732441707468996</v>
      </c>
      <c r="CM86">
        <v>0.5560687142480446</v>
      </c>
      <c r="CN86">
        <v>0.57174772664497531</v>
      </c>
      <c r="CO86">
        <v>0.58307674315657998</v>
      </c>
      <c r="CP86">
        <v>0.58531159497599816</v>
      </c>
      <c r="CQ86">
        <v>0.5917012774982614</v>
      </c>
      <c r="CR86">
        <v>0.43907745560098949</v>
      </c>
      <c r="CS86">
        <v>0.44586528598696978</v>
      </c>
      <c r="CT86">
        <v>0.44406436891333179</v>
      </c>
      <c r="CU86">
        <v>0.45255157778863747</v>
      </c>
      <c r="CV86">
        <v>0.4480395718659026</v>
      </c>
      <c r="CW86">
        <v>0.43175958804183151</v>
      </c>
      <c r="CX86">
        <v>0.60926759534458974</v>
      </c>
      <c r="CY86">
        <v>0.63481426655781348</v>
      </c>
      <c r="CZ86">
        <v>0.653815764281659</v>
      </c>
      <c r="DA86">
        <v>0.64884519367436233</v>
      </c>
      <c r="DB86">
        <v>0.64660616685273864</v>
      </c>
      <c r="DC86">
        <v>0.63837390332926625</v>
      </c>
      <c r="DE86" t="s">
        <v>355</v>
      </c>
      <c r="DF86" t="s">
        <v>111</v>
      </c>
      <c r="DG86" t="s">
        <v>112</v>
      </c>
      <c r="DH86">
        <v>0.68500081514294175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4D6E7-E454-48F2-9DAF-F7CBCB09D129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region=GBR")</f>
        <v>~TFM_DINS-AT: region=GBR</v>
      </c>
      <c r="H9" t="str">
        <f>IF(A11="x","DeActivated","~TFM_DINS-AT: region=GBR")</f>
        <v>~TFM_DINS-AT: region=GBR</v>
      </c>
      <c r="L9" t="str">
        <f>IF(A11="x","DeActivated","~TFM_DINS-AT: region=GBR")</f>
        <v>~TFM_DINS-AT: region=GBR</v>
      </c>
      <c r="P9" t="str">
        <f>IF(A11="x","DeActivated","~TFM_INS-AT: region=GBR")</f>
        <v>~TFM_INS-AT: region=GBR</v>
      </c>
    </row>
    <row r="10" spans="1:19" x14ac:dyDescent="0.45">
      <c r="A10" t="s">
        <v>189</v>
      </c>
      <c r="C10" t="s">
        <v>190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191</v>
      </c>
      <c r="P10" t="s">
        <v>192</v>
      </c>
      <c r="Q10" t="s">
        <v>1</v>
      </c>
      <c r="R10" t="s">
        <v>193</v>
      </c>
      <c r="S10" t="s">
        <v>194</v>
      </c>
    </row>
    <row r="11" spans="1:19" x14ac:dyDescent="0.45">
      <c r="C11">
        <v>8.2191780821917804E-2</v>
      </c>
      <c r="D11">
        <v>2.291226412748925E-2</v>
      </c>
      <c r="E11" t="s">
        <v>5</v>
      </c>
      <c r="F11" t="s">
        <v>195</v>
      </c>
      <c r="H11" t="s">
        <v>196</v>
      </c>
      <c r="I11" t="s">
        <v>5</v>
      </c>
      <c r="L11" t="s">
        <v>197</v>
      </c>
      <c r="M11" t="s">
        <v>5</v>
      </c>
      <c r="N11">
        <v>0.23534790441005127</v>
      </c>
      <c r="P11">
        <v>2020</v>
      </c>
      <c r="Q11" t="s">
        <v>198</v>
      </c>
      <c r="R11">
        <v>0.31829999999999997</v>
      </c>
      <c r="S11" t="s">
        <v>199</v>
      </c>
    </row>
    <row r="12" spans="1:19" x14ac:dyDescent="0.45">
      <c r="C12">
        <v>4.1095890410958902E-2</v>
      </c>
      <c r="D12">
        <v>5.0687417646620103E-2</v>
      </c>
      <c r="E12" t="s">
        <v>9</v>
      </c>
      <c r="F12" t="s">
        <v>195</v>
      </c>
      <c r="H12" t="s">
        <v>196</v>
      </c>
      <c r="I12" t="s">
        <v>9</v>
      </c>
      <c r="L12" t="s">
        <v>197</v>
      </c>
      <c r="M12" t="s">
        <v>9</v>
      </c>
      <c r="N12">
        <v>0.23208091277636145</v>
      </c>
      <c r="P12">
        <v>2020</v>
      </c>
      <c r="Q12" t="s">
        <v>200</v>
      </c>
      <c r="R12">
        <v>0.20230000000000001</v>
      </c>
      <c r="S12" t="s">
        <v>199</v>
      </c>
    </row>
    <row r="13" spans="1:19" x14ac:dyDescent="0.45">
      <c r="C13">
        <v>3.0821917808219176E-2</v>
      </c>
      <c r="D13">
        <v>3.8336275265395424E-2</v>
      </c>
      <c r="E13" t="s">
        <v>10</v>
      </c>
      <c r="F13" t="s">
        <v>195</v>
      </c>
      <c r="H13" t="s">
        <v>196</v>
      </c>
      <c r="I13" t="s">
        <v>10</v>
      </c>
      <c r="L13" t="s">
        <v>197</v>
      </c>
      <c r="M13" t="s">
        <v>10</v>
      </c>
      <c r="N13">
        <v>8.8139093615247521E-2</v>
      </c>
      <c r="P13">
        <v>2020</v>
      </c>
      <c r="Q13" t="s">
        <v>201</v>
      </c>
      <c r="R13">
        <v>0.14046666666666666</v>
      </c>
      <c r="S13" t="s">
        <v>199</v>
      </c>
    </row>
    <row r="14" spans="1:19" x14ac:dyDescent="0.45">
      <c r="C14">
        <v>3.0821917808219176E-2</v>
      </c>
      <c r="D14">
        <v>3.9768291773363502E-2</v>
      </c>
      <c r="E14" t="s">
        <v>11</v>
      </c>
      <c r="F14" t="s">
        <v>195</v>
      </c>
      <c r="H14" t="s">
        <v>196</v>
      </c>
      <c r="I14" t="s">
        <v>11</v>
      </c>
      <c r="L14" t="s">
        <v>197</v>
      </c>
      <c r="M14" t="s">
        <v>11</v>
      </c>
      <c r="N14">
        <v>8.7443642028701474E-2</v>
      </c>
      <c r="P14">
        <v>2020</v>
      </c>
      <c r="Q14" t="s">
        <v>202</v>
      </c>
      <c r="R14">
        <v>0.23416666666666666</v>
      </c>
      <c r="S14" t="s">
        <v>199</v>
      </c>
    </row>
    <row r="15" spans="1:19" x14ac:dyDescent="0.45">
      <c r="C15">
        <v>3.0821917808219176E-2</v>
      </c>
      <c r="D15">
        <v>5.5490639683763034E-2</v>
      </c>
      <c r="E15" t="s">
        <v>12</v>
      </c>
      <c r="F15" t="s">
        <v>195</v>
      </c>
      <c r="H15" t="s">
        <v>196</v>
      </c>
      <c r="I15" t="s">
        <v>12</v>
      </c>
      <c r="L15" t="s">
        <v>197</v>
      </c>
      <c r="M15" t="s">
        <v>12</v>
      </c>
      <c r="N15">
        <v>8.5954632361074701E-2</v>
      </c>
      <c r="P15">
        <v>2021</v>
      </c>
      <c r="Q15" t="s">
        <v>198</v>
      </c>
      <c r="R15">
        <v>0.21483333333333332</v>
      </c>
      <c r="S15" t="s">
        <v>199</v>
      </c>
    </row>
    <row r="16" spans="1:19" x14ac:dyDescent="0.45">
      <c r="C16">
        <v>3.0821917808219176E-2</v>
      </c>
      <c r="D16">
        <v>3.9380453969122146E-2</v>
      </c>
      <c r="E16" t="s">
        <v>13</v>
      </c>
      <c r="F16" t="s">
        <v>195</v>
      </c>
      <c r="H16" t="s">
        <v>196</v>
      </c>
      <c r="I16" t="s">
        <v>13</v>
      </c>
      <c r="L16" t="s">
        <v>197</v>
      </c>
      <c r="M16" t="s">
        <v>13</v>
      </c>
      <c r="N16">
        <v>8.5255965937221623E-2</v>
      </c>
      <c r="P16">
        <v>2021</v>
      </c>
      <c r="Q16" t="s">
        <v>200</v>
      </c>
      <c r="R16">
        <v>0.18423333333333333</v>
      </c>
      <c r="S16" t="s">
        <v>199</v>
      </c>
    </row>
    <row r="17" spans="3:19" x14ac:dyDescent="0.45">
      <c r="C17">
        <v>8.4018264840182655E-2</v>
      </c>
      <c r="D17">
        <v>2.3421425552544572E-2</v>
      </c>
      <c r="E17" t="s">
        <v>14</v>
      </c>
      <c r="F17" t="s">
        <v>195</v>
      </c>
      <c r="H17" t="s">
        <v>196</v>
      </c>
      <c r="I17" t="s">
        <v>14</v>
      </c>
      <c r="L17" t="s">
        <v>197</v>
      </c>
      <c r="M17" t="s">
        <v>14</v>
      </c>
      <c r="N17">
        <v>0.28898376319526142</v>
      </c>
      <c r="P17">
        <v>2021</v>
      </c>
      <c r="Q17" t="s">
        <v>201</v>
      </c>
      <c r="R17">
        <v>7.2433333333333336E-2</v>
      </c>
      <c r="S17" t="s">
        <v>199</v>
      </c>
    </row>
    <row r="18" spans="3:19" x14ac:dyDescent="0.45">
      <c r="C18">
        <v>4.2009132420091327E-2</v>
      </c>
      <c r="D18">
        <v>5.1813804705433876E-2</v>
      </c>
      <c r="E18" t="s">
        <v>15</v>
      </c>
      <c r="F18" t="s">
        <v>195</v>
      </c>
      <c r="H18" t="s">
        <v>196</v>
      </c>
      <c r="I18" t="s">
        <v>15</v>
      </c>
      <c r="L18" t="s">
        <v>197</v>
      </c>
      <c r="M18" t="s">
        <v>15</v>
      </c>
      <c r="N18">
        <v>0.2587101180078093</v>
      </c>
      <c r="P18">
        <v>2021</v>
      </c>
      <c r="Q18" t="s">
        <v>202</v>
      </c>
      <c r="R18">
        <v>0.20033333333333334</v>
      </c>
      <c r="S18" t="s">
        <v>199</v>
      </c>
    </row>
    <row r="19" spans="3:19" x14ac:dyDescent="0.45">
      <c r="C19">
        <v>3.1506849315068496E-2</v>
      </c>
      <c r="D19">
        <v>3.9188192493515323E-2</v>
      </c>
      <c r="E19" t="s">
        <v>16</v>
      </c>
      <c r="F19" t="s">
        <v>195</v>
      </c>
      <c r="H19" t="s">
        <v>196</v>
      </c>
      <c r="I19" t="s">
        <v>16</v>
      </c>
      <c r="L19" t="s">
        <v>197</v>
      </c>
      <c r="M19" t="s">
        <v>16</v>
      </c>
      <c r="N19">
        <v>0.11547101350359723</v>
      </c>
      <c r="P19">
        <v>2022</v>
      </c>
      <c r="Q19" t="s">
        <v>198</v>
      </c>
      <c r="R19">
        <v>0.2349</v>
      </c>
      <c r="S19" t="s">
        <v>199</v>
      </c>
    </row>
    <row r="20" spans="3:19" x14ac:dyDescent="0.45">
      <c r="C20">
        <v>3.1506849315068496E-2</v>
      </c>
      <c r="D20">
        <v>4.0652031590549358E-2</v>
      </c>
      <c r="E20" t="s">
        <v>17</v>
      </c>
      <c r="F20" t="s">
        <v>195</v>
      </c>
      <c r="H20" t="s">
        <v>196</v>
      </c>
      <c r="I20" t="s">
        <v>17</v>
      </c>
      <c r="L20" t="s">
        <v>197</v>
      </c>
      <c r="M20" t="s">
        <v>17</v>
      </c>
      <c r="N20">
        <v>0.12367528373088832</v>
      </c>
      <c r="P20">
        <v>2022</v>
      </c>
      <c r="Q20" t="s">
        <v>200</v>
      </c>
      <c r="R20">
        <v>0.16093333333333334</v>
      </c>
      <c r="S20" t="s">
        <v>199</v>
      </c>
    </row>
    <row r="21" spans="3:19" x14ac:dyDescent="0.45">
      <c r="C21">
        <v>3.1506849315068496E-2</v>
      </c>
      <c r="D21">
        <v>5.6723765010068872E-2</v>
      </c>
      <c r="E21" t="s">
        <v>18</v>
      </c>
      <c r="F21" t="s">
        <v>195</v>
      </c>
      <c r="H21" t="s">
        <v>196</v>
      </c>
      <c r="I21" t="s">
        <v>18</v>
      </c>
      <c r="L21" t="s">
        <v>197</v>
      </c>
      <c r="M21" t="s">
        <v>18</v>
      </c>
      <c r="N21">
        <v>0.12793660246620542</v>
      </c>
      <c r="P21">
        <v>2022</v>
      </c>
      <c r="Q21" t="s">
        <v>201</v>
      </c>
      <c r="R21">
        <v>0.10766666666666667</v>
      </c>
      <c r="S21" t="s">
        <v>199</v>
      </c>
    </row>
    <row r="22" spans="3:19" x14ac:dyDescent="0.45">
      <c r="C22">
        <v>3.1506849315068496E-2</v>
      </c>
      <c r="D22">
        <v>4.0255575168435975E-2</v>
      </c>
      <c r="E22" t="s">
        <v>19</v>
      </c>
      <c r="F22" t="s">
        <v>195</v>
      </c>
      <c r="H22" t="s">
        <v>196</v>
      </c>
      <c r="I22" t="s">
        <v>19</v>
      </c>
      <c r="L22" t="s">
        <v>197</v>
      </c>
      <c r="M22" t="s">
        <v>19</v>
      </c>
      <c r="N22">
        <v>0.13118940882866759</v>
      </c>
      <c r="P22">
        <v>2022</v>
      </c>
      <c r="Q22" t="s">
        <v>202</v>
      </c>
      <c r="R22">
        <v>0.1961333333333333</v>
      </c>
      <c r="S22" t="s">
        <v>199</v>
      </c>
    </row>
    <row r="23" spans="3:19" x14ac:dyDescent="0.45">
      <c r="C23">
        <v>8.4018264840182655E-2</v>
      </c>
      <c r="D23">
        <v>2.3421425552544572E-2</v>
      </c>
      <c r="E23" t="s">
        <v>20</v>
      </c>
      <c r="F23" t="s">
        <v>195</v>
      </c>
      <c r="H23" t="s">
        <v>196</v>
      </c>
      <c r="I23" t="s">
        <v>20</v>
      </c>
      <c r="L23" t="s">
        <v>197</v>
      </c>
      <c r="M23" t="s">
        <v>20</v>
      </c>
      <c r="N23">
        <v>0.28772924460456428</v>
      </c>
      <c r="P23">
        <v>2025</v>
      </c>
      <c r="Q23" t="s">
        <v>198</v>
      </c>
      <c r="R23">
        <v>0.44616666666666666</v>
      </c>
      <c r="S23" t="s">
        <v>199</v>
      </c>
    </row>
    <row r="24" spans="3:19" x14ac:dyDescent="0.45">
      <c r="C24">
        <v>4.2009132420091327E-2</v>
      </c>
      <c r="D24">
        <v>5.1813804705433876E-2</v>
      </c>
      <c r="E24" t="s">
        <v>21</v>
      </c>
      <c r="F24" t="s">
        <v>195</v>
      </c>
      <c r="H24" t="s">
        <v>196</v>
      </c>
      <c r="I24" t="s">
        <v>21</v>
      </c>
      <c r="L24" t="s">
        <v>197</v>
      </c>
      <c r="M24" t="s">
        <v>21</v>
      </c>
      <c r="N24">
        <v>0.21893704955681836</v>
      </c>
      <c r="P24">
        <v>2025</v>
      </c>
      <c r="Q24" t="s">
        <v>200</v>
      </c>
      <c r="R24">
        <v>0.34959999999999997</v>
      </c>
      <c r="S24" t="s">
        <v>199</v>
      </c>
    </row>
    <row r="25" spans="3:19" x14ac:dyDescent="0.45">
      <c r="C25">
        <v>3.1506849315068496E-2</v>
      </c>
      <c r="D25">
        <v>3.9188192493515323E-2</v>
      </c>
      <c r="E25" t="s">
        <v>22</v>
      </c>
      <c r="F25" t="s">
        <v>195</v>
      </c>
      <c r="H25" t="s">
        <v>196</v>
      </c>
      <c r="I25" t="s">
        <v>22</v>
      </c>
      <c r="L25" t="s">
        <v>197</v>
      </c>
      <c r="M25" t="s">
        <v>22</v>
      </c>
      <c r="N25">
        <v>6.8036382267152362E-2</v>
      </c>
      <c r="P25">
        <v>2025</v>
      </c>
      <c r="Q25" t="s">
        <v>201</v>
      </c>
      <c r="R25">
        <v>0.22736666666666669</v>
      </c>
      <c r="S25" t="s">
        <v>199</v>
      </c>
    </row>
    <row r="26" spans="3:19" x14ac:dyDescent="0.45">
      <c r="C26">
        <v>3.1506849315068496E-2</v>
      </c>
      <c r="D26">
        <v>4.0652031590549358E-2</v>
      </c>
      <c r="E26" t="s">
        <v>23</v>
      </c>
      <c r="F26" t="s">
        <v>195</v>
      </c>
      <c r="H26" t="s">
        <v>196</v>
      </c>
      <c r="I26" t="s">
        <v>23</v>
      </c>
      <c r="L26" t="s">
        <v>197</v>
      </c>
      <c r="M26" t="s">
        <v>23</v>
      </c>
      <c r="N26">
        <v>7.947827494536841E-2</v>
      </c>
      <c r="P26">
        <v>2025</v>
      </c>
      <c r="Q26" t="s">
        <v>202</v>
      </c>
      <c r="R26">
        <v>0.31419999999999998</v>
      </c>
      <c r="S26" t="s">
        <v>199</v>
      </c>
    </row>
    <row r="27" spans="3:19" x14ac:dyDescent="0.45">
      <c r="C27">
        <v>3.1506849315068496E-2</v>
      </c>
      <c r="D27">
        <v>5.6723765010068872E-2</v>
      </c>
      <c r="E27" t="s">
        <v>24</v>
      </c>
      <c r="F27" t="s">
        <v>195</v>
      </c>
      <c r="H27" t="s">
        <v>196</v>
      </c>
      <c r="I27" t="s">
        <v>24</v>
      </c>
      <c r="L27" t="s">
        <v>197</v>
      </c>
      <c r="M27" t="s">
        <v>24</v>
      </c>
      <c r="N27">
        <v>7.8296571400561454E-2</v>
      </c>
      <c r="P27">
        <v>2026</v>
      </c>
      <c r="Q27" t="s">
        <v>198</v>
      </c>
      <c r="R27">
        <v>0.46543333333333337</v>
      </c>
      <c r="S27" t="s">
        <v>199</v>
      </c>
    </row>
    <row r="28" spans="3:19" x14ac:dyDescent="0.45">
      <c r="C28">
        <v>3.1506849315068496E-2</v>
      </c>
      <c r="D28">
        <v>4.0255575168435975E-2</v>
      </c>
      <c r="E28" t="s">
        <v>25</v>
      </c>
      <c r="F28" t="s">
        <v>195</v>
      </c>
      <c r="H28" t="s">
        <v>196</v>
      </c>
      <c r="I28" t="s">
        <v>25</v>
      </c>
      <c r="L28" t="s">
        <v>197</v>
      </c>
      <c r="M28" t="s">
        <v>25</v>
      </c>
      <c r="N28">
        <v>7.7118662161139273E-2</v>
      </c>
      <c r="P28">
        <v>2026</v>
      </c>
      <c r="Q28" t="s">
        <v>200</v>
      </c>
      <c r="R28">
        <v>0.33889999999999998</v>
      </c>
      <c r="S28" t="s">
        <v>199</v>
      </c>
    </row>
    <row r="29" spans="3:19" x14ac:dyDescent="0.45">
      <c r="C29">
        <v>8.3105022831050229E-2</v>
      </c>
      <c r="D29">
        <v>2.3166844840016909E-2</v>
      </c>
      <c r="E29" t="s">
        <v>26</v>
      </c>
      <c r="F29" t="s">
        <v>195</v>
      </c>
      <c r="H29" t="s">
        <v>196</v>
      </c>
      <c r="I29" t="s">
        <v>26</v>
      </c>
      <c r="L29" t="s">
        <v>197</v>
      </c>
      <c r="M29" t="s">
        <v>26</v>
      </c>
      <c r="N29">
        <v>0.30159461195368875</v>
      </c>
      <c r="P29">
        <v>2026</v>
      </c>
      <c r="Q29" t="s">
        <v>201</v>
      </c>
      <c r="R29">
        <v>0.18806666666666669</v>
      </c>
      <c r="S29" t="s">
        <v>199</v>
      </c>
    </row>
    <row r="30" spans="3:19" x14ac:dyDescent="0.45">
      <c r="C30">
        <v>4.1552511415525115E-2</v>
      </c>
      <c r="D30">
        <v>5.1250611176026986E-2</v>
      </c>
      <c r="E30" t="s">
        <v>27</v>
      </c>
      <c r="F30" t="s">
        <v>195</v>
      </c>
      <c r="H30" t="s">
        <v>196</v>
      </c>
      <c r="I30" t="s">
        <v>27</v>
      </c>
      <c r="L30" t="s">
        <v>197</v>
      </c>
      <c r="M30" t="s">
        <v>27</v>
      </c>
      <c r="N30">
        <v>0.33275500417515769</v>
      </c>
      <c r="P30">
        <v>2026</v>
      </c>
      <c r="Q30" t="s">
        <v>202</v>
      </c>
      <c r="R30">
        <v>0.32076666666666664</v>
      </c>
      <c r="S30" t="s">
        <v>199</v>
      </c>
    </row>
    <row r="31" spans="3:19" x14ac:dyDescent="0.45">
      <c r="C31">
        <v>3.1164383561643836E-2</v>
      </c>
      <c r="D31">
        <v>3.8762233879455377E-2</v>
      </c>
      <c r="E31" t="s">
        <v>28</v>
      </c>
      <c r="F31" t="s">
        <v>195</v>
      </c>
      <c r="H31" t="s">
        <v>196</v>
      </c>
      <c r="I31" t="s">
        <v>28</v>
      </c>
      <c r="L31" t="s">
        <v>197</v>
      </c>
      <c r="M31" t="s">
        <v>28</v>
      </c>
      <c r="N31">
        <v>0.16607601915930692</v>
      </c>
      <c r="P31">
        <v>2027</v>
      </c>
      <c r="Q31" t="s">
        <v>198</v>
      </c>
      <c r="R31">
        <v>0.46616666666666667</v>
      </c>
      <c r="S31" t="s">
        <v>199</v>
      </c>
    </row>
    <row r="32" spans="3:19" x14ac:dyDescent="0.45">
      <c r="C32">
        <v>3.1164383561643836E-2</v>
      </c>
      <c r="D32">
        <v>4.021016168195643E-2</v>
      </c>
      <c r="E32" t="s">
        <v>29</v>
      </c>
      <c r="F32" t="s">
        <v>195</v>
      </c>
      <c r="H32" t="s">
        <v>196</v>
      </c>
      <c r="I32" t="s">
        <v>29</v>
      </c>
      <c r="L32" t="s">
        <v>197</v>
      </c>
      <c r="M32" t="s">
        <v>29</v>
      </c>
      <c r="N32">
        <v>0.16334784047032413</v>
      </c>
      <c r="P32">
        <v>2027</v>
      </c>
      <c r="Q32" t="s">
        <v>200</v>
      </c>
      <c r="R32">
        <v>0.2591</v>
      </c>
      <c r="S32" t="s">
        <v>199</v>
      </c>
    </row>
    <row r="33" spans="3:19" x14ac:dyDescent="0.45">
      <c r="C33">
        <v>3.1164383561643836E-2</v>
      </c>
      <c r="D33">
        <v>5.6107202346915949E-2</v>
      </c>
      <c r="E33" t="s">
        <v>30</v>
      </c>
      <c r="F33" t="s">
        <v>195</v>
      </c>
      <c r="H33" t="s">
        <v>196</v>
      </c>
      <c r="I33" t="s">
        <v>30</v>
      </c>
      <c r="L33" t="s">
        <v>197</v>
      </c>
      <c r="M33" t="s">
        <v>30</v>
      </c>
      <c r="N33">
        <v>0.1793425461970426</v>
      </c>
      <c r="P33">
        <v>2027</v>
      </c>
      <c r="Q33" t="s">
        <v>201</v>
      </c>
      <c r="R33">
        <v>0.25046666666666667</v>
      </c>
      <c r="S33" t="s">
        <v>199</v>
      </c>
    </row>
    <row r="34" spans="3:19" x14ac:dyDescent="0.45">
      <c r="C34">
        <v>3.1164383561643836E-2</v>
      </c>
      <c r="D34">
        <v>3.9818014568779057E-2</v>
      </c>
      <c r="E34" t="s">
        <v>31</v>
      </c>
      <c r="F34" t="s">
        <v>195</v>
      </c>
      <c r="H34" t="s">
        <v>196</v>
      </c>
      <c r="I34" t="s">
        <v>31</v>
      </c>
      <c r="L34" t="s">
        <v>197</v>
      </c>
      <c r="M34" t="s">
        <v>31</v>
      </c>
      <c r="N34">
        <v>0.17588631164237545</v>
      </c>
      <c r="P34">
        <v>2027</v>
      </c>
      <c r="Q34" t="s">
        <v>202</v>
      </c>
      <c r="R34">
        <v>0.37133333333333329</v>
      </c>
      <c r="S34" t="s">
        <v>199</v>
      </c>
    </row>
    <row r="35" spans="3:19" x14ac:dyDescent="0.45">
      <c r="H35" t="s">
        <v>203</v>
      </c>
      <c r="I35" t="s">
        <v>5</v>
      </c>
      <c r="P35">
        <v>2028</v>
      </c>
      <c r="Q35" t="s">
        <v>198</v>
      </c>
      <c r="R35">
        <v>0.48456666666666665</v>
      </c>
      <c r="S35" t="s">
        <v>199</v>
      </c>
    </row>
    <row r="36" spans="3:19" x14ac:dyDescent="0.45">
      <c r="H36" t="s">
        <v>203</v>
      </c>
      <c r="I36" t="s">
        <v>9</v>
      </c>
      <c r="P36">
        <v>2028</v>
      </c>
      <c r="Q36" t="s">
        <v>200</v>
      </c>
      <c r="R36">
        <v>0.29560000000000003</v>
      </c>
      <c r="S36" t="s">
        <v>199</v>
      </c>
    </row>
    <row r="37" spans="3:19" x14ac:dyDescent="0.45">
      <c r="H37" t="s">
        <v>203</v>
      </c>
      <c r="I37" t="s">
        <v>10</v>
      </c>
      <c r="P37">
        <v>2028</v>
      </c>
      <c r="Q37" t="s">
        <v>201</v>
      </c>
      <c r="R37">
        <v>0.18820000000000001</v>
      </c>
      <c r="S37" t="s">
        <v>199</v>
      </c>
    </row>
    <row r="38" spans="3:19" x14ac:dyDescent="0.45">
      <c r="H38" t="s">
        <v>203</v>
      </c>
      <c r="I38" t="s">
        <v>11</v>
      </c>
      <c r="P38">
        <v>2028</v>
      </c>
      <c r="Q38" t="s">
        <v>202</v>
      </c>
      <c r="R38">
        <v>0.35716666666666663</v>
      </c>
      <c r="S38" t="s">
        <v>199</v>
      </c>
    </row>
    <row r="39" spans="3:19" x14ac:dyDescent="0.45">
      <c r="H39" t="s">
        <v>203</v>
      </c>
      <c r="I39" t="s">
        <v>12</v>
      </c>
      <c r="P39">
        <v>2029</v>
      </c>
      <c r="Q39" t="s">
        <v>198</v>
      </c>
      <c r="R39">
        <v>0.4956666666666667</v>
      </c>
      <c r="S39" t="s">
        <v>199</v>
      </c>
    </row>
    <row r="40" spans="3:19" x14ac:dyDescent="0.45">
      <c r="H40" t="s">
        <v>203</v>
      </c>
      <c r="I40" t="s">
        <v>13</v>
      </c>
      <c r="P40">
        <v>2029</v>
      </c>
      <c r="Q40" t="s">
        <v>200</v>
      </c>
      <c r="R40">
        <v>0.30979999999999996</v>
      </c>
      <c r="S40" t="s">
        <v>199</v>
      </c>
    </row>
    <row r="41" spans="3:19" x14ac:dyDescent="0.45">
      <c r="H41" t="s">
        <v>203</v>
      </c>
      <c r="I41" t="s">
        <v>14</v>
      </c>
      <c r="P41">
        <v>2029</v>
      </c>
      <c r="Q41" t="s">
        <v>201</v>
      </c>
      <c r="R41">
        <v>0.16796666666666668</v>
      </c>
      <c r="S41" t="s">
        <v>199</v>
      </c>
    </row>
    <row r="42" spans="3:19" x14ac:dyDescent="0.45">
      <c r="H42" t="s">
        <v>203</v>
      </c>
      <c r="I42" t="s">
        <v>15</v>
      </c>
      <c r="P42">
        <v>2029</v>
      </c>
      <c r="Q42" t="s">
        <v>202</v>
      </c>
      <c r="R42">
        <v>0.36343333333333333</v>
      </c>
      <c r="S42" t="s">
        <v>199</v>
      </c>
    </row>
    <row r="43" spans="3:19" x14ac:dyDescent="0.45">
      <c r="H43" t="s">
        <v>203</v>
      </c>
      <c r="I43" t="s">
        <v>16</v>
      </c>
      <c r="P43">
        <v>2030</v>
      </c>
      <c r="Q43" t="s">
        <v>198</v>
      </c>
      <c r="R43">
        <v>0.48489999999999994</v>
      </c>
      <c r="S43" t="s">
        <v>199</v>
      </c>
    </row>
    <row r="44" spans="3:19" x14ac:dyDescent="0.45">
      <c r="H44" t="s">
        <v>203</v>
      </c>
      <c r="I44" t="s">
        <v>17</v>
      </c>
      <c r="P44">
        <v>2030</v>
      </c>
      <c r="Q44" t="s">
        <v>200</v>
      </c>
      <c r="R44">
        <v>0.35726666666666668</v>
      </c>
      <c r="S44" t="s">
        <v>199</v>
      </c>
    </row>
    <row r="45" spans="3:19" x14ac:dyDescent="0.45">
      <c r="H45" t="s">
        <v>203</v>
      </c>
      <c r="I45" t="s">
        <v>18</v>
      </c>
      <c r="P45">
        <v>2030</v>
      </c>
      <c r="Q45" t="s">
        <v>201</v>
      </c>
      <c r="R45">
        <v>0.20366666666666666</v>
      </c>
      <c r="S45" t="s">
        <v>199</v>
      </c>
    </row>
    <row r="46" spans="3:19" x14ac:dyDescent="0.45">
      <c r="H46" t="s">
        <v>203</v>
      </c>
      <c r="I46" t="s">
        <v>19</v>
      </c>
      <c r="P46">
        <v>2030</v>
      </c>
      <c r="Q46" t="s">
        <v>202</v>
      </c>
      <c r="R46">
        <v>0.39660000000000001</v>
      </c>
      <c r="S46" t="s">
        <v>199</v>
      </c>
    </row>
    <row r="47" spans="3:19" x14ac:dyDescent="0.45">
      <c r="H47" t="s">
        <v>203</v>
      </c>
      <c r="I47" t="s">
        <v>20</v>
      </c>
      <c r="P47">
        <v>2031</v>
      </c>
      <c r="Q47" t="s">
        <v>198</v>
      </c>
      <c r="R47">
        <v>0.41360000000000002</v>
      </c>
      <c r="S47" t="s">
        <v>199</v>
      </c>
    </row>
    <row r="48" spans="3:19" x14ac:dyDescent="0.45">
      <c r="H48" t="s">
        <v>203</v>
      </c>
      <c r="I48" t="s">
        <v>21</v>
      </c>
      <c r="P48">
        <v>2031</v>
      </c>
      <c r="Q48" t="s">
        <v>200</v>
      </c>
      <c r="R48">
        <v>0.28076666666666666</v>
      </c>
      <c r="S48" t="s">
        <v>199</v>
      </c>
    </row>
    <row r="49" spans="8:19" x14ac:dyDescent="0.45">
      <c r="H49" t="s">
        <v>203</v>
      </c>
      <c r="I49" t="s">
        <v>22</v>
      </c>
      <c r="P49">
        <v>2031</v>
      </c>
      <c r="Q49" t="s">
        <v>201</v>
      </c>
      <c r="R49">
        <v>0.18770000000000001</v>
      </c>
      <c r="S49" t="s">
        <v>199</v>
      </c>
    </row>
    <row r="50" spans="8:19" x14ac:dyDescent="0.45">
      <c r="H50" t="s">
        <v>203</v>
      </c>
      <c r="I50" t="s">
        <v>23</v>
      </c>
      <c r="P50">
        <v>2031</v>
      </c>
      <c r="Q50" t="s">
        <v>202</v>
      </c>
      <c r="R50">
        <v>0.32346666666666668</v>
      </c>
      <c r="S50" t="s">
        <v>199</v>
      </c>
    </row>
    <row r="51" spans="8:19" x14ac:dyDescent="0.45">
      <c r="H51" t="s">
        <v>203</v>
      </c>
      <c r="I51" t="s">
        <v>24</v>
      </c>
      <c r="P51">
        <v>2032</v>
      </c>
      <c r="Q51" t="s">
        <v>198</v>
      </c>
      <c r="R51">
        <v>0.40599999999999997</v>
      </c>
      <c r="S51" t="s">
        <v>199</v>
      </c>
    </row>
    <row r="52" spans="8:19" x14ac:dyDescent="0.45">
      <c r="H52" t="s">
        <v>203</v>
      </c>
      <c r="I52" t="s">
        <v>25</v>
      </c>
      <c r="P52">
        <v>2032</v>
      </c>
      <c r="Q52" t="s">
        <v>200</v>
      </c>
      <c r="R52">
        <v>0.22276666666666667</v>
      </c>
      <c r="S52" t="s">
        <v>199</v>
      </c>
    </row>
    <row r="53" spans="8:19" x14ac:dyDescent="0.45">
      <c r="H53" t="s">
        <v>203</v>
      </c>
      <c r="I53" t="s">
        <v>26</v>
      </c>
      <c r="P53">
        <v>2032</v>
      </c>
      <c r="Q53" t="s">
        <v>201</v>
      </c>
      <c r="R53">
        <v>0.18836666666666668</v>
      </c>
      <c r="S53" t="s">
        <v>199</v>
      </c>
    </row>
    <row r="54" spans="8:19" x14ac:dyDescent="0.45">
      <c r="H54" t="s">
        <v>203</v>
      </c>
      <c r="I54" t="s">
        <v>27</v>
      </c>
      <c r="P54">
        <v>2032</v>
      </c>
      <c r="Q54" t="s">
        <v>202</v>
      </c>
      <c r="R54">
        <v>0.31570000000000004</v>
      </c>
      <c r="S54" t="s">
        <v>199</v>
      </c>
    </row>
    <row r="55" spans="8:19" x14ac:dyDescent="0.45">
      <c r="H55" t="s">
        <v>203</v>
      </c>
      <c r="I55" t="s">
        <v>28</v>
      </c>
      <c r="P55">
        <v>2033</v>
      </c>
      <c r="Q55" t="s">
        <v>198</v>
      </c>
      <c r="R55">
        <v>0.3318666666666667</v>
      </c>
      <c r="S55" t="s">
        <v>199</v>
      </c>
    </row>
    <row r="56" spans="8:19" x14ac:dyDescent="0.45">
      <c r="H56" t="s">
        <v>203</v>
      </c>
      <c r="I56" t="s">
        <v>29</v>
      </c>
      <c r="P56">
        <v>2033</v>
      </c>
      <c r="Q56" t="s">
        <v>200</v>
      </c>
      <c r="R56">
        <v>0.19993333333333332</v>
      </c>
      <c r="S56" t="s">
        <v>199</v>
      </c>
    </row>
    <row r="57" spans="8:19" x14ac:dyDescent="0.45">
      <c r="H57" t="s">
        <v>203</v>
      </c>
      <c r="I57" t="s">
        <v>30</v>
      </c>
      <c r="P57">
        <v>2033</v>
      </c>
      <c r="Q57" t="s">
        <v>201</v>
      </c>
      <c r="R57">
        <v>0.13639999999999999</v>
      </c>
      <c r="S57" t="s">
        <v>199</v>
      </c>
    </row>
    <row r="58" spans="8:19" x14ac:dyDescent="0.45">
      <c r="H58" t="s">
        <v>203</v>
      </c>
      <c r="I58" t="s">
        <v>31</v>
      </c>
      <c r="P58">
        <v>2033</v>
      </c>
      <c r="Q58" t="s">
        <v>202</v>
      </c>
      <c r="R58">
        <v>0.29836666666666667</v>
      </c>
      <c r="S58" t="s">
        <v>199</v>
      </c>
    </row>
    <row r="59" spans="8:19" x14ac:dyDescent="0.45">
      <c r="P59">
        <v>2034</v>
      </c>
      <c r="Q59" t="s">
        <v>198</v>
      </c>
      <c r="R59">
        <v>0.39840000000000003</v>
      </c>
      <c r="S59" t="s">
        <v>199</v>
      </c>
    </row>
    <row r="60" spans="8:19" x14ac:dyDescent="0.45">
      <c r="P60">
        <v>2034</v>
      </c>
      <c r="Q60" t="s">
        <v>200</v>
      </c>
      <c r="R60">
        <v>0.25580000000000003</v>
      </c>
      <c r="S60" t="s">
        <v>199</v>
      </c>
    </row>
    <row r="61" spans="8:19" x14ac:dyDescent="0.45">
      <c r="P61">
        <v>2034</v>
      </c>
      <c r="Q61" t="s">
        <v>201</v>
      </c>
      <c r="R61">
        <v>0.13743333333333332</v>
      </c>
      <c r="S61" t="s">
        <v>199</v>
      </c>
    </row>
    <row r="62" spans="8:19" x14ac:dyDescent="0.45">
      <c r="P62">
        <v>2034</v>
      </c>
      <c r="Q62" t="s">
        <v>202</v>
      </c>
      <c r="R62">
        <v>0.27073333333333333</v>
      </c>
      <c r="S62" t="s">
        <v>199</v>
      </c>
    </row>
    <row r="63" spans="8:19" x14ac:dyDescent="0.45">
      <c r="P63">
        <v>2035</v>
      </c>
      <c r="Q63" t="s">
        <v>198</v>
      </c>
      <c r="R63">
        <v>0.40686666666666671</v>
      </c>
      <c r="S63" t="s">
        <v>199</v>
      </c>
    </row>
    <row r="64" spans="8:19" x14ac:dyDescent="0.45">
      <c r="P64">
        <v>2035</v>
      </c>
      <c r="Q64" t="s">
        <v>200</v>
      </c>
      <c r="R64">
        <v>0.2044</v>
      </c>
      <c r="S64" t="s">
        <v>199</v>
      </c>
    </row>
    <row r="65" spans="16:19" x14ac:dyDescent="0.45">
      <c r="P65">
        <v>2035</v>
      </c>
      <c r="Q65" t="s">
        <v>201</v>
      </c>
      <c r="R65">
        <v>0.17936666666666667</v>
      </c>
      <c r="S65" t="s">
        <v>199</v>
      </c>
    </row>
    <row r="66" spans="16:19" x14ac:dyDescent="0.45">
      <c r="P66">
        <v>2035</v>
      </c>
      <c r="Q66" t="s">
        <v>202</v>
      </c>
      <c r="R66">
        <v>0.27663333333333329</v>
      </c>
      <c r="S66" t="s">
        <v>199</v>
      </c>
    </row>
    <row r="67" spans="16:19" x14ac:dyDescent="0.45">
      <c r="P67">
        <v>2036</v>
      </c>
      <c r="Q67" t="s">
        <v>198</v>
      </c>
      <c r="R67">
        <v>0.35573333333333329</v>
      </c>
      <c r="S67" t="s">
        <v>199</v>
      </c>
    </row>
    <row r="68" spans="16:19" x14ac:dyDescent="0.45">
      <c r="P68">
        <v>2036</v>
      </c>
      <c r="Q68" t="s">
        <v>200</v>
      </c>
      <c r="R68">
        <v>0.20973333333333333</v>
      </c>
      <c r="S68" t="s">
        <v>199</v>
      </c>
    </row>
    <row r="69" spans="16:19" x14ac:dyDescent="0.45">
      <c r="P69">
        <v>2036</v>
      </c>
      <c r="Q69" t="s">
        <v>201</v>
      </c>
      <c r="R69">
        <v>0.21096666666666666</v>
      </c>
      <c r="S69" t="s">
        <v>199</v>
      </c>
    </row>
    <row r="70" spans="16:19" x14ac:dyDescent="0.45">
      <c r="P70">
        <v>2036</v>
      </c>
      <c r="Q70" t="s">
        <v>202</v>
      </c>
      <c r="R70">
        <v>0.34016666666666673</v>
      </c>
      <c r="S70" t="s">
        <v>199</v>
      </c>
    </row>
    <row r="71" spans="16:19" x14ac:dyDescent="0.45">
      <c r="P71">
        <v>2037</v>
      </c>
      <c r="Q71" t="s">
        <v>198</v>
      </c>
      <c r="R71">
        <v>0.34559999999999996</v>
      </c>
      <c r="S71" t="s">
        <v>199</v>
      </c>
    </row>
    <row r="72" spans="16:19" x14ac:dyDescent="0.45">
      <c r="P72">
        <v>2037</v>
      </c>
      <c r="Q72" t="s">
        <v>200</v>
      </c>
      <c r="R72">
        <v>0.2109</v>
      </c>
      <c r="S72" t="s">
        <v>199</v>
      </c>
    </row>
    <row r="73" spans="16:19" x14ac:dyDescent="0.45">
      <c r="P73">
        <v>2037</v>
      </c>
      <c r="Q73" t="s">
        <v>201</v>
      </c>
      <c r="R73">
        <v>0.16183333333333336</v>
      </c>
      <c r="S73" t="s">
        <v>199</v>
      </c>
    </row>
    <row r="74" spans="16:19" x14ac:dyDescent="0.45">
      <c r="P74">
        <v>2037</v>
      </c>
      <c r="Q74" t="s">
        <v>202</v>
      </c>
      <c r="R74">
        <v>0.22196666666666665</v>
      </c>
      <c r="S74" t="s">
        <v>199</v>
      </c>
    </row>
    <row r="75" spans="16:19" x14ac:dyDescent="0.45">
      <c r="P75">
        <v>2038</v>
      </c>
      <c r="Q75" t="s">
        <v>198</v>
      </c>
      <c r="R75">
        <v>0.42173333333333335</v>
      </c>
      <c r="S75" t="s">
        <v>199</v>
      </c>
    </row>
    <row r="76" spans="16:19" x14ac:dyDescent="0.45">
      <c r="P76">
        <v>2038</v>
      </c>
      <c r="Q76" t="s">
        <v>200</v>
      </c>
      <c r="R76">
        <v>0.27389999999999998</v>
      </c>
      <c r="S76" t="s">
        <v>199</v>
      </c>
    </row>
    <row r="77" spans="16:19" x14ac:dyDescent="0.45">
      <c r="P77">
        <v>2038</v>
      </c>
      <c r="Q77" t="s">
        <v>201</v>
      </c>
      <c r="R77">
        <v>0.15846666666666667</v>
      </c>
      <c r="S77" t="s">
        <v>199</v>
      </c>
    </row>
    <row r="78" spans="16:19" x14ac:dyDescent="0.45">
      <c r="P78">
        <v>2038</v>
      </c>
      <c r="Q78" t="s">
        <v>202</v>
      </c>
      <c r="R78">
        <v>0.25323333333333337</v>
      </c>
      <c r="S78" t="s">
        <v>199</v>
      </c>
    </row>
    <row r="79" spans="16:19" x14ac:dyDescent="0.45">
      <c r="P79">
        <v>2039</v>
      </c>
      <c r="Q79" t="s">
        <v>198</v>
      </c>
      <c r="R79">
        <v>0.3681666666666667</v>
      </c>
      <c r="S79" t="s">
        <v>199</v>
      </c>
    </row>
    <row r="80" spans="16:19" x14ac:dyDescent="0.45">
      <c r="P80">
        <v>2039</v>
      </c>
      <c r="Q80" t="s">
        <v>200</v>
      </c>
      <c r="R80">
        <v>0.17446666666666666</v>
      </c>
      <c r="S80" t="s">
        <v>199</v>
      </c>
    </row>
    <row r="81" spans="16:19" x14ac:dyDescent="0.45">
      <c r="P81">
        <v>2039</v>
      </c>
      <c r="Q81" t="s">
        <v>201</v>
      </c>
      <c r="R81">
        <v>0.16873333333333332</v>
      </c>
      <c r="S81" t="s">
        <v>199</v>
      </c>
    </row>
    <row r="82" spans="16:19" x14ac:dyDescent="0.45">
      <c r="P82">
        <v>2039</v>
      </c>
      <c r="Q82" t="s">
        <v>202</v>
      </c>
      <c r="R82">
        <v>0.27656666666666668</v>
      </c>
      <c r="S82" t="s">
        <v>199</v>
      </c>
    </row>
    <row r="83" spans="16:19" x14ac:dyDescent="0.45">
      <c r="P83">
        <v>2040</v>
      </c>
      <c r="Q83" t="s">
        <v>198</v>
      </c>
      <c r="R83">
        <v>0.34093333333333331</v>
      </c>
      <c r="S83" t="s">
        <v>199</v>
      </c>
    </row>
    <row r="84" spans="16:19" x14ac:dyDescent="0.45">
      <c r="P84">
        <v>2040</v>
      </c>
      <c r="Q84" t="s">
        <v>200</v>
      </c>
      <c r="R84">
        <v>0.19736666666666666</v>
      </c>
      <c r="S84" t="s">
        <v>199</v>
      </c>
    </row>
    <row r="85" spans="16:19" x14ac:dyDescent="0.45">
      <c r="P85">
        <v>2040</v>
      </c>
      <c r="Q85" t="s">
        <v>201</v>
      </c>
      <c r="R85">
        <v>0.16566666666666668</v>
      </c>
      <c r="S85" t="s">
        <v>199</v>
      </c>
    </row>
    <row r="86" spans="16:19" x14ac:dyDescent="0.45">
      <c r="P86">
        <v>2040</v>
      </c>
      <c r="Q86" t="s">
        <v>202</v>
      </c>
      <c r="R86">
        <v>0.28623333333333334</v>
      </c>
      <c r="S86" t="s">
        <v>199</v>
      </c>
    </row>
    <row r="87" spans="16:19" x14ac:dyDescent="0.45">
      <c r="P87">
        <v>2041</v>
      </c>
      <c r="Q87" t="s">
        <v>198</v>
      </c>
      <c r="R87">
        <v>0.42363333333333331</v>
      </c>
      <c r="S87" t="s">
        <v>199</v>
      </c>
    </row>
    <row r="88" spans="16:19" x14ac:dyDescent="0.45">
      <c r="P88">
        <v>2041</v>
      </c>
      <c r="Q88" t="s">
        <v>200</v>
      </c>
      <c r="R88">
        <v>0.25426666666666664</v>
      </c>
      <c r="S88" t="s">
        <v>199</v>
      </c>
    </row>
    <row r="89" spans="16:19" x14ac:dyDescent="0.45">
      <c r="P89">
        <v>2041</v>
      </c>
      <c r="Q89" t="s">
        <v>201</v>
      </c>
      <c r="R89">
        <v>0.21049999999999999</v>
      </c>
      <c r="S89" t="s">
        <v>199</v>
      </c>
    </row>
    <row r="90" spans="16:19" x14ac:dyDescent="0.45">
      <c r="P90">
        <v>2041</v>
      </c>
      <c r="Q90" t="s">
        <v>202</v>
      </c>
      <c r="R90">
        <v>0.32973333333333327</v>
      </c>
      <c r="S90" t="s">
        <v>199</v>
      </c>
    </row>
    <row r="91" spans="16:19" x14ac:dyDescent="0.45">
      <c r="P91">
        <v>2042</v>
      </c>
      <c r="Q91" t="s">
        <v>198</v>
      </c>
      <c r="R91">
        <v>0.4463333333333333</v>
      </c>
      <c r="S91" t="s">
        <v>199</v>
      </c>
    </row>
    <row r="92" spans="16:19" x14ac:dyDescent="0.45">
      <c r="P92">
        <v>2042</v>
      </c>
      <c r="Q92" t="s">
        <v>200</v>
      </c>
      <c r="R92">
        <v>0.27553333333333335</v>
      </c>
      <c r="S92" t="s">
        <v>199</v>
      </c>
    </row>
    <row r="93" spans="16:19" x14ac:dyDescent="0.45">
      <c r="P93">
        <v>2042</v>
      </c>
      <c r="Q93" t="s">
        <v>201</v>
      </c>
      <c r="R93">
        <v>0.17826666666666668</v>
      </c>
      <c r="S93" t="s">
        <v>199</v>
      </c>
    </row>
    <row r="94" spans="16:19" x14ac:dyDescent="0.45">
      <c r="P94">
        <v>2042</v>
      </c>
      <c r="Q94" t="s">
        <v>202</v>
      </c>
      <c r="R94">
        <v>0.33363333333333339</v>
      </c>
      <c r="S94" t="s">
        <v>199</v>
      </c>
    </row>
    <row r="95" spans="16:19" x14ac:dyDescent="0.45">
      <c r="P95">
        <v>2043</v>
      </c>
      <c r="Q95" t="s">
        <v>198</v>
      </c>
      <c r="R95">
        <v>0.44593333333333335</v>
      </c>
      <c r="S95" t="s">
        <v>199</v>
      </c>
    </row>
    <row r="96" spans="16:19" x14ac:dyDescent="0.45">
      <c r="P96">
        <v>2043</v>
      </c>
      <c r="Q96" t="s">
        <v>200</v>
      </c>
      <c r="R96">
        <v>0.26879999999999998</v>
      </c>
      <c r="S96" t="s">
        <v>199</v>
      </c>
    </row>
    <row r="97" spans="16:19" x14ac:dyDescent="0.45">
      <c r="P97">
        <v>2043</v>
      </c>
      <c r="Q97" t="s">
        <v>201</v>
      </c>
      <c r="R97">
        <v>0.20633333333333334</v>
      </c>
      <c r="S97" t="s">
        <v>199</v>
      </c>
    </row>
    <row r="98" spans="16:19" x14ac:dyDescent="0.45">
      <c r="P98">
        <v>2043</v>
      </c>
      <c r="Q98" t="s">
        <v>202</v>
      </c>
      <c r="R98">
        <v>0.32190000000000002</v>
      </c>
      <c r="S98" t="s">
        <v>199</v>
      </c>
    </row>
    <row r="99" spans="16:19" x14ac:dyDescent="0.45">
      <c r="P99">
        <v>2044</v>
      </c>
      <c r="Q99" t="s">
        <v>198</v>
      </c>
      <c r="R99">
        <v>0.46713333333333334</v>
      </c>
      <c r="S99" t="s">
        <v>199</v>
      </c>
    </row>
    <row r="100" spans="16:19" x14ac:dyDescent="0.45">
      <c r="P100">
        <v>2044</v>
      </c>
      <c r="Q100" t="s">
        <v>200</v>
      </c>
      <c r="R100">
        <v>0.33363333333333339</v>
      </c>
      <c r="S100" t="s">
        <v>199</v>
      </c>
    </row>
    <row r="101" spans="16:19" x14ac:dyDescent="0.45">
      <c r="P101">
        <v>2044</v>
      </c>
      <c r="Q101" t="s">
        <v>201</v>
      </c>
      <c r="R101">
        <v>0.16406666666666667</v>
      </c>
      <c r="S101" t="s">
        <v>199</v>
      </c>
    </row>
    <row r="102" spans="16:19" x14ac:dyDescent="0.45">
      <c r="P102">
        <v>2044</v>
      </c>
      <c r="Q102" t="s">
        <v>202</v>
      </c>
      <c r="R102">
        <v>0.35766666666666663</v>
      </c>
      <c r="S102" t="s">
        <v>199</v>
      </c>
    </row>
    <row r="103" spans="16:19" x14ac:dyDescent="0.45">
      <c r="P103">
        <v>2045</v>
      </c>
      <c r="Q103" t="s">
        <v>198</v>
      </c>
      <c r="R103">
        <v>0.47876666666666673</v>
      </c>
      <c r="S103" t="s">
        <v>199</v>
      </c>
    </row>
    <row r="104" spans="16:19" x14ac:dyDescent="0.45">
      <c r="P104">
        <v>2045</v>
      </c>
      <c r="Q104" t="s">
        <v>200</v>
      </c>
      <c r="R104">
        <v>0.35499999999999998</v>
      </c>
      <c r="S104" t="s">
        <v>199</v>
      </c>
    </row>
    <row r="105" spans="16:19" x14ac:dyDescent="0.45">
      <c r="P105">
        <v>2045</v>
      </c>
      <c r="Q105" t="s">
        <v>201</v>
      </c>
      <c r="R105">
        <v>0.17576666666666665</v>
      </c>
      <c r="S105" t="s">
        <v>199</v>
      </c>
    </row>
    <row r="106" spans="16:19" x14ac:dyDescent="0.45">
      <c r="P106">
        <v>2045</v>
      </c>
      <c r="Q106" t="s">
        <v>202</v>
      </c>
      <c r="R106">
        <v>0.36703333333333332</v>
      </c>
      <c r="S106" t="s">
        <v>199</v>
      </c>
    </row>
    <row r="107" spans="16:19" x14ac:dyDescent="0.45">
      <c r="P107">
        <v>2046</v>
      </c>
      <c r="Q107" t="s">
        <v>198</v>
      </c>
      <c r="R107">
        <v>0.4017</v>
      </c>
      <c r="S107" t="s">
        <v>199</v>
      </c>
    </row>
    <row r="108" spans="16:19" x14ac:dyDescent="0.45">
      <c r="P108">
        <v>2046</v>
      </c>
      <c r="Q108" t="s">
        <v>200</v>
      </c>
      <c r="R108">
        <v>0.17300000000000001</v>
      </c>
      <c r="S108" t="s">
        <v>199</v>
      </c>
    </row>
    <row r="109" spans="16:19" x14ac:dyDescent="0.45">
      <c r="P109">
        <v>2046</v>
      </c>
      <c r="Q109" t="s">
        <v>201</v>
      </c>
      <c r="R109">
        <v>0.12866666666666668</v>
      </c>
      <c r="S109" t="s">
        <v>199</v>
      </c>
    </row>
    <row r="110" spans="16:19" x14ac:dyDescent="0.45">
      <c r="P110">
        <v>2046</v>
      </c>
      <c r="Q110" t="s">
        <v>202</v>
      </c>
      <c r="R110">
        <v>0.26299999999999996</v>
      </c>
      <c r="S110" t="s">
        <v>199</v>
      </c>
    </row>
    <row r="111" spans="16:19" x14ac:dyDescent="0.45">
      <c r="P111">
        <v>2047</v>
      </c>
      <c r="Q111" t="s">
        <v>198</v>
      </c>
      <c r="R111">
        <v>0.45989999999999998</v>
      </c>
      <c r="S111" t="s">
        <v>199</v>
      </c>
    </row>
    <row r="112" spans="16:19" x14ac:dyDescent="0.45">
      <c r="P112">
        <v>2047</v>
      </c>
      <c r="Q112" t="s">
        <v>200</v>
      </c>
      <c r="R112">
        <v>0.2659333333333333</v>
      </c>
      <c r="S112" t="s">
        <v>199</v>
      </c>
    </row>
    <row r="113" spans="16:19" x14ac:dyDescent="0.45">
      <c r="P113">
        <v>2047</v>
      </c>
      <c r="Q113" t="s">
        <v>201</v>
      </c>
      <c r="R113">
        <v>0.18060000000000001</v>
      </c>
      <c r="S113" t="s">
        <v>199</v>
      </c>
    </row>
    <row r="114" spans="16:19" x14ac:dyDescent="0.45">
      <c r="P114">
        <v>2047</v>
      </c>
      <c r="Q114" t="s">
        <v>202</v>
      </c>
      <c r="R114">
        <v>0.32306666666666667</v>
      </c>
      <c r="S114" t="s">
        <v>199</v>
      </c>
    </row>
    <row r="115" spans="16:19" x14ac:dyDescent="0.45">
      <c r="P115">
        <v>2048</v>
      </c>
      <c r="Q115" t="s">
        <v>198</v>
      </c>
      <c r="R115">
        <v>0.40523333333333333</v>
      </c>
      <c r="S115" t="s">
        <v>199</v>
      </c>
    </row>
    <row r="116" spans="16:19" x14ac:dyDescent="0.45">
      <c r="P116">
        <v>2048</v>
      </c>
      <c r="Q116" t="s">
        <v>200</v>
      </c>
      <c r="R116">
        <v>0.29409999999999997</v>
      </c>
      <c r="S116" t="s">
        <v>199</v>
      </c>
    </row>
    <row r="117" spans="16:19" x14ac:dyDescent="0.45">
      <c r="P117">
        <v>2048</v>
      </c>
      <c r="Q117" t="s">
        <v>201</v>
      </c>
      <c r="R117">
        <v>0.19243333333333335</v>
      </c>
      <c r="S117" t="s">
        <v>199</v>
      </c>
    </row>
    <row r="118" spans="16:19" x14ac:dyDescent="0.45">
      <c r="P118">
        <v>2048</v>
      </c>
      <c r="Q118" t="s">
        <v>202</v>
      </c>
      <c r="R118">
        <v>0.29696666666666666</v>
      </c>
      <c r="S118" t="s">
        <v>199</v>
      </c>
    </row>
    <row r="119" spans="16:19" x14ac:dyDescent="0.45">
      <c r="P119">
        <v>2049</v>
      </c>
      <c r="Q119" t="s">
        <v>198</v>
      </c>
      <c r="R119">
        <v>0.42746666666666666</v>
      </c>
      <c r="S119" t="s">
        <v>199</v>
      </c>
    </row>
    <row r="120" spans="16:19" x14ac:dyDescent="0.45">
      <c r="P120">
        <v>2049</v>
      </c>
      <c r="Q120" t="s">
        <v>200</v>
      </c>
      <c r="R120">
        <v>0.30656666666666671</v>
      </c>
      <c r="S120" t="s">
        <v>199</v>
      </c>
    </row>
    <row r="121" spans="16:19" x14ac:dyDescent="0.45">
      <c r="P121">
        <v>2049</v>
      </c>
      <c r="Q121" t="s">
        <v>201</v>
      </c>
      <c r="R121">
        <v>0.11843333333333333</v>
      </c>
      <c r="S121" t="s">
        <v>199</v>
      </c>
    </row>
    <row r="122" spans="16:19" x14ac:dyDescent="0.45">
      <c r="P122">
        <v>2049</v>
      </c>
      <c r="Q122" t="s">
        <v>202</v>
      </c>
      <c r="R122">
        <v>0.26919999999999999</v>
      </c>
      <c r="S122" t="s">
        <v>199</v>
      </c>
    </row>
    <row r="123" spans="16:19" x14ac:dyDescent="0.45">
      <c r="P123">
        <v>2050</v>
      </c>
      <c r="Q123" t="s">
        <v>198</v>
      </c>
      <c r="R123">
        <v>0.40840000000000004</v>
      </c>
      <c r="S123" t="s">
        <v>199</v>
      </c>
    </row>
    <row r="124" spans="16:19" x14ac:dyDescent="0.45">
      <c r="P124">
        <v>2050</v>
      </c>
      <c r="Q124" t="s">
        <v>200</v>
      </c>
      <c r="R124">
        <v>0.27373333333333333</v>
      </c>
      <c r="S124" t="s">
        <v>199</v>
      </c>
    </row>
    <row r="125" spans="16:19" x14ac:dyDescent="0.45">
      <c r="P125">
        <v>2050</v>
      </c>
      <c r="Q125" t="s">
        <v>201</v>
      </c>
      <c r="R125">
        <v>0.18489999999999998</v>
      </c>
      <c r="S125" t="s">
        <v>199</v>
      </c>
    </row>
    <row r="126" spans="16:19" x14ac:dyDescent="0.45">
      <c r="P126">
        <v>2050</v>
      </c>
      <c r="Q126" t="s">
        <v>202</v>
      </c>
      <c r="R126">
        <v>0.25993333333333335</v>
      </c>
      <c r="S126" t="s">
        <v>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09C70-2ED9-4D73-865B-4330D1872119}">
  <dimension ref="B9:J250"/>
  <sheetViews>
    <sheetView workbookViewId="0"/>
  </sheetViews>
  <sheetFormatPr defaultRowHeight="14.25" x14ac:dyDescent="0.45"/>
  <sheetData>
    <row r="9" spans="2:10" x14ac:dyDescent="0.45">
      <c r="B9" t="str">
        <f>IF(A11="x","DeActivated","~TFM_DINS-AT: region=BEL")</f>
        <v>~TFM_DINS-AT: region=BEL</v>
      </c>
      <c r="G9" t="str">
        <f>IF(A11="x","DeActivated","~TFM_DINS-AT: region=BEL")</f>
        <v>~TFM_DINS-AT: region=BEL</v>
      </c>
    </row>
    <row r="10" spans="2:10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</row>
    <row r="11" spans="2:10" x14ac:dyDescent="0.45">
      <c r="B11" t="s">
        <v>356</v>
      </c>
      <c r="C11" t="s">
        <v>5</v>
      </c>
      <c r="D11">
        <v>0</v>
      </c>
      <c r="E11" t="s">
        <v>6</v>
      </c>
      <c r="G11" t="s">
        <v>357</v>
      </c>
      <c r="H11" t="s">
        <v>5</v>
      </c>
      <c r="I11">
        <v>0.10604707013582604</v>
      </c>
      <c r="J11" t="s">
        <v>6</v>
      </c>
    </row>
    <row r="12" spans="2:10" x14ac:dyDescent="0.45">
      <c r="B12" t="s">
        <v>356</v>
      </c>
      <c r="C12" t="s">
        <v>9</v>
      </c>
      <c r="D12">
        <v>0</v>
      </c>
      <c r="E12" t="s">
        <v>6</v>
      </c>
      <c r="G12" t="s">
        <v>357</v>
      </c>
      <c r="H12" t="s">
        <v>9</v>
      </c>
      <c r="I12">
        <v>5.2431978851568369E-2</v>
      </c>
      <c r="J12" t="s">
        <v>6</v>
      </c>
    </row>
    <row r="13" spans="2:10" x14ac:dyDescent="0.45">
      <c r="B13" t="s">
        <v>356</v>
      </c>
      <c r="C13" t="s">
        <v>10</v>
      </c>
      <c r="D13">
        <v>2.4010386034284001E-2</v>
      </c>
      <c r="E13" t="s">
        <v>6</v>
      </c>
      <c r="G13" t="s">
        <v>357</v>
      </c>
      <c r="H13" t="s">
        <v>10</v>
      </c>
      <c r="I13">
        <v>3.8278309680207241E-2</v>
      </c>
      <c r="J13" t="s">
        <v>6</v>
      </c>
    </row>
    <row r="14" spans="2:10" x14ac:dyDescent="0.45">
      <c r="B14" t="s">
        <v>356</v>
      </c>
      <c r="C14" t="s">
        <v>11</v>
      </c>
      <c r="D14">
        <v>6.6359875707007118E-2</v>
      </c>
      <c r="E14" t="s">
        <v>6</v>
      </c>
      <c r="G14" t="s">
        <v>357</v>
      </c>
      <c r="H14" t="s">
        <v>11</v>
      </c>
      <c r="I14">
        <v>3.5033094672648347E-2</v>
      </c>
      <c r="J14" t="s">
        <v>6</v>
      </c>
    </row>
    <row r="15" spans="2:10" x14ac:dyDescent="0.45">
      <c r="B15" t="s">
        <v>356</v>
      </c>
      <c r="C15" t="s">
        <v>12</v>
      </c>
      <c r="D15">
        <v>3.6073920021560936E-2</v>
      </c>
      <c r="E15" t="s">
        <v>6</v>
      </c>
      <c r="G15" t="s">
        <v>357</v>
      </c>
      <c r="H15" t="s">
        <v>12</v>
      </c>
      <c r="I15">
        <v>3.6166018952947639E-2</v>
      </c>
      <c r="J15" t="s">
        <v>6</v>
      </c>
    </row>
    <row r="16" spans="2:10" x14ac:dyDescent="0.45">
      <c r="B16" t="s">
        <v>356</v>
      </c>
      <c r="C16" t="s">
        <v>13</v>
      </c>
      <c r="D16">
        <v>7.78618347863476E-4</v>
      </c>
      <c r="E16" t="s">
        <v>6</v>
      </c>
      <c r="G16" t="s">
        <v>357</v>
      </c>
      <c r="H16" t="s">
        <v>13</v>
      </c>
      <c r="I16">
        <v>3.8746001195364525E-2</v>
      </c>
      <c r="J16" t="s">
        <v>6</v>
      </c>
    </row>
    <row r="17" spans="2:10" x14ac:dyDescent="0.45">
      <c r="B17" t="s">
        <v>356</v>
      </c>
      <c r="C17" t="s">
        <v>14</v>
      </c>
      <c r="D17">
        <v>9.9587650382671134E-8</v>
      </c>
      <c r="E17" t="s">
        <v>6</v>
      </c>
      <c r="G17" t="s">
        <v>357</v>
      </c>
      <c r="H17" t="s">
        <v>14</v>
      </c>
      <c r="I17">
        <v>8.6951553973427478E-2</v>
      </c>
      <c r="J17" t="s">
        <v>6</v>
      </c>
    </row>
    <row r="18" spans="2:10" x14ac:dyDescent="0.45">
      <c r="B18" t="s">
        <v>356</v>
      </c>
      <c r="C18" t="s">
        <v>15</v>
      </c>
      <c r="D18">
        <v>9.0444987356626486E-3</v>
      </c>
      <c r="E18" t="s">
        <v>6</v>
      </c>
      <c r="G18" t="s">
        <v>357</v>
      </c>
      <c r="H18" t="s">
        <v>15</v>
      </c>
      <c r="I18">
        <v>4.2884971114634129E-2</v>
      </c>
      <c r="J18" t="s">
        <v>6</v>
      </c>
    </row>
    <row r="19" spans="2:10" x14ac:dyDescent="0.45">
      <c r="B19" t="s">
        <v>356</v>
      </c>
      <c r="C19" t="s">
        <v>16</v>
      </c>
      <c r="D19">
        <v>7.8235134217803579E-2</v>
      </c>
      <c r="E19" t="s">
        <v>6</v>
      </c>
      <c r="G19" t="s">
        <v>357</v>
      </c>
      <c r="H19" t="s">
        <v>16</v>
      </c>
      <c r="I19">
        <v>3.0031051835172465E-2</v>
      </c>
      <c r="J19" t="s">
        <v>6</v>
      </c>
    </row>
    <row r="20" spans="2:10" x14ac:dyDescent="0.45">
      <c r="B20" t="s">
        <v>356</v>
      </c>
      <c r="C20" t="s">
        <v>17</v>
      </c>
      <c r="D20">
        <v>0.11772099456596968</v>
      </c>
      <c r="E20" t="s">
        <v>6</v>
      </c>
      <c r="G20" t="s">
        <v>357</v>
      </c>
      <c r="H20" t="s">
        <v>17</v>
      </c>
      <c r="I20">
        <v>3.0707845415496142E-2</v>
      </c>
      <c r="J20" t="s">
        <v>6</v>
      </c>
    </row>
    <row r="21" spans="2:10" x14ac:dyDescent="0.45">
      <c r="B21" t="s">
        <v>356</v>
      </c>
      <c r="C21" t="s">
        <v>18</v>
      </c>
      <c r="D21">
        <v>8.2210661717802905E-2</v>
      </c>
      <c r="E21" t="s">
        <v>6</v>
      </c>
      <c r="G21" t="s">
        <v>357</v>
      </c>
      <c r="H21" t="s">
        <v>18</v>
      </c>
      <c r="I21">
        <v>3.2237605771758361E-2</v>
      </c>
      <c r="J21" t="s">
        <v>6</v>
      </c>
    </row>
    <row r="22" spans="2:10" x14ac:dyDescent="0.45">
      <c r="B22" t="s">
        <v>356</v>
      </c>
      <c r="C22" t="s">
        <v>19</v>
      </c>
      <c r="D22">
        <v>1.445971983340166E-2</v>
      </c>
      <c r="E22" t="s">
        <v>6</v>
      </c>
      <c r="G22" t="s">
        <v>357</v>
      </c>
      <c r="H22" t="s">
        <v>19</v>
      </c>
      <c r="I22">
        <v>3.1227845690531237E-2</v>
      </c>
      <c r="J22" t="s">
        <v>6</v>
      </c>
    </row>
    <row r="23" spans="2:10" x14ac:dyDescent="0.45">
      <c r="B23" t="s">
        <v>356</v>
      </c>
      <c r="C23" t="s">
        <v>20</v>
      </c>
      <c r="D23">
        <v>7.8251367839279185E-5</v>
      </c>
      <c r="E23" t="s">
        <v>6</v>
      </c>
      <c r="G23" t="s">
        <v>357</v>
      </c>
      <c r="H23" t="s">
        <v>20</v>
      </c>
      <c r="I23">
        <v>6.7321292380790501E-2</v>
      </c>
      <c r="J23" t="s">
        <v>6</v>
      </c>
    </row>
    <row r="24" spans="2:10" x14ac:dyDescent="0.45">
      <c r="B24" t="s">
        <v>356</v>
      </c>
      <c r="C24" t="s">
        <v>21</v>
      </c>
      <c r="D24">
        <v>1.5624507404073128E-2</v>
      </c>
      <c r="E24" t="s">
        <v>6</v>
      </c>
      <c r="G24" t="s">
        <v>357</v>
      </c>
      <c r="H24" t="s">
        <v>21</v>
      </c>
      <c r="I24">
        <v>2.7994146530246889E-2</v>
      </c>
      <c r="J24" t="s">
        <v>6</v>
      </c>
    </row>
    <row r="25" spans="2:10" x14ac:dyDescent="0.45">
      <c r="B25" t="s">
        <v>356</v>
      </c>
      <c r="C25" t="s">
        <v>22</v>
      </c>
      <c r="D25">
        <v>9.5206227477496366E-2</v>
      </c>
      <c r="E25" t="s">
        <v>6</v>
      </c>
      <c r="G25" t="s">
        <v>357</v>
      </c>
      <c r="H25" t="s">
        <v>22</v>
      </c>
      <c r="I25">
        <v>1.8244513021982673E-2</v>
      </c>
      <c r="J25" t="s">
        <v>6</v>
      </c>
    </row>
    <row r="26" spans="2:10" x14ac:dyDescent="0.45">
      <c r="B26" t="s">
        <v>356</v>
      </c>
      <c r="C26" t="s">
        <v>23</v>
      </c>
      <c r="D26">
        <v>0.13937436675655313</v>
      </c>
      <c r="E26" t="s">
        <v>6</v>
      </c>
      <c r="G26" t="s">
        <v>357</v>
      </c>
      <c r="H26" t="s">
        <v>23</v>
      </c>
      <c r="I26">
        <v>1.8591170340855116E-2</v>
      </c>
      <c r="J26" t="s">
        <v>6</v>
      </c>
    </row>
    <row r="27" spans="2:10" x14ac:dyDescent="0.45">
      <c r="B27" t="s">
        <v>356</v>
      </c>
      <c r="C27" t="s">
        <v>24</v>
      </c>
      <c r="D27">
        <v>0.10348437113626112</v>
      </c>
      <c r="E27" t="s">
        <v>6</v>
      </c>
      <c r="G27" t="s">
        <v>357</v>
      </c>
      <c r="H27" t="s">
        <v>24</v>
      </c>
      <c r="I27">
        <v>2.139638908732289E-2</v>
      </c>
      <c r="J27" t="s">
        <v>6</v>
      </c>
    </row>
    <row r="28" spans="2:10" x14ac:dyDescent="0.45">
      <c r="B28" t="s">
        <v>356</v>
      </c>
      <c r="C28" t="s">
        <v>25</v>
      </c>
      <c r="D28">
        <v>2.5927476906897246E-2</v>
      </c>
      <c r="E28" t="s">
        <v>6</v>
      </c>
      <c r="G28" t="s">
        <v>357</v>
      </c>
      <c r="H28" t="s">
        <v>25</v>
      </c>
      <c r="I28">
        <v>2.2663298490201995E-2</v>
      </c>
      <c r="J28" t="s">
        <v>6</v>
      </c>
    </row>
    <row r="29" spans="2:10" x14ac:dyDescent="0.45">
      <c r="B29" t="s">
        <v>356</v>
      </c>
      <c r="C29" t="s">
        <v>26</v>
      </c>
      <c r="D29">
        <v>0</v>
      </c>
      <c r="E29" t="s">
        <v>6</v>
      </c>
      <c r="G29" t="s">
        <v>357</v>
      </c>
      <c r="H29" t="s">
        <v>26</v>
      </c>
      <c r="I29">
        <v>9.0395693269136337E-2</v>
      </c>
      <c r="J29" t="s">
        <v>6</v>
      </c>
    </row>
    <row r="30" spans="2:10" x14ac:dyDescent="0.45">
      <c r="B30" t="s">
        <v>356</v>
      </c>
      <c r="C30" t="s">
        <v>27</v>
      </c>
      <c r="D30">
        <v>2.5361326386548625E-3</v>
      </c>
      <c r="E30" t="s">
        <v>6</v>
      </c>
      <c r="G30" t="s">
        <v>357</v>
      </c>
      <c r="H30" t="s">
        <v>27</v>
      </c>
      <c r="I30">
        <v>4.3361748561949867E-2</v>
      </c>
      <c r="J30" t="s">
        <v>6</v>
      </c>
    </row>
    <row r="31" spans="2:10" x14ac:dyDescent="0.45">
      <c r="B31" t="s">
        <v>356</v>
      </c>
      <c r="C31" t="s">
        <v>28</v>
      </c>
      <c r="D31">
        <v>5.1201237942975861E-2</v>
      </c>
      <c r="E31" t="s">
        <v>6</v>
      </c>
      <c r="G31" t="s">
        <v>357</v>
      </c>
      <c r="H31" t="s">
        <v>28</v>
      </c>
      <c r="I31">
        <v>2.9446931603391971E-2</v>
      </c>
      <c r="J31" t="s">
        <v>6</v>
      </c>
    </row>
    <row r="32" spans="2:10" x14ac:dyDescent="0.45">
      <c r="B32" t="s">
        <v>356</v>
      </c>
      <c r="C32" t="s">
        <v>29</v>
      </c>
      <c r="D32">
        <v>8.6629349161972249E-2</v>
      </c>
      <c r="E32" t="s">
        <v>6</v>
      </c>
      <c r="G32" t="s">
        <v>357</v>
      </c>
      <c r="H32" t="s">
        <v>29</v>
      </c>
      <c r="I32">
        <v>3.1262649552611883E-2</v>
      </c>
      <c r="J32" t="s">
        <v>6</v>
      </c>
    </row>
    <row r="33" spans="2:10" x14ac:dyDescent="0.45">
      <c r="B33" t="s">
        <v>356</v>
      </c>
      <c r="C33" t="s">
        <v>30</v>
      </c>
      <c r="D33">
        <v>4.8004489338818512E-2</v>
      </c>
      <c r="E33" t="s">
        <v>6</v>
      </c>
      <c r="G33" t="s">
        <v>357</v>
      </c>
      <c r="H33" t="s">
        <v>30</v>
      </c>
      <c r="I33">
        <v>3.3452612670636012E-2</v>
      </c>
      <c r="J33" t="s">
        <v>6</v>
      </c>
    </row>
    <row r="34" spans="2:10" x14ac:dyDescent="0.45">
      <c r="B34" t="s">
        <v>356</v>
      </c>
      <c r="C34" t="s">
        <v>31</v>
      </c>
      <c r="D34">
        <v>3.0396810994507851E-3</v>
      </c>
      <c r="E34" t="s">
        <v>6</v>
      </c>
      <c r="G34" t="s">
        <v>357</v>
      </c>
      <c r="H34" t="s">
        <v>31</v>
      </c>
      <c r="I34">
        <v>3.5126207201293523E-2</v>
      </c>
      <c r="J34" t="s">
        <v>6</v>
      </c>
    </row>
    <row r="35" spans="2:10" x14ac:dyDescent="0.45">
      <c r="B35" t="s">
        <v>358</v>
      </c>
      <c r="C35" t="s">
        <v>5</v>
      </c>
      <c r="D35">
        <v>0</v>
      </c>
      <c r="E35" t="s">
        <v>6</v>
      </c>
      <c r="G35" t="s">
        <v>359</v>
      </c>
      <c r="H35" t="s">
        <v>5</v>
      </c>
      <c r="I35">
        <v>0.1079747411091071</v>
      </c>
      <c r="J35" t="s">
        <v>6</v>
      </c>
    </row>
    <row r="36" spans="2:10" x14ac:dyDescent="0.45">
      <c r="B36" t="s">
        <v>358</v>
      </c>
      <c r="C36" t="s">
        <v>9</v>
      </c>
      <c r="D36">
        <v>0</v>
      </c>
      <c r="E36" t="s">
        <v>6</v>
      </c>
      <c r="G36" t="s">
        <v>359</v>
      </c>
      <c r="H36" t="s">
        <v>9</v>
      </c>
      <c r="I36">
        <v>5.325558305418851E-2</v>
      </c>
      <c r="J36" t="s">
        <v>6</v>
      </c>
    </row>
    <row r="37" spans="2:10" x14ac:dyDescent="0.45">
      <c r="B37" t="s">
        <v>358</v>
      </c>
      <c r="C37" t="s">
        <v>10</v>
      </c>
      <c r="D37">
        <v>2.4599740228227987E-2</v>
      </c>
      <c r="E37" t="s">
        <v>6</v>
      </c>
      <c r="G37" t="s">
        <v>359</v>
      </c>
      <c r="H37" t="s">
        <v>10</v>
      </c>
      <c r="I37">
        <v>3.8207828456458877E-2</v>
      </c>
      <c r="J37" t="s">
        <v>6</v>
      </c>
    </row>
    <row r="38" spans="2:10" x14ac:dyDescent="0.45">
      <c r="B38" t="s">
        <v>358</v>
      </c>
      <c r="C38" t="s">
        <v>11</v>
      </c>
      <c r="D38">
        <v>6.8737604207440517E-2</v>
      </c>
      <c r="E38" t="s">
        <v>6</v>
      </c>
      <c r="G38" t="s">
        <v>359</v>
      </c>
      <c r="H38" t="s">
        <v>11</v>
      </c>
      <c r="I38">
        <v>3.5168286151818835E-2</v>
      </c>
      <c r="J38" t="s">
        <v>6</v>
      </c>
    </row>
    <row r="39" spans="2:10" x14ac:dyDescent="0.45">
      <c r="B39" t="s">
        <v>358</v>
      </c>
      <c r="C39" t="s">
        <v>12</v>
      </c>
      <c r="D39">
        <v>3.8402044416389329E-2</v>
      </c>
      <c r="E39" t="s">
        <v>6</v>
      </c>
      <c r="G39" t="s">
        <v>359</v>
      </c>
      <c r="H39" t="s">
        <v>12</v>
      </c>
      <c r="I39">
        <v>3.6081031565891819E-2</v>
      </c>
      <c r="J39" t="s">
        <v>6</v>
      </c>
    </row>
    <row r="40" spans="2:10" x14ac:dyDescent="0.45">
      <c r="B40" t="s">
        <v>358</v>
      </c>
      <c r="C40" t="s">
        <v>13</v>
      </c>
      <c r="D40">
        <v>1.0276295942425286E-3</v>
      </c>
      <c r="E40" t="s">
        <v>6</v>
      </c>
      <c r="G40" t="s">
        <v>359</v>
      </c>
      <c r="H40" t="s">
        <v>13</v>
      </c>
      <c r="I40">
        <v>3.8646372654885942E-2</v>
      </c>
      <c r="J40" t="s">
        <v>6</v>
      </c>
    </row>
    <row r="41" spans="2:10" x14ac:dyDescent="0.45">
      <c r="B41" t="s">
        <v>358</v>
      </c>
      <c r="C41" t="s">
        <v>14</v>
      </c>
      <c r="D41">
        <v>2.376166917151078E-6</v>
      </c>
      <c r="E41" t="s">
        <v>6</v>
      </c>
      <c r="G41" t="s">
        <v>359</v>
      </c>
      <c r="H41" t="s">
        <v>14</v>
      </c>
      <c r="I41">
        <v>8.6567868472158013E-2</v>
      </c>
      <c r="J41" t="s">
        <v>6</v>
      </c>
    </row>
    <row r="42" spans="2:10" x14ac:dyDescent="0.45">
      <c r="B42" t="s">
        <v>358</v>
      </c>
      <c r="C42" t="s">
        <v>15</v>
      </c>
      <c r="D42">
        <v>8.6690672663224163E-3</v>
      </c>
      <c r="E42" t="s">
        <v>6</v>
      </c>
      <c r="G42" t="s">
        <v>359</v>
      </c>
      <c r="H42" t="s">
        <v>15</v>
      </c>
      <c r="I42">
        <v>4.1608425851901006E-2</v>
      </c>
      <c r="J42" t="s">
        <v>6</v>
      </c>
    </row>
    <row r="43" spans="2:10" x14ac:dyDescent="0.45">
      <c r="B43" t="s">
        <v>358</v>
      </c>
      <c r="C43" t="s">
        <v>16</v>
      </c>
      <c r="D43">
        <v>7.4852227625093706E-2</v>
      </c>
      <c r="E43" t="s">
        <v>6</v>
      </c>
      <c r="G43" t="s">
        <v>359</v>
      </c>
      <c r="H43" t="s">
        <v>16</v>
      </c>
      <c r="I43">
        <v>2.8719816079942045E-2</v>
      </c>
      <c r="J43" t="s">
        <v>6</v>
      </c>
    </row>
    <row r="44" spans="2:10" x14ac:dyDescent="0.45">
      <c r="B44" t="s">
        <v>358</v>
      </c>
      <c r="C44" t="s">
        <v>17</v>
      </c>
      <c r="D44">
        <v>0.11664150719685394</v>
      </c>
      <c r="E44" t="s">
        <v>6</v>
      </c>
      <c r="G44" t="s">
        <v>359</v>
      </c>
      <c r="H44" t="s">
        <v>17</v>
      </c>
      <c r="I44">
        <v>3.0085706711309283E-2</v>
      </c>
      <c r="J44" t="s">
        <v>6</v>
      </c>
    </row>
    <row r="45" spans="2:10" x14ac:dyDescent="0.45">
      <c r="B45" t="s">
        <v>358</v>
      </c>
      <c r="C45" t="s">
        <v>18</v>
      </c>
      <c r="D45">
        <v>8.1846552470386871E-2</v>
      </c>
      <c r="E45" t="s">
        <v>6</v>
      </c>
      <c r="G45" t="s">
        <v>359</v>
      </c>
      <c r="H45" t="s">
        <v>18</v>
      </c>
      <c r="I45">
        <v>3.2089928473109652E-2</v>
      </c>
      <c r="J45" t="s">
        <v>6</v>
      </c>
    </row>
    <row r="46" spans="2:10" x14ac:dyDescent="0.45">
      <c r="B46" t="s">
        <v>358</v>
      </c>
      <c r="C46" t="s">
        <v>19</v>
      </c>
      <c r="D46">
        <v>1.545579399001906E-2</v>
      </c>
      <c r="E46" t="s">
        <v>6</v>
      </c>
      <c r="G46" t="s">
        <v>359</v>
      </c>
      <c r="H46" t="s">
        <v>19</v>
      </c>
      <c r="I46">
        <v>3.0264196354897244E-2</v>
      </c>
      <c r="J46" t="s">
        <v>6</v>
      </c>
    </row>
    <row r="47" spans="2:10" x14ac:dyDescent="0.45">
      <c r="B47" t="s">
        <v>358</v>
      </c>
      <c r="C47" t="s">
        <v>20</v>
      </c>
      <c r="D47">
        <v>1.3154946664790845E-4</v>
      </c>
      <c r="E47" t="s">
        <v>6</v>
      </c>
      <c r="G47" t="s">
        <v>359</v>
      </c>
      <c r="H47" t="s">
        <v>20</v>
      </c>
      <c r="I47">
        <v>6.7424839347985238E-2</v>
      </c>
      <c r="J47" t="s">
        <v>6</v>
      </c>
    </row>
    <row r="48" spans="2:10" x14ac:dyDescent="0.45">
      <c r="B48" t="s">
        <v>358</v>
      </c>
      <c r="C48" t="s">
        <v>21</v>
      </c>
      <c r="D48">
        <v>1.4287175783884262E-2</v>
      </c>
      <c r="E48" t="s">
        <v>6</v>
      </c>
      <c r="G48" t="s">
        <v>359</v>
      </c>
      <c r="H48" t="s">
        <v>21</v>
      </c>
      <c r="I48">
        <v>2.6620948170356991E-2</v>
      </c>
      <c r="J48" t="s">
        <v>6</v>
      </c>
    </row>
    <row r="49" spans="2:10" x14ac:dyDescent="0.45">
      <c r="B49" t="s">
        <v>358</v>
      </c>
      <c r="C49" t="s">
        <v>22</v>
      </c>
      <c r="D49">
        <v>9.1954658862795954E-2</v>
      </c>
      <c r="E49" t="s">
        <v>6</v>
      </c>
      <c r="G49" t="s">
        <v>359</v>
      </c>
      <c r="H49" t="s">
        <v>22</v>
      </c>
      <c r="I49">
        <v>1.6819921707646034E-2</v>
      </c>
      <c r="J49" t="s">
        <v>6</v>
      </c>
    </row>
    <row r="50" spans="2:10" x14ac:dyDescent="0.45">
      <c r="B50" t="s">
        <v>358</v>
      </c>
      <c r="C50" t="s">
        <v>23</v>
      </c>
      <c r="D50">
        <v>0.1355012789969274</v>
      </c>
      <c r="E50" t="s">
        <v>6</v>
      </c>
      <c r="G50" t="s">
        <v>359</v>
      </c>
      <c r="H50" t="s">
        <v>23</v>
      </c>
      <c r="I50">
        <v>1.8505404138107199E-2</v>
      </c>
      <c r="J50" t="s">
        <v>6</v>
      </c>
    </row>
    <row r="51" spans="2:10" x14ac:dyDescent="0.45">
      <c r="B51" t="s">
        <v>358</v>
      </c>
      <c r="C51" t="s">
        <v>24</v>
      </c>
      <c r="D51">
        <v>0.10341620053460483</v>
      </c>
      <c r="E51" t="s">
        <v>6</v>
      </c>
      <c r="G51" t="s">
        <v>359</v>
      </c>
      <c r="H51" t="s">
        <v>24</v>
      </c>
      <c r="I51">
        <v>2.0808847578884401E-2</v>
      </c>
      <c r="J51" t="s">
        <v>6</v>
      </c>
    </row>
    <row r="52" spans="2:10" x14ac:dyDescent="0.45">
      <c r="B52" t="s">
        <v>358</v>
      </c>
      <c r="C52" t="s">
        <v>25</v>
      </c>
      <c r="D52">
        <v>2.7161777304108996E-2</v>
      </c>
      <c r="E52" t="s">
        <v>6</v>
      </c>
      <c r="G52" t="s">
        <v>359</v>
      </c>
      <c r="H52" t="s">
        <v>25</v>
      </c>
      <c r="I52">
        <v>2.1441205865792796E-2</v>
      </c>
      <c r="J52" t="s">
        <v>6</v>
      </c>
    </row>
    <row r="53" spans="2:10" x14ac:dyDescent="0.45">
      <c r="B53" t="s">
        <v>358</v>
      </c>
      <c r="C53" t="s">
        <v>26</v>
      </c>
      <c r="D53">
        <v>0</v>
      </c>
      <c r="E53" t="s">
        <v>6</v>
      </c>
      <c r="G53" t="s">
        <v>359</v>
      </c>
      <c r="H53" t="s">
        <v>26</v>
      </c>
      <c r="I53">
        <v>9.3380673074318354E-2</v>
      </c>
      <c r="J53" t="s">
        <v>6</v>
      </c>
    </row>
    <row r="54" spans="2:10" x14ac:dyDescent="0.45">
      <c r="B54" t="s">
        <v>358</v>
      </c>
      <c r="C54" t="s">
        <v>27</v>
      </c>
      <c r="D54">
        <v>2.3306190471848627E-3</v>
      </c>
      <c r="E54" t="s">
        <v>6</v>
      </c>
      <c r="G54" t="s">
        <v>359</v>
      </c>
      <c r="H54" t="s">
        <v>27</v>
      </c>
      <c r="I54">
        <v>4.3754954972093404E-2</v>
      </c>
      <c r="J54" t="s">
        <v>6</v>
      </c>
    </row>
    <row r="55" spans="2:10" x14ac:dyDescent="0.45">
      <c r="B55" t="s">
        <v>358</v>
      </c>
      <c r="C55" t="s">
        <v>28</v>
      </c>
      <c r="D55">
        <v>5.2867398516320573E-2</v>
      </c>
      <c r="E55" t="s">
        <v>6</v>
      </c>
      <c r="G55" t="s">
        <v>359</v>
      </c>
      <c r="H55" t="s">
        <v>28</v>
      </c>
      <c r="I55">
        <v>2.9646629206632035E-2</v>
      </c>
      <c r="J55" t="s">
        <v>6</v>
      </c>
    </row>
    <row r="56" spans="2:10" x14ac:dyDescent="0.45">
      <c r="B56" t="s">
        <v>358</v>
      </c>
      <c r="C56" t="s">
        <v>29</v>
      </c>
      <c r="D56">
        <v>8.9521980752678768E-2</v>
      </c>
      <c r="E56" t="s">
        <v>6</v>
      </c>
      <c r="G56" t="s">
        <v>359</v>
      </c>
      <c r="H56" t="s">
        <v>29</v>
      </c>
      <c r="I56">
        <v>3.2264477559037497E-2</v>
      </c>
      <c r="J56" t="s">
        <v>6</v>
      </c>
    </row>
    <row r="57" spans="2:10" x14ac:dyDescent="0.45">
      <c r="B57" t="s">
        <v>358</v>
      </c>
      <c r="C57" t="s">
        <v>30</v>
      </c>
      <c r="D57">
        <v>4.9170199855005432E-2</v>
      </c>
      <c r="E57" t="s">
        <v>6</v>
      </c>
      <c r="G57" t="s">
        <v>359</v>
      </c>
      <c r="H57" t="s">
        <v>30</v>
      </c>
      <c r="I57">
        <v>3.4507745605293912E-2</v>
      </c>
      <c r="J57" t="s">
        <v>6</v>
      </c>
    </row>
    <row r="58" spans="2:10" x14ac:dyDescent="0.45">
      <c r="B58" t="s">
        <v>358</v>
      </c>
      <c r="C58" t="s">
        <v>31</v>
      </c>
      <c r="D58">
        <v>3.4226177179475913E-3</v>
      </c>
      <c r="E58" t="s">
        <v>6</v>
      </c>
      <c r="G58" t="s">
        <v>359</v>
      </c>
      <c r="H58" t="s">
        <v>31</v>
      </c>
      <c r="I58">
        <v>3.6154567838182376E-2</v>
      </c>
      <c r="J58" t="s">
        <v>6</v>
      </c>
    </row>
    <row r="59" spans="2:10" x14ac:dyDescent="0.45">
      <c r="B59" t="s">
        <v>360</v>
      </c>
      <c r="C59" t="s">
        <v>5</v>
      </c>
      <c r="D59">
        <v>0</v>
      </c>
      <c r="E59" t="s">
        <v>6</v>
      </c>
      <c r="G59" t="s">
        <v>361</v>
      </c>
      <c r="H59" t="s">
        <v>5</v>
      </c>
      <c r="I59">
        <v>0.1087325191391017</v>
      </c>
      <c r="J59" t="s">
        <v>6</v>
      </c>
    </row>
    <row r="60" spans="2:10" x14ac:dyDescent="0.45">
      <c r="B60" t="s">
        <v>360</v>
      </c>
      <c r="C60" t="s">
        <v>9</v>
      </c>
      <c r="D60">
        <v>0</v>
      </c>
      <c r="E60" t="s">
        <v>6</v>
      </c>
      <c r="G60" t="s">
        <v>361</v>
      </c>
      <c r="H60" t="s">
        <v>9</v>
      </c>
      <c r="I60">
        <v>5.1901717306783016E-2</v>
      </c>
      <c r="J60" t="s">
        <v>6</v>
      </c>
    </row>
    <row r="61" spans="2:10" x14ac:dyDescent="0.45">
      <c r="B61" t="s">
        <v>360</v>
      </c>
      <c r="C61" t="s">
        <v>10</v>
      </c>
      <c r="D61">
        <v>2.5273760406118794E-2</v>
      </c>
      <c r="E61" t="s">
        <v>6</v>
      </c>
      <c r="G61" t="s">
        <v>361</v>
      </c>
      <c r="H61" t="s">
        <v>10</v>
      </c>
      <c r="I61">
        <v>3.6184315971178375E-2</v>
      </c>
      <c r="J61" t="s">
        <v>6</v>
      </c>
    </row>
    <row r="62" spans="2:10" x14ac:dyDescent="0.45">
      <c r="B62" t="s">
        <v>360</v>
      </c>
      <c r="C62" t="s">
        <v>11</v>
      </c>
      <c r="D62">
        <v>6.9549801024197985E-2</v>
      </c>
      <c r="E62" t="s">
        <v>6</v>
      </c>
      <c r="G62" t="s">
        <v>361</v>
      </c>
      <c r="H62" t="s">
        <v>11</v>
      </c>
      <c r="I62">
        <v>3.5022449716867847E-2</v>
      </c>
      <c r="J62" t="s">
        <v>6</v>
      </c>
    </row>
    <row r="63" spans="2:10" x14ac:dyDescent="0.45">
      <c r="B63" t="s">
        <v>360</v>
      </c>
      <c r="C63" t="s">
        <v>12</v>
      </c>
      <c r="D63">
        <v>3.5805760949606379E-2</v>
      </c>
      <c r="E63" t="s">
        <v>6</v>
      </c>
      <c r="G63" t="s">
        <v>361</v>
      </c>
      <c r="H63" t="s">
        <v>12</v>
      </c>
      <c r="I63">
        <v>3.6197979389037925E-2</v>
      </c>
      <c r="J63" t="s">
        <v>6</v>
      </c>
    </row>
    <row r="64" spans="2:10" x14ac:dyDescent="0.45">
      <c r="B64" t="s">
        <v>360</v>
      </c>
      <c r="C64" t="s">
        <v>13</v>
      </c>
      <c r="D64">
        <v>6.6727679041481244E-4</v>
      </c>
      <c r="E64" t="s">
        <v>6</v>
      </c>
      <c r="G64" t="s">
        <v>361</v>
      </c>
      <c r="H64" t="s">
        <v>13</v>
      </c>
      <c r="I64">
        <v>4.0229555765579759E-2</v>
      </c>
      <c r="J64" t="s">
        <v>6</v>
      </c>
    </row>
    <row r="65" spans="2:10" x14ac:dyDescent="0.45">
      <c r="B65" t="s">
        <v>360</v>
      </c>
      <c r="C65" t="s">
        <v>14</v>
      </c>
      <c r="D65">
        <v>1.735874435308977E-6</v>
      </c>
      <c r="E65" t="s">
        <v>6</v>
      </c>
      <c r="G65" t="s">
        <v>361</v>
      </c>
      <c r="H65" t="s">
        <v>14</v>
      </c>
      <c r="I65">
        <v>8.3734318910383534E-2</v>
      </c>
      <c r="J65" t="s">
        <v>6</v>
      </c>
    </row>
    <row r="66" spans="2:10" x14ac:dyDescent="0.45">
      <c r="B66" t="s">
        <v>360</v>
      </c>
      <c r="C66" t="s">
        <v>15</v>
      </c>
      <c r="D66">
        <v>9.6895052998756653E-3</v>
      </c>
      <c r="E66" t="s">
        <v>6</v>
      </c>
      <c r="G66" t="s">
        <v>361</v>
      </c>
      <c r="H66" t="s">
        <v>15</v>
      </c>
      <c r="I66">
        <v>4.2163827927647585E-2</v>
      </c>
      <c r="J66" t="s">
        <v>6</v>
      </c>
    </row>
    <row r="67" spans="2:10" x14ac:dyDescent="0.45">
      <c r="B67" t="s">
        <v>360</v>
      </c>
      <c r="C67" t="s">
        <v>16</v>
      </c>
      <c r="D67">
        <v>7.9810836743411634E-2</v>
      </c>
      <c r="E67" t="s">
        <v>6</v>
      </c>
      <c r="G67" t="s">
        <v>361</v>
      </c>
      <c r="H67" t="s">
        <v>16</v>
      </c>
      <c r="I67">
        <v>2.7596641022859778E-2</v>
      </c>
      <c r="J67" t="s">
        <v>6</v>
      </c>
    </row>
    <row r="68" spans="2:10" x14ac:dyDescent="0.45">
      <c r="B68" t="s">
        <v>360</v>
      </c>
      <c r="C68" t="s">
        <v>17</v>
      </c>
      <c r="D68">
        <v>0.11899596675628266</v>
      </c>
      <c r="E68" t="s">
        <v>6</v>
      </c>
      <c r="G68" t="s">
        <v>361</v>
      </c>
      <c r="H68" t="s">
        <v>17</v>
      </c>
      <c r="I68">
        <v>2.6170531679907193E-2</v>
      </c>
      <c r="J68" t="s">
        <v>6</v>
      </c>
    </row>
    <row r="69" spans="2:10" x14ac:dyDescent="0.45">
      <c r="B69" t="s">
        <v>360</v>
      </c>
      <c r="C69" t="s">
        <v>18</v>
      </c>
      <c r="D69">
        <v>8.1378169945177645E-2</v>
      </c>
      <c r="E69" t="s">
        <v>6</v>
      </c>
      <c r="G69" t="s">
        <v>361</v>
      </c>
      <c r="H69" t="s">
        <v>18</v>
      </c>
      <c r="I69">
        <v>2.9174491151339032E-2</v>
      </c>
      <c r="J69" t="s">
        <v>6</v>
      </c>
    </row>
    <row r="70" spans="2:10" x14ac:dyDescent="0.45">
      <c r="B70" t="s">
        <v>360</v>
      </c>
      <c r="C70" t="s">
        <v>19</v>
      </c>
      <c r="D70">
        <v>1.4741004449134423E-2</v>
      </c>
      <c r="E70" t="s">
        <v>6</v>
      </c>
      <c r="G70" t="s">
        <v>361</v>
      </c>
      <c r="H70" t="s">
        <v>19</v>
      </c>
      <c r="I70">
        <v>3.0199831585406886E-2</v>
      </c>
      <c r="J70" t="s">
        <v>6</v>
      </c>
    </row>
    <row r="71" spans="2:10" x14ac:dyDescent="0.45">
      <c r="B71" t="s">
        <v>360</v>
      </c>
      <c r="C71" t="s">
        <v>20</v>
      </c>
      <c r="D71">
        <v>1.1727570070677551E-4</v>
      </c>
      <c r="E71" t="s">
        <v>6</v>
      </c>
      <c r="G71" t="s">
        <v>361</v>
      </c>
      <c r="H71" t="s">
        <v>20</v>
      </c>
      <c r="I71">
        <v>6.5280969288172883E-2</v>
      </c>
      <c r="J71" t="s">
        <v>6</v>
      </c>
    </row>
    <row r="72" spans="2:10" x14ac:dyDescent="0.45">
      <c r="B72" t="s">
        <v>360</v>
      </c>
      <c r="C72" t="s">
        <v>21</v>
      </c>
      <c r="D72">
        <v>1.5454858210391951E-2</v>
      </c>
      <c r="E72" t="s">
        <v>6</v>
      </c>
      <c r="G72" t="s">
        <v>361</v>
      </c>
      <c r="H72" t="s">
        <v>21</v>
      </c>
      <c r="I72">
        <v>2.8231204534824146E-2</v>
      </c>
      <c r="J72" t="s">
        <v>6</v>
      </c>
    </row>
    <row r="73" spans="2:10" x14ac:dyDescent="0.45">
      <c r="B73" t="s">
        <v>360</v>
      </c>
      <c r="C73" t="s">
        <v>22</v>
      </c>
      <c r="D73">
        <v>9.0922375590204205E-2</v>
      </c>
      <c r="E73" t="s">
        <v>6</v>
      </c>
      <c r="G73" t="s">
        <v>361</v>
      </c>
      <c r="H73" t="s">
        <v>22</v>
      </c>
      <c r="I73">
        <v>1.6549864400068184E-2</v>
      </c>
      <c r="J73" t="s">
        <v>6</v>
      </c>
    </row>
    <row r="74" spans="2:10" x14ac:dyDescent="0.45">
      <c r="B74" t="s">
        <v>360</v>
      </c>
      <c r="C74" t="s">
        <v>23</v>
      </c>
      <c r="D74">
        <v>0.13389660438780762</v>
      </c>
      <c r="E74" t="s">
        <v>6</v>
      </c>
      <c r="G74" t="s">
        <v>361</v>
      </c>
      <c r="H74" t="s">
        <v>23</v>
      </c>
      <c r="I74">
        <v>1.7158397173796941E-2</v>
      </c>
      <c r="J74" t="s">
        <v>6</v>
      </c>
    </row>
    <row r="75" spans="2:10" x14ac:dyDescent="0.45">
      <c r="B75" t="s">
        <v>360</v>
      </c>
      <c r="C75" t="s">
        <v>24</v>
      </c>
      <c r="D75">
        <v>0.10310417714460514</v>
      </c>
      <c r="E75" t="s">
        <v>6</v>
      </c>
      <c r="G75" t="s">
        <v>361</v>
      </c>
      <c r="H75" t="s">
        <v>24</v>
      </c>
      <c r="I75">
        <v>1.9109320090133323E-2</v>
      </c>
      <c r="J75" t="s">
        <v>6</v>
      </c>
    </row>
    <row r="76" spans="2:10" x14ac:dyDescent="0.45">
      <c r="B76" t="s">
        <v>360</v>
      </c>
      <c r="C76" t="s">
        <v>25</v>
      </c>
      <c r="D76">
        <v>2.6043335209750156E-2</v>
      </c>
      <c r="E76" t="s">
        <v>6</v>
      </c>
      <c r="G76" t="s">
        <v>361</v>
      </c>
      <c r="H76" t="s">
        <v>25</v>
      </c>
      <c r="I76">
        <v>1.9999438643944632E-2</v>
      </c>
      <c r="J76" t="s">
        <v>6</v>
      </c>
    </row>
    <row r="77" spans="2:10" x14ac:dyDescent="0.45">
      <c r="B77" t="s">
        <v>360</v>
      </c>
      <c r="C77" t="s">
        <v>26</v>
      </c>
      <c r="D77">
        <v>0</v>
      </c>
      <c r="E77" t="s">
        <v>6</v>
      </c>
      <c r="G77" t="s">
        <v>361</v>
      </c>
      <c r="H77" t="s">
        <v>26</v>
      </c>
      <c r="I77">
        <v>0.10117345052217504</v>
      </c>
      <c r="J77" t="s">
        <v>6</v>
      </c>
    </row>
    <row r="78" spans="2:10" x14ac:dyDescent="0.45">
      <c r="B78" t="s">
        <v>360</v>
      </c>
      <c r="C78" t="s">
        <v>27</v>
      </c>
      <c r="D78">
        <v>2.6691145427298248E-3</v>
      </c>
      <c r="E78" t="s">
        <v>6</v>
      </c>
      <c r="G78" t="s">
        <v>361</v>
      </c>
      <c r="H78" t="s">
        <v>27</v>
      </c>
      <c r="I78">
        <v>4.6997678475179119E-2</v>
      </c>
      <c r="J78" t="s">
        <v>6</v>
      </c>
    </row>
    <row r="79" spans="2:10" x14ac:dyDescent="0.45">
      <c r="B79" t="s">
        <v>360</v>
      </c>
      <c r="C79" t="s">
        <v>28</v>
      </c>
      <c r="D79">
        <v>5.3194741633079003E-2</v>
      </c>
      <c r="E79" t="s">
        <v>6</v>
      </c>
      <c r="G79" t="s">
        <v>361</v>
      </c>
      <c r="H79" t="s">
        <v>28</v>
      </c>
      <c r="I79">
        <v>3.2330586273328348E-2</v>
      </c>
      <c r="J79" t="s">
        <v>6</v>
      </c>
    </row>
    <row r="80" spans="2:10" x14ac:dyDescent="0.45">
      <c r="B80" t="s">
        <v>360</v>
      </c>
      <c r="C80" t="s">
        <v>29</v>
      </c>
      <c r="D80">
        <v>8.8743707157140694E-2</v>
      </c>
      <c r="E80" t="s">
        <v>6</v>
      </c>
      <c r="G80" t="s">
        <v>361</v>
      </c>
      <c r="H80" t="s">
        <v>29</v>
      </c>
      <c r="I80">
        <v>3.260231697992922E-2</v>
      </c>
      <c r="J80" t="s">
        <v>6</v>
      </c>
    </row>
    <row r="81" spans="2:10" x14ac:dyDescent="0.45">
      <c r="B81" t="s">
        <v>360</v>
      </c>
      <c r="C81" t="s">
        <v>30</v>
      </c>
      <c r="D81">
        <v>4.6929182650727992E-2</v>
      </c>
      <c r="E81" t="s">
        <v>6</v>
      </c>
      <c r="G81" t="s">
        <v>361</v>
      </c>
      <c r="H81" t="s">
        <v>30</v>
      </c>
      <c r="I81">
        <v>3.4763405992756666E-2</v>
      </c>
      <c r="J81" t="s">
        <v>6</v>
      </c>
    </row>
    <row r="82" spans="2:10" x14ac:dyDescent="0.45">
      <c r="B82" t="s">
        <v>360</v>
      </c>
      <c r="C82" t="s">
        <v>31</v>
      </c>
      <c r="D82">
        <v>3.0108095342029433E-3</v>
      </c>
      <c r="E82" t="s">
        <v>6</v>
      </c>
      <c r="G82" t="s">
        <v>361</v>
      </c>
      <c r="H82" t="s">
        <v>31</v>
      </c>
      <c r="I82">
        <v>3.8495188059604044E-2</v>
      </c>
      <c r="J82" t="s">
        <v>6</v>
      </c>
    </row>
    <row r="83" spans="2:10" x14ac:dyDescent="0.45">
      <c r="B83" t="s">
        <v>362</v>
      </c>
      <c r="C83" t="s">
        <v>5</v>
      </c>
      <c r="D83">
        <v>0</v>
      </c>
      <c r="E83" t="s">
        <v>6</v>
      </c>
      <c r="G83" t="s">
        <v>363</v>
      </c>
      <c r="H83" t="s">
        <v>5</v>
      </c>
      <c r="I83">
        <v>0.10809943914157236</v>
      </c>
      <c r="J83" t="s">
        <v>6</v>
      </c>
    </row>
    <row r="84" spans="2:10" x14ac:dyDescent="0.45">
      <c r="B84" t="s">
        <v>362</v>
      </c>
      <c r="C84" t="s">
        <v>9</v>
      </c>
      <c r="D84">
        <v>0</v>
      </c>
      <c r="E84" t="s">
        <v>6</v>
      </c>
      <c r="G84" t="s">
        <v>363</v>
      </c>
      <c r="H84" t="s">
        <v>9</v>
      </c>
      <c r="I84">
        <v>5.2809552180053163E-2</v>
      </c>
      <c r="J84" t="s">
        <v>6</v>
      </c>
    </row>
    <row r="85" spans="2:10" x14ac:dyDescent="0.45">
      <c r="B85" t="s">
        <v>362</v>
      </c>
      <c r="C85" t="s">
        <v>10</v>
      </c>
      <c r="D85">
        <v>2.4494115496291317E-2</v>
      </c>
      <c r="E85" t="s">
        <v>6</v>
      </c>
      <c r="G85" t="s">
        <v>363</v>
      </c>
      <c r="H85" t="s">
        <v>10</v>
      </c>
      <c r="I85">
        <v>3.5997102464572467E-2</v>
      </c>
      <c r="J85" t="s">
        <v>6</v>
      </c>
    </row>
    <row r="86" spans="2:10" x14ac:dyDescent="0.45">
      <c r="B86" t="s">
        <v>362</v>
      </c>
      <c r="C86" t="s">
        <v>11</v>
      </c>
      <c r="D86">
        <v>6.9768984680303653E-2</v>
      </c>
      <c r="E86" t="s">
        <v>6</v>
      </c>
      <c r="G86" t="s">
        <v>363</v>
      </c>
      <c r="H86" t="s">
        <v>11</v>
      </c>
      <c r="I86">
        <v>3.5258491839757322E-2</v>
      </c>
      <c r="J86" t="s">
        <v>6</v>
      </c>
    </row>
    <row r="87" spans="2:10" x14ac:dyDescent="0.45">
      <c r="B87" t="s">
        <v>362</v>
      </c>
      <c r="C87" t="s">
        <v>12</v>
      </c>
      <c r="D87">
        <v>3.8522860653460778E-2</v>
      </c>
      <c r="E87" t="s">
        <v>6</v>
      </c>
      <c r="G87" t="s">
        <v>363</v>
      </c>
      <c r="H87" t="s">
        <v>12</v>
      </c>
      <c r="I87">
        <v>3.6697258169586279E-2</v>
      </c>
      <c r="J87" t="s">
        <v>6</v>
      </c>
    </row>
    <row r="88" spans="2:10" x14ac:dyDescent="0.45">
      <c r="B88" t="s">
        <v>362</v>
      </c>
      <c r="C88" t="s">
        <v>13</v>
      </c>
      <c r="D88">
        <v>9.5982050591390702E-4</v>
      </c>
      <c r="E88" t="s">
        <v>6</v>
      </c>
      <c r="G88" t="s">
        <v>363</v>
      </c>
      <c r="H88" t="s">
        <v>13</v>
      </c>
      <c r="I88">
        <v>4.0145395674604657E-2</v>
      </c>
      <c r="J88" t="s">
        <v>6</v>
      </c>
    </row>
    <row r="89" spans="2:10" x14ac:dyDescent="0.45">
      <c r="B89" t="s">
        <v>362</v>
      </c>
      <c r="C89" t="s">
        <v>14</v>
      </c>
      <c r="D89">
        <v>6.6259858506549486E-6</v>
      </c>
      <c r="E89" t="s">
        <v>6</v>
      </c>
      <c r="G89" t="s">
        <v>363</v>
      </c>
      <c r="H89" t="s">
        <v>14</v>
      </c>
      <c r="I89">
        <v>8.3467525158190337E-2</v>
      </c>
      <c r="J89" t="s">
        <v>6</v>
      </c>
    </row>
    <row r="90" spans="2:10" x14ac:dyDescent="0.45">
      <c r="B90" t="s">
        <v>362</v>
      </c>
      <c r="C90" t="s">
        <v>15</v>
      </c>
      <c r="D90">
        <v>8.3448672375054517E-3</v>
      </c>
      <c r="E90" t="s">
        <v>6</v>
      </c>
      <c r="G90" t="s">
        <v>363</v>
      </c>
      <c r="H90" t="s">
        <v>15</v>
      </c>
      <c r="I90">
        <v>4.1855958733518411E-2</v>
      </c>
      <c r="J90" t="s">
        <v>6</v>
      </c>
    </row>
    <row r="91" spans="2:10" x14ac:dyDescent="0.45">
      <c r="B91" t="s">
        <v>362</v>
      </c>
      <c r="C91" t="s">
        <v>16</v>
      </c>
      <c r="D91">
        <v>7.389375959078523E-2</v>
      </c>
      <c r="E91" t="s">
        <v>6</v>
      </c>
      <c r="G91" t="s">
        <v>363</v>
      </c>
      <c r="H91" t="s">
        <v>16</v>
      </c>
      <c r="I91">
        <v>2.7530178271559572E-2</v>
      </c>
      <c r="J91" t="s">
        <v>6</v>
      </c>
    </row>
    <row r="92" spans="2:10" x14ac:dyDescent="0.45">
      <c r="B92" t="s">
        <v>362</v>
      </c>
      <c r="C92" t="s">
        <v>17</v>
      </c>
      <c r="D92">
        <v>0.11813142226243901</v>
      </c>
      <c r="E92" t="s">
        <v>6</v>
      </c>
      <c r="G92" t="s">
        <v>363</v>
      </c>
      <c r="H92" t="s">
        <v>17</v>
      </c>
      <c r="I92">
        <v>2.666095648629491E-2</v>
      </c>
      <c r="J92" t="s">
        <v>6</v>
      </c>
    </row>
    <row r="93" spans="2:10" x14ac:dyDescent="0.45">
      <c r="B93" t="s">
        <v>362</v>
      </c>
      <c r="C93" t="s">
        <v>18</v>
      </c>
      <c r="D93">
        <v>8.4842517912117069E-2</v>
      </c>
      <c r="E93" t="s">
        <v>6</v>
      </c>
      <c r="G93" t="s">
        <v>363</v>
      </c>
      <c r="H93" t="s">
        <v>18</v>
      </c>
      <c r="I93">
        <v>3.0136558210534251E-2</v>
      </c>
      <c r="J93" t="s">
        <v>6</v>
      </c>
    </row>
    <row r="94" spans="2:10" x14ac:dyDescent="0.45">
      <c r="B94" t="s">
        <v>362</v>
      </c>
      <c r="C94" t="s">
        <v>19</v>
      </c>
      <c r="D94">
        <v>1.643600109388809E-2</v>
      </c>
      <c r="E94" t="s">
        <v>6</v>
      </c>
      <c r="G94" t="s">
        <v>363</v>
      </c>
      <c r="H94" t="s">
        <v>19</v>
      </c>
      <c r="I94">
        <v>3.0615730139911517E-2</v>
      </c>
      <c r="J94" t="s">
        <v>6</v>
      </c>
    </row>
    <row r="95" spans="2:10" x14ac:dyDescent="0.45">
      <c r="B95" t="s">
        <v>362</v>
      </c>
      <c r="C95" t="s">
        <v>20</v>
      </c>
      <c r="D95">
        <v>1.749645057281567E-4</v>
      </c>
      <c r="E95" t="s">
        <v>6</v>
      </c>
      <c r="G95" t="s">
        <v>363</v>
      </c>
      <c r="H95" t="s">
        <v>20</v>
      </c>
      <c r="I95">
        <v>6.3187552609663897E-2</v>
      </c>
      <c r="J95" t="s">
        <v>6</v>
      </c>
    </row>
    <row r="96" spans="2:10" x14ac:dyDescent="0.45">
      <c r="B96" t="s">
        <v>362</v>
      </c>
      <c r="C96" t="s">
        <v>21</v>
      </c>
      <c r="D96">
        <v>1.3777779254881852E-2</v>
      </c>
      <c r="E96" t="s">
        <v>6</v>
      </c>
      <c r="G96" t="s">
        <v>363</v>
      </c>
      <c r="H96" t="s">
        <v>21</v>
      </c>
      <c r="I96">
        <v>2.7151668967448288E-2</v>
      </c>
      <c r="J96" t="s">
        <v>6</v>
      </c>
    </row>
    <row r="97" spans="2:10" x14ac:dyDescent="0.45">
      <c r="B97" t="s">
        <v>362</v>
      </c>
      <c r="C97" t="s">
        <v>22</v>
      </c>
      <c r="D97">
        <v>8.8279830694964895E-2</v>
      </c>
      <c r="E97" t="s">
        <v>6</v>
      </c>
      <c r="G97" t="s">
        <v>363</v>
      </c>
      <c r="H97" t="s">
        <v>22</v>
      </c>
      <c r="I97">
        <v>1.7026758357795081E-2</v>
      </c>
      <c r="J97" t="s">
        <v>6</v>
      </c>
    </row>
    <row r="98" spans="2:10" x14ac:dyDescent="0.45">
      <c r="B98" t="s">
        <v>362</v>
      </c>
      <c r="C98" t="s">
        <v>23</v>
      </c>
      <c r="D98">
        <v>0.13359803367957956</v>
      </c>
      <c r="E98" t="s">
        <v>6</v>
      </c>
      <c r="G98" t="s">
        <v>363</v>
      </c>
      <c r="H98" t="s">
        <v>23</v>
      </c>
      <c r="I98">
        <v>1.725588403914078E-2</v>
      </c>
      <c r="J98" t="s">
        <v>6</v>
      </c>
    </row>
    <row r="99" spans="2:10" x14ac:dyDescent="0.45">
      <c r="B99" t="s">
        <v>362</v>
      </c>
      <c r="C99" t="s">
        <v>24</v>
      </c>
      <c r="D99">
        <v>0.10488195722745737</v>
      </c>
      <c r="E99" t="s">
        <v>6</v>
      </c>
      <c r="G99" t="s">
        <v>363</v>
      </c>
      <c r="H99" t="s">
        <v>24</v>
      </c>
      <c r="I99">
        <v>1.8658788609910555E-2</v>
      </c>
      <c r="J99" t="s">
        <v>6</v>
      </c>
    </row>
    <row r="100" spans="2:10" x14ac:dyDescent="0.45">
      <c r="B100" t="s">
        <v>362</v>
      </c>
      <c r="C100" t="s">
        <v>25</v>
      </c>
      <c r="D100">
        <v>2.7869233294869879E-2</v>
      </c>
      <c r="E100" t="s">
        <v>6</v>
      </c>
      <c r="G100" t="s">
        <v>363</v>
      </c>
      <c r="H100" t="s">
        <v>25</v>
      </c>
      <c r="I100">
        <v>1.863793450182797E-2</v>
      </c>
      <c r="J100" t="s">
        <v>6</v>
      </c>
    </row>
    <row r="101" spans="2:10" x14ac:dyDescent="0.45">
      <c r="B101" t="s">
        <v>362</v>
      </c>
      <c r="C101" t="s">
        <v>26</v>
      </c>
      <c r="D101">
        <v>0</v>
      </c>
      <c r="E101" t="s">
        <v>6</v>
      </c>
      <c r="G101" t="s">
        <v>363</v>
      </c>
      <c r="H101" t="s">
        <v>26</v>
      </c>
      <c r="I101">
        <v>0.1025348169678731</v>
      </c>
      <c r="J101" t="s">
        <v>6</v>
      </c>
    </row>
    <row r="102" spans="2:10" x14ac:dyDescent="0.45">
      <c r="B102" t="s">
        <v>362</v>
      </c>
      <c r="C102" t="s">
        <v>27</v>
      </c>
      <c r="D102">
        <v>2.195513851951394E-3</v>
      </c>
      <c r="E102" t="s">
        <v>6</v>
      </c>
      <c r="G102" t="s">
        <v>363</v>
      </c>
      <c r="H102" t="s">
        <v>27</v>
      </c>
      <c r="I102">
        <v>4.7999335382591643E-2</v>
      </c>
      <c r="J102" t="s">
        <v>6</v>
      </c>
    </row>
    <row r="103" spans="2:10" x14ac:dyDescent="0.45">
      <c r="B103" t="s">
        <v>362</v>
      </c>
      <c r="C103" t="s">
        <v>28</v>
      </c>
      <c r="D103">
        <v>5.190799791228589E-2</v>
      </c>
      <c r="E103" t="s">
        <v>6</v>
      </c>
      <c r="G103" t="s">
        <v>363</v>
      </c>
      <c r="H103" t="s">
        <v>28</v>
      </c>
      <c r="I103">
        <v>3.2389301277879007E-2</v>
      </c>
      <c r="J103" t="s">
        <v>6</v>
      </c>
    </row>
    <row r="104" spans="2:10" x14ac:dyDescent="0.45">
      <c r="B104" t="s">
        <v>362</v>
      </c>
      <c r="C104" t="s">
        <v>29</v>
      </c>
      <c r="D104">
        <v>8.9127219070424799E-2</v>
      </c>
      <c r="E104" t="s">
        <v>6</v>
      </c>
      <c r="G104" t="s">
        <v>363</v>
      </c>
      <c r="H104" t="s">
        <v>29</v>
      </c>
      <c r="I104">
        <v>3.2118283875610783E-2</v>
      </c>
      <c r="J104" t="s">
        <v>6</v>
      </c>
    </row>
    <row r="105" spans="2:10" x14ac:dyDescent="0.45">
      <c r="B105" t="s">
        <v>362</v>
      </c>
      <c r="C105" t="s">
        <v>30</v>
      </c>
      <c r="D105">
        <v>4.9334574538695761E-2</v>
      </c>
      <c r="E105" t="s">
        <v>6</v>
      </c>
      <c r="G105" t="s">
        <v>363</v>
      </c>
      <c r="H105" t="s">
        <v>30</v>
      </c>
      <c r="I105">
        <v>3.4962496320627645E-2</v>
      </c>
      <c r="J105" t="s">
        <v>6</v>
      </c>
    </row>
    <row r="106" spans="2:10" x14ac:dyDescent="0.45">
      <c r="B106" t="s">
        <v>362</v>
      </c>
      <c r="C106" t="s">
        <v>31</v>
      </c>
      <c r="D106">
        <v>3.4519205506038791E-3</v>
      </c>
      <c r="E106" t="s">
        <v>6</v>
      </c>
      <c r="G106" t="s">
        <v>363</v>
      </c>
      <c r="H106" t="s">
        <v>31</v>
      </c>
      <c r="I106">
        <v>3.8803032619476027E-2</v>
      </c>
      <c r="J106" t="s">
        <v>6</v>
      </c>
    </row>
    <row r="107" spans="2:10" x14ac:dyDescent="0.45">
      <c r="B107" t="s">
        <v>364</v>
      </c>
      <c r="C107" t="s">
        <v>5</v>
      </c>
      <c r="D107">
        <v>0</v>
      </c>
      <c r="E107" t="s">
        <v>6</v>
      </c>
      <c r="G107" t="s">
        <v>365</v>
      </c>
      <c r="H107" t="s">
        <v>5</v>
      </c>
      <c r="I107">
        <v>0.1131091616665402</v>
      </c>
      <c r="J107" t="s">
        <v>6</v>
      </c>
    </row>
    <row r="108" spans="2:10" x14ac:dyDescent="0.45">
      <c r="B108" t="s">
        <v>364</v>
      </c>
      <c r="C108" t="s">
        <v>9</v>
      </c>
      <c r="D108">
        <v>0</v>
      </c>
      <c r="E108" t="s">
        <v>6</v>
      </c>
      <c r="G108" t="s">
        <v>365</v>
      </c>
      <c r="H108" t="s">
        <v>9</v>
      </c>
      <c r="I108">
        <v>5.6269411587539994E-2</v>
      </c>
      <c r="J108" t="s">
        <v>6</v>
      </c>
    </row>
    <row r="109" spans="2:10" x14ac:dyDescent="0.45">
      <c r="B109" t="s">
        <v>364</v>
      </c>
      <c r="C109" t="s">
        <v>10</v>
      </c>
      <c r="D109">
        <v>2.5448124708506499E-2</v>
      </c>
      <c r="E109" t="s">
        <v>6</v>
      </c>
      <c r="G109" t="s">
        <v>365</v>
      </c>
      <c r="H109" t="s">
        <v>10</v>
      </c>
      <c r="I109">
        <v>4.0493184244214261E-2</v>
      </c>
      <c r="J109" t="s">
        <v>6</v>
      </c>
    </row>
    <row r="110" spans="2:10" x14ac:dyDescent="0.45">
      <c r="B110" t="s">
        <v>364</v>
      </c>
      <c r="C110" t="s">
        <v>11</v>
      </c>
      <c r="D110">
        <v>6.9934525531123115E-2</v>
      </c>
      <c r="E110" t="s">
        <v>6</v>
      </c>
      <c r="G110" t="s">
        <v>365</v>
      </c>
      <c r="H110" t="s">
        <v>11</v>
      </c>
      <c r="I110">
        <v>3.693171934490188E-2</v>
      </c>
      <c r="J110" t="s">
        <v>6</v>
      </c>
    </row>
    <row r="111" spans="2:10" x14ac:dyDescent="0.45">
      <c r="B111" t="s">
        <v>364</v>
      </c>
      <c r="C111" t="s">
        <v>12</v>
      </c>
      <c r="D111">
        <v>3.761684030893072E-2</v>
      </c>
      <c r="E111" t="s">
        <v>6</v>
      </c>
      <c r="G111" t="s">
        <v>365</v>
      </c>
      <c r="H111" t="s">
        <v>12</v>
      </c>
      <c r="I111">
        <v>3.8082161905483795E-2</v>
      </c>
      <c r="J111" t="s">
        <v>6</v>
      </c>
    </row>
    <row r="112" spans="2:10" x14ac:dyDescent="0.45">
      <c r="B112" t="s">
        <v>364</v>
      </c>
      <c r="C112" t="s">
        <v>13</v>
      </c>
      <c r="D112">
        <v>8.2497433081759502E-4</v>
      </c>
      <c r="E112" t="s">
        <v>6</v>
      </c>
      <c r="G112" t="s">
        <v>365</v>
      </c>
      <c r="H112" t="s">
        <v>13</v>
      </c>
      <c r="I112">
        <v>4.0787702580773827E-2</v>
      </c>
      <c r="J112" t="s">
        <v>6</v>
      </c>
    </row>
    <row r="113" spans="2:10" x14ac:dyDescent="0.45">
      <c r="B113" t="s">
        <v>364</v>
      </c>
      <c r="C113" t="s">
        <v>14</v>
      </c>
      <c r="D113">
        <v>3.8494701581032098E-6</v>
      </c>
      <c r="E113" t="s">
        <v>6</v>
      </c>
      <c r="G113" t="s">
        <v>365</v>
      </c>
      <c r="H113" t="s">
        <v>14</v>
      </c>
      <c r="I113">
        <v>8.5687409621030955E-2</v>
      </c>
      <c r="J113" t="s">
        <v>6</v>
      </c>
    </row>
    <row r="114" spans="2:10" x14ac:dyDescent="0.45">
      <c r="B114" t="s">
        <v>364</v>
      </c>
      <c r="C114" t="s">
        <v>15</v>
      </c>
      <c r="D114">
        <v>9.0013749699195643E-3</v>
      </c>
      <c r="E114" t="s">
        <v>6</v>
      </c>
      <c r="G114" t="s">
        <v>365</v>
      </c>
      <c r="H114" t="s">
        <v>15</v>
      </c>
      <c r="I114">
        <v>4.0850171750954324E-2</v>
      </c>
      <c r="J114" t="s">
        <v>6</v>
      </c>
    </row>
    <row r="115" spans="2:10" x14ac:dyDescent="0.45">
      <c r="B115" t="s">
        <v>364</v>
      </c>
      <c r="C115" t="s">
        <v>16</v>
      </c>
      <c r="D115">
        <v>7.6312097422142594E-2</v>
      </c>
      <c r="E115" t="s">
        <v>6</v>
      </c>
      <c r="G115" t="s">
        <v>365</v>
      </c>
      <c r="H115" t="s">
        <v>16</v>
      </c>
      <c r="I115">
        <v>2.8332242799834907E-2</v>
      </c>
      <c r="J115" t="s">
        <v>6</v>
      </c>
    </row>
    <row r="116" spans="2:10" x14ac:dyDescent="0.45">
      <c r="B116" t="s">
        <v>364</v>
      </c>
      <c r="C116" t="s">
        <v>17</v>
      </c>
      <c r="D116">
        <v>0.11814527074310961</v>
      </c>
      <c r="E116" t="s">
        <v>6</v>
      </c>
      <c r="G116" t="s">
        <v>365</v>
      </c>
      <c r="H116" t="s">
        <v>17</v>
      </c>
      <c r="I116">
        <v>2.9034294166090293E-2</v>
      </c>
      <c r="J116" t="s">
        <v>6</v>
      </c>
    </row>
    <row r="117" spans="2:10" x14ac:dyDescent="0.45">
      <c r="B117" t="s">
        <v>364</v>
      </c>
      <c r="C117" t="s">
        <v>18</v>
      </c>
      <c r="D117">
        <v>8.2971166390856096E-2</v>
      </c>
      <c r="E117" t="s">
        <v>6</v>
      </c>
      <c r="G117" t="s">
        <v>365</v>
      </c>
      <c r="H117" t="s">
        <v>18</v>
      </c>
      <c r="I117">
        <v>3.0527119460757604E-2</v>
      </c>
      <c r="J117" t="s">
        <v>6</v>
      </c>
    </row>
    <row r="118" spans="2:10" x14ac:dyDescent="0.45">
      <c r="B118" t="s">
        <v>364</v>
      </c>
      <c r="C118" t="s">
        <v>19</v>
      </c>
      <c r="D118">
        <v>1.5456917948369401E-2</v>
      </c>
      <c r="E118" t="s">
        <v>6</v>
      </c>
      <c r="G118" t="s">
        <v>365</v>
      </c>
      <c r="H118" t="s">
        <v>19</v>
      </c>
      <c r="I118">
        <v>2.9566373960881905E-2</v>
      </c>
      <c r="J118" t="s">
        <v>6</v>
      </c>
    </row>
    <row r="119" spans="2:10" x14ac:dyDescent="0.45">
      <c r="B119" t="s">
        <v>364</v>
      </c>
      <c r="C119" t="s">
        <v>20</v>
      </c>
      <c r="D119">
        <v>1.4570696040518431E-4</v>
      </c>
      <c r="E119" t="s">
        <v>6</v>
      </c>
      <c r="G119" t="s">
        <v>365</v>
      </c>
      <c r="H119" t="s">
        <v>20</v>
      </c>
      <c r="I119">
        <v>6.3866434034809599E-2</v>
      </c>
      <c r="J119" t="s">
        <v>6</v>
      </c>
    </row>
    <row r="120" spans="2:10" x14ac:dyDescent="0.45">
      <c r="B120" t="s">
        <v>364</v>
      </c>
      <c r="C120" t="s">
        <v>21</v>
      </c>
      <c r="D120">
        <v>1.454754040909176E-2</v>
      </c>
      <c r="E120" t="s">
        <v>6</v>
      </c>
      <c r="G120" t="s">
        <v>365</v>
      </c>
      <c r="H120" t="s">
        <v>21</v>
      </c>
      <c r="I120">
        <v>2.6239011442749927E-2</v>
      </c>
      <c r="J120" t="s">
        <v>6</v>
      </c>
    </row>
    <row r="121" spans="2:10" x14ac:dyDescent="0.45">
      <c r="B121" t="s">
        <v>364</v>
      </c>
      <c r="C121" t="s">
        <v>22</v>
      </c>
      <c r="D121">
        <v>8.9675300346150844E-2</v>
      </c>
      <c r="E121" t="s">
        <v>6</v>
      </c>
      <c r="G121" t="s">
        <v>365</v>
      </c>
      <c r="H121" t="s">
        <v>22</v>
      </c>
      <c r="I121">
        <v>1.570558725094694E-2</v>
      </c>
      <c r="J121" t="s">
        <v>6</v>
      </c>
    </row>
    <row r="122" spans="2:10" x14ac:dyDescent="0.45">
      <c r="B122" t="s">
        <v>364</v>
      </c>
      <c r="C122" t="s">
        <v>23</v>
      </c>
      <c r="D122">
        <v>0.13361311133195208</v>
      </c>
      <c r="E122" t="s">
        <v>6</v>
      </c>
      <c r="G122" t="s">
        <v>365</v>
      </c>
      <c r="H122" t="s">
        <v>23</v>
      </c>
      <c r="I122">
        <v>1.661994994348048E-2</v>
      </c>
      <c r="J122" t="s">
        <v>6</v>
      </c>
    </row>
    <row r="123" spans="2:10" x14ac:dyDescent="0.45">
      <c r="B123" t="s">
        <v>364</v>
      </c>
      <c r="C123" t="s">
        <v>24</v>
      </c>
      <c r="D123">
        <v>0.10408419852811963</v>
      </c>
      <c r="E123" t="s">
        <v>6</v>
      </c>
      <c r="G123" t="s">
        <v>365</v>
      </c>
      <c r="H123" t="s">
        <v>24</v>
      </c>
      <c r="I123">
        <v>1.8769746480126918E-2</v>
      </c>
      <c r="J123" t="s">
        <v>6</v>
      </c>
    </row>
    <row r="124" spans="2:10" x14ac:dyDescent="0.45">
      <c r="B124" t="s">
        <v>364</v>
      </c>
      <c r="C124" t="s">
        <v>25</v>
      </c>
      <c r="D124">
        <v>2.7084879785722472E-2</v>
      </c>
      <c r="E124" t="s">
        <v>6</v>
      </c>
      <c r="G124" t="s">
        <v>365</v>
      </c>
      <c r="H124" t="s">
        <v>25</v>
      </c>
      <c r="I124">
        <v>1.8799733161192829E-2</v>
      </c>
      <c r="J124" t="s">
        <v>6</v>
      </c>
    </row>
    <row r="125" spans="2:10" x14ac:dyDescent="0.45">
      <c r="B125" t="s">
        <v>364</v>
      </c>
      <c r="C125" t="s">
        <v>26</v>
      </c>
      <c r="D125">
        <v>0</v>
      </c>
      <c r="E125" t="s">
        <v>6</v>
      </c>
      <c r="G125" t="s">
        <v>365</v>
      </c>
      <c r="H125" t="s">
        <v>26</v>
      </c>
      <c r="I125">
        <v>9.606127664579453E-2</v>
      </c>
      <c r="J125" t="s">
        <v>6</v>
      </c>
    </row>
    <row r="126" spans="2:10" x14ac:dyDescent="0.45">
      <c r="B126" t="s">
        <v>364</v>
      </c>
      <c r="C126" t="s">
        <v>27</v>
      </c>
      <c r="D126">
        <v>2.345300921503268E-3</v>
      </c>
      <c r="E126" t="s">
        <v>6</v>
      </c>
      <c r="G126" t="s">
        <v>365</v>
      </c>
      <c r="H126" t="s">
        <v>27</v>
      </c>
      <c r="I126">
        <v>4.4884105318387192E-2</v>
      </c>
      <c r="J126" t="s">
        <v>6</v>
      </c>
    </row>
    <row r="127" spans="2:10" x14ac:dyDescent="0.45">
      <c r="B127" t="s">
        <v>364</v>
      </c>
      <c r="C127" t="s">
        <v>28</v>
      </c>
      <c r="D127">
        <v>5.2554223435971631E-2</v>
      </c>
      <c r="E127" t="s">
        <v>6</v>
      </c>
      <c r="G127" t="s">
        <v>365</v>
      </c>
      <c r="H127" t="s">
        <v>28</v>
      </c>
      <c r="I127">
        <v>3.04922704950038E-2</v>
      </c>
      <c r="J127" t="s">
        <v>6</v>
      </c>
    </row>
    <row r="128" spans="2:10" x14ac:dyDescent="0.45">
      <c r="B128" t="s">
        <v>364</v>
      </c>
      <c r="C128" t="s">
        <v>29</v>
      </c>
      <c r="D128">
        <v>8.8963345844919134E-2</v>
      </c>
      <c r="E128" t="s">
        <v>6</v>
      </c>
      <c r="G128" t="s">
        <v>365</v>
      </c>
      <c r="H128" t="s">
        <v>29</v>
      </c>
      <c r="I128">
        <v>3.0746952313425786E-2</v>
      </c>
      <c r="J128" t="s">
        <v>6</v>
      </c>
    </row>
    <row r="129" spans="2:10" x14ac:dyDescent="0.45">
      <c r="B129" t="s">
        <v>364</v>
      </c>
      <c r="C129" t="s">
        <v>30</v>
      </c>
      <c r="D129">
        <v>4.8030939843421279E-2</v>
      </c>
      <c r="E129" t="s">
        <v>6</v>
      </c>
      <c r="G129" t="s">
        <v>365</v>
      </c>
      <c r="H129" t="s">
        <v>30</v>
      </c>
      <c r="I129">
        <v>3.1955451889603324E-2</v>
      </c>
      <c r="J129" t="s">
        <v>6</v>
      </c>
    </row>
    <row r="130" spans="2:10" x14ac:dyDescent="0.45">
      <c r="B130" t="s">
        <v>364</v>
      </c>
      <c r="C130" t="s">
        <v>31</v>
      </c>
      <c r="D130">
        <v>3.2403107688086571E-3</v>
      </c>
      <c r="E130" t="s">
        <v>6</v>
      </c>
      <c r="G130" t="s">
        <v>365</v>
      </c>
      <c r="H130" t="s">
        <v>31</v>
      </c>
      <c r="I130">
        <v>3.6188527935473815E-2</v>
      </c>
      <c r="J130" t="s">
        <v>6</v>
      </c>
    </row>
    <row r="131" spans="2:10" x14ac:dyDescent="0.45">
      <c r="B131" t="s">
        <v>366</v>
      </c>
      <c r="C131" t="s">
        <v>5</v>
      </c>
      <c r="D131">
        <v>0</v>
      </c>
      <c r="E131" t="s">
        <v>6</v>
      </c>
      <c r="G131" t="s">
        <v>367</v>
      </c>
      <c r="H131" t="s">
        <v>5</v>
      </c>
      <c r="I131">
        <v>0.11639077798556415</v>
      </c>
      <c r="J131" t="s">
        <v>6</v>
      </c>
    </row>
    <row r="132" spans="2:10" x14ac:dyDescent="0.45">
      <c r="B132" t="s">
        <v>366</v>
      </c>
      <c r="C132" t="s">
        <v>9</v>
      </c>
      <c r="D132">
        <v>0</v>
      </c>
      <c r="E132" t="s">
        <v>6</v>
      </c>
      <c r="G132" t="s">
        <v>367</v>
      </c>
      <c r="H132" t="s">
        <v>9</v>
      </c>
      <c r="I132">
        <v>5.8212487966903252E-2</v>
      </c>
      <c r="J132" t="s">
        <v>6</v>
      </c>
    </row>
    <row r="133" spans="2:10" x14ac:dyDescent="0.45">
      <c r="B133" t="s">
        <v>366</v>
      </c>
      <c r="C133" t="s">
        <v>10</v>
      </c>
      <c r="D133">
        <v>2.3071212733018993E-2</v>
      </c>
      <c r="E133" t="s">
        <v>6</v>
      </c>
      <c r="G133" t="s">
        <v>367</v>
      </c>
      <c r="H133" t="s">
        <v>10</v>
      </c>
      <c r="I133">
        <v>4.0843060604812902E-2</v>
      </c>
      <c r="J133" t="s">
        <v>6</v>
      </c>
    </row>
    <row r="134" spans="2:10" x14ac:dyDescent="0.45">
      <c r="B134" t="s">
        <v>366</v>
      </c>
      <c r="C134" t="s">
        <v>11</v>
      </c>
      <c r="D134">
        <v>6.4629670053462623E-2</v>
      </c>
      <c r="E134" t="s">
        <v>6</v>
      </c>
      <c r="G134" t="s">
        <v>367</v>
      </c>
      <c r="H134" t="s">
        <v>11</v>
      </c>
      <c r="I134">
        <v>3.7442162748259233E-2</v>
      </c>
      <c r="J134" t="s">
        <v>6</v>
      </c>
    </row>
    <row r="135" spans="2:10" x14ac:dyDescent="0.45">
      <c r="B135" t="s">
        <v>366</v>
      </c>
      <c r="C135" t="s">
        <v>12</v>
      </c>
      <c r="D135">
        <v>3.4118912566225588E-2</v>
      </c>
      <c r="E135" t="s">
        <v>6</v>
      </c>
      <c r="G135" t="s">
        <v>367</v>
      </c>
      <c r="H135" t="s">
        <v>12</v>
      </c>
      <c r="I135">
        <v>3.8630007437235089E-2</v>
      </c>
      <c r="J135" t="s">
        <v>6</v>
      </c>
    </row>
    <row r="136" spans="2:10" x14ac:dyDescent="0.45">
      <c r="B136" t="s">
        <v>366</v>
      </c>
      <c r="C136" t="s">
        <v>13</v>
      </c>
      <c r="D136">
        <v>7.3465394764607526E-4</v>
      </c>
      <c r="E136" t="s">
        <v>6</v>
      </c>
      <c r="G136" t="s">
        <v>367</v>
      </c>
      <c r="H136" t="s">
        <v>13</v>
      </c>
      <c r="I136">
        <v>4.1829628399300101E-2</v>
      </c>
      <c r="J136" t="s">
        <v>6</v>
      </c>
    </row>
    <row r="137" spans="2:10" x14ac:dyDescent="0.45">
      <c r="B137" t="s">
        <v>366</v>
      </c>
      <c r="C137" t="s">
        <v>14</v>
      </c>
      <c r="D137">
        <v>0</v>
      </c>
      <c r="E137" t="s">
        <v>6</v>
      </c>
      <c r="G137" t="s">
        <v>367</v>
      </c>
      <c r="H137" t="s">
        <v>14</v>
      </c>
      <c r="I137">
        <v>8.2943263540280657E-2</v>
      </c>
      <c r="J137" t="s">
        <v>6</v>
      </c>
    </row>
    <row r="138" spans="2:10" x14ac:dyDescent="0.45">
      <c r="B138" t="s">
        <v>366</v>
      </c>
      <c r="C138" t="s">
        <v>15</v>
      </c>
      <c r="D138">
        <v>1.0203076985715242E-2</v>
      </c>
      <c r="E138" t="s">
        <v>6</v>
      </c>
      <c r="G138" t="s">
        <v>367</v>
      </c>
      <c r="H138" t="s">
        <v>15</v>
      </c>
      <c r="I138">
        <v>3.9808144750699548E-2</v>
      </c>
      <c r="J138" t="s">
        <v>6</v>
      </c>
    </row>
    <row r="139" spans="2:10" x14ac:dyDescent="0.45">
      <c r="B139" t="s">
        <v>366</v>
      </c>
      <c r="C139" t="s">
        <v>16</v>
      </c>
      <c r="D139">
        <v>8.429647745415747E-2</v>
      </c>
      <c r="E139" t="s">
        <v>6</v>
      </c>
      <c r="G139" t="s">
        <v>367</v>
      </c>
      <c r="H139" t="s">
        <v>16</v>
      </c>
      <c r="I139">
        <v>2.6880297988082589E-2</v>
      </c>
      <c r="J139" t="s">
        <v>6</v>
      </c>
    </row>
    <row r="140" spans="2:10" x14ac:dyDescent="0.45">
      <c r="B140" t="s">
        <v>366</v>
      </c>
      <c r="C140" t="s">
        <v>17</v>
      </c>
      <c r="D140">
        <v>0.12272033206835348</v>
      </c>
      <c r="E140" t="s">
        <v>6</v>
      </c>
      <c r="G140" t="s">
        <v>367</v>
      </c>
      <c r="H140" t="s">
        <v>17</v>
      </c>
      <c r="I140">
        <v>2.7430187384073264E-2</v>
      </c>
      <c r="J140" t="s">
        <v>6</v>
      </c>
    </row>
    <row r="141" spans="2:10" x14ac:dyDescent="0.45">
      <c r="B141" t="s">
        <v>366</v>
      </c>
      <c r="C141" t="s">
        <v>18</v>
      </c>
      <c r="D141">
        <v>8.1743246994255753E-2</v>
      </c>
      <c r="E141" t="s">
        <v>6</v>
      </c>
      <c r="G141" t="s">
        <v>367</v>
      </c>
      <c r="H141" t="s">
        <v>18</v>
      </c>
      <c r="I141">
        <v>2.9399266788196404E-2</v>
      </c>
      <c r="J141" t="s">
        <v>6</v>
      </c>
    </row>
    <row r="142" spans="2:10" x14ac:dyDescent="0.45">
      <c r="B142" t="s">
        <v>366</v>
      </c>
      <c r="C142" t="s">
        <v>19</v>
      </c>
      <c r="D142">
        <v>1.3464998270986668E-2</v>
      </c>
      <c r="E142" t="s">
        <v>6</v>
      </c>
      <c r="G142" t="s">
        <v>367</v>
      </c>
      <c r="H142" t="s">
        <v>19</v>
      </c>
      <c r="I142">
        <v>2.9278701074242124E-2</v>
      </c>
      <c r="J142" t="s">
        <v>6</v>
      </c>
    </row>
    <row r="143" spans="2:10" x14ac:dyDescent="0.45">
      <c r="B143" t="s">
        <v>366</v>
      </c>
      <c r="C143" t="s">
        <v>20</v>
      </c>
      <c r="D143">
        <v>2.9547323113366301E-5</v>
      </c>
      <c r="E143" t="s">
        <v>6</v>
      </c>
      <c r="G143" t="s">
        <v>367</v>
      </c>
      <c r="H143" t="s">
        <v>20</v>
      </c>
      <c r="I143">
        <v>6.1460263330056143E-2</v>
      </c>
      <c r="J143" t="s">
        <v>6</v>
      </c>
    </row>
    <row r="144" spans="2:10" x14ac:dyDescent="0.45">
      <c r="B144" t="s">
        <v>366</v>
      </c>
      <c r="C144" t="s">
        <v>21</v>
      </c>
      <c r="D144">
        <v>1.7906991332490664E-2</v>
      </c>
      <c r="E144" t="s">
        <v>6</v>
      </c>
      <c r="G144" t="s">
        <v>367</v>
      </c>
      <c r="H144" t="s">
        <v>21</v>
      </c>
      <c r="I144">
        <v>2.6388657500794516E-2</v>
      </c>
      <c r="J144" t="s">
        <v>6</v>
      </c>
    </row>
    <row r="145" spans="2:10" x14ac:dyDescent="0.45">
      <c r="B145" t="s">
        <v>366</v>
      </c>
      <c r="C145" t="s">
        <v>22</v>
      </c>
      <c r="D145">
        <v>9.8880605263711271E-2</v>
      </c>
      <c r="E145" t="s">
        <v>6</v>
      </c>
      <c r="G145" t="s">
        <v>367</v>
      </c>
      <c r="H145" t="s">
        <v>22</v>
      </c>
      <c r="I145">
        <v>1.5597800819579323E-2</v>
      </c>
      <c r="J145" t="s">
        <v>6</v>
      </c>
    </row>
    <row r="146" spans="2:10" x14ac:dyDescent="0.45">
      <c r="B146" t="s">
        <v>366</v>
      </c>
      <c r="C146" t="s">
        <v>23</v>
      </c>
      <c r="D146">
        <v>0.14102610450288214</v>
      </c>
      <c r="E146" t="s">
        <v>6</v>
      </c>
      <c r="G146" t="s">
        <v>367</v>
      </c>
      <c r="H146" t="s">
        <v>23</v>
      </c>
      <c r="I146">
        <v>1.6389200545557817E-2</v>
      </c>
      <c r="J146" t="s">
        <v>6</v>
      </c>
    </row>
    <row r="147" spans="2:10" x14ac:dyDescent="0.45">
      <c r="B147" t="s">
        <v>366</v>
      </c>
      <c r="C147" t="s">
        <v>24</v>
      </c>
      <c r="D147">
        <v>0.10157613257683346</v>
      </c>
      <c r="E147" t="s">
        <v>6</v>
      </c>
      <c r="G147" t="s">
        <v>367</v>
      </c>
      <c r="H147" t="s">
        <v>24</v>
      </c>
      <c r="I147">
        <v>1.8462025320123612E-2</v>
      </c>
      <c r="J147" t="s">
        <v>6</v>
      </c>
    </row>
    <row r="148" spans="2:10" x14ac:dyDescent="0.45">
      <c r="B148" t="s">
        <v>366</v>
      </c>
      <c r="C148" t="s">
        <v>25</v>
      </c>
      <c r="D148">
        <v>2.3595344954158472E-2</v>
      </c>
      <c r="E148" t="s">
        <v>6</v>
      </c>
      <c r="G148" t="s">
        <v>367</v>
      </c>
      <c r="H148" t="s">
        <v>25</v>
      </c>
      <c r="I148">
        <v>1.7746783589127433E-2</v>
      </c>
      <c r="J148" t="s">
        <v>6</v>
      </c>
    </row>
    <row r="149" spans="2:10" x14ac:dyDescent="0.45">
      <c r="B149" t="s">
        <v>366</v>
      </c>
      <c r="C149" t="s">
        <v>26</v>
      </c>
      <c r="D149">
        <v>0</v>
      </c>
      <c r="E149" t="s">
        <v>6</v>
      </c>
      <c r="G149" t="s">
        <v>367</v>
      </c>
      <c r="H149" t="s">
        <v>26</v>
      </c>
      <c r="I149">
        <v>9.9592153425616586E-2</v>
      </c>
      <c r="J149" t="s">
        <v>6</v>
      </c>
    </row>
    <row r="150" spans="2:10" x14ac:dyDescent="0.45">
      <c r="B150" t="s">
        <v>366</v>
      </c>
      <c r="C150" t="s">
        <v>27</v>
      </c>
      <c r="D150">
        <v>2.6561964401813371E-3</v>
      </c>
      <c r="E150" t="s">
        <v>6</v>
      </c>
      <c r="G150" t="s">
        <v>367</v>
      </c>
      <c r="H150" t="s">
        <v>27</v>
      </c>
      <c r="I150">
        <v>4.6537423123727738E-2</v>
      </c>
      <c r="J150" t="s">
        <v>6</v>
      </c>
    </row>
    <row r="151" spans="2:10" x14ac:dyDescent="0.45">
      <c r="B151" t="s">
        <v>366</v>
      </c>
      <c r="C151" t="s">
        <v>28</v>
      </c>
      <c r="D151">
        <v>4.8698366389277797E-2</v>
      </c>
      <c r="E151" t="s">
        <v>6</v>
      </c>
      <c r="G151" t="s">
        <v>367</v>
      </c>
      <c r="H151" t="s">
        <v>28</v>
      </c>
      <c r="I151">
        <v>3.0979748082237656E-2</v>
      </c>
      <c r="J151" t="s">
        <v>6</v>
      </c>
    </row>
    <row r="152" spans="2:10" x14ac:dyDescent="0.45">
      <c r="B152" t="s">
        <v>366</v>
      </c>
      <c r="C152" t="s">
        <v>29</v>
      </c>
      <c r="D152">
        <v>8.1795657145628226E-2</v>
      </c>
      <c r="E152" t="s">
        <v>6</v>
      </c>
      <c r="G152" t="s">
        <v>367</v>
      </c>
      <c r="H152" t="s">
        <v>29</v>
      </c>
      <c r="I152">
        <v>3.0909238684618184E-2</v>
      </c>
      <c r="J152" t="s">
        <v>6</v>
      </c>
    </row>
    <row r="153" spans="2:10" x14ac:dyDescent="0.45">
      <c r="B153" t="s">
        <v>366</v>
      </c>
      <c r="C153" t="s">
        <v>30</v>
      </c>
      <c r="D153">
        <v>4.6195583716593935E-2</v>
      </c>
      <c r="E153" t="s">
        <v>6</v>
      </c>
      <c r="G153" t="s">
        <v>367</v>
      </c>
      <c r="H153" t="s">
        <v>30</v>
      </c>
      <c r="I153">
        <v>3.1736701902609341E-2</v>
      </c>
      <c r="J153" t="s">
        <v>6</v>
      </c>
    </row>
    <row r="154" spans="2:10" x14ac:dyDescent="0.45">
      <c r="B154" t="s">
        <v>366</v>
      </c>
      <c r="C154" t="s">
        <v>31</v>
      </c>
      <c r="D154">
        <v>2.6568892813066138E-3</v>
      </c>
      <c r="E154" t="s">
        <v>6</v>
      </c>
      <c r="G154" t="s">
        <v>367</v>
      </c>
      <c r="H154" t="s">
        <v>31</v>
      </c>
      <c r="I154">
        <v>3.5112017008302361E-2</v>
      </c>
      <c r="J154" t="s">
        <v>6</v>
      </c>
    </row>
    <row r="155" spans="2:10" x14ac:dyDescent="0.45">
      <c r="B155" t="s">
        <v>368</v>
      </c>
      <c r="C155" t="s">
        <v>5</v>
      </c>
      <c r="D155">
        <v>0</v>
      </c>
      <c r="E155" t="s">
        <v>6</v>
      </c>
      <c r="G155" t="s">
        <v>369</v>
      </c>
      <c r="H155" t="s">
        <v>5</v>
      </c>
      <c r="I155">
        <v>0.1124803147206921</v>
      </c>
      <c r="J155" t="s">
        <v>6</v>
      </c>
    </row>
    <row r="156" spans="2:10" x14ac:dyDescent="0.45">
      <c r="B156" t="s">
        <v>368</v>
      </c>
      <c r="C156" t="s">
        <v>9</v>
      </c>
      <c r="D156">
        <v>0</v>
      </c>
      <c r="E156" t="s">
        <v>6</v>
      </c>
      <c r="G156" t="s">
        <v>369</v>
      </c>
      <c r="H156" t="s">
        <v>9</v>
      </c>
      <c r="I156">
        <v>5.505157424730129E-2</v>
      </c>
      <c r="J156" t="s">
        <v>6</v>
      </c>
    </row>
    <row r="157" spans="2:10" x14ac:dyDescent="0.45">
      <c r="B157" t="s">
        <v>368</v>
      </c>
      <c r="C157" t="s">
        <v>10</v>
      </c>
      <c r="D157">
        <v>2.3237019337243373E-2</v>
      </c>
      <c r="E157" t="s">
        <v>6</v>
      </c>
      <c r="G157" t="s">
        <v>369</v>
      </c>
      <c r="H157" t="s">
        <v>10</v>
      </c>
      <c r="I157">
        <v>3.7931904123380565E-2</v>
      </c>
      <c r="J157" t="s">
        <v>6</v>
      </c>
    </row>
    <row r="158" spans="2:10" x14ac:dyDescent="0.45">
      <c r="B158" t="s">
        <v>368</v>
      </c>
      <c r="C158" t="s">
        <v>11</v>
      </c>
      <c r="D158">
        <v>6.525128253636428E-2</v>
      </c>
      <c r="E158" t="s">
        <v>6</v>
      </c>
      <c r="G158" t="s">
        <v>369</v>
      </c>
      <c r="H158" t="s">
        <v>11</v>
      </c>
      <c r="I158">
        <v>3.7091019336290762E-2</v>
      </c>
      <c r="J158" t="s">
        <v>6</v>
      </c>
    </row>
    <row r="159" spans="2:10" x14ac:dyDescent="0.45">
      <c r="B159" t="s">
        <v>368</v>
      </c>
      <c r="C159" t="s">
        <v>12</v>
      </c>
      <c r="D159">
        <v>3.4676793954759914E-2</v>
      </c>
      <c r="E159" t="s">
        <v>6</v>
      </c>
      <c r="G159" t="s">
        <v>369</v>
      </c>
      <c r="H159" t="s">
        <v>12</v>
      </c>
      <c r="I159">
        <v>3.7813833460169449E-2</v>
      </c>
      <c r="J159" t="s">
        <v>6</v>
      </c>
    </row>
    <row r="160" spans="2:10" x14ac:dyDescent="0.45">
      <c r="B160" t="s">
        <v>368</v>
      </c>
      <c r="C160" t="s">
        <v>13</v>
      </c>
      <c r="D160">
        <v>6.6732893424343014E-4</v>
      </c>
      <c r="E160" t="s">
        <v>6</v>
      </c>
      <c r="G160" t="s">
        <v>369</v>
      </c>
      <c r="H160" t="s">
        <v>13</v>
      </c>
      <c r="I160">
        <v>4.0830024693032291E-2</v>
      </c>
      <c r="J160" t="s">
        <v>6</v>
      </c>
    </row>
    <row r="161" spans="2:10" x14ac:dyDescent="0.45">
      <c r="B161" t="s">
        <v>368</v>
      </c>
      <c r="C161" t="s">
        <v>14</v>
      </c>
      <c r="D161">
        <v>0</v>
      </c>
      <c r="E161" t="s">
        <v>6</v>
      </c>
      <c r="G161" t="s">
        <v>369</v>
      </c>
      <c r="H161" t="s">
        <v>14</v>
      </c>
      <c r="I161">
        <v>8.1022000822787946E-2</v>
      </c>
      <c r="J161" t="s">
        <v>6</v>
      </c>
    </row>
    <row r="162" spans="2:10" x14ac:dyDescent="0.45">
      <c r="B162" t="s">
        <v>368</v>
      </c>
      <c r="C162" t="s">
        <v>15</v>
      </c>
      <c r="D162">
        <v>9.5399912359569669E-3</v>
      </c>
      <c r="E162" t="s">
        <v>6</v>
      </c>
      <c r="G162" t="s">
        <v>369</v>
      </c>
      <c r="H162" t="s">
        <v>15</v>
      </c>
      <c r="I162">
        <v>4.0987167558603016E-2</v>
      </c>
      <c r="J162" t="s">
        <v>6</v>
      </c>
    </row>
    <row r="163" spans="2:10" x14ac:dyDescent="0.45">
      <c r="B163" t="s">
        <v>368</v>
      </c>
      <c r="C163" t="s">
        <v>16</v>
      </c>
      <c r="D163">
        <v>8.1295512476053391E-2</v>
      </c>
      <c r="E163" t="s">
        <v>6</v>
      </c>
      <c r="G163" t="s">
        <v>369</v>
      </c>
      <c r="H163" t="s">
        <v>16</v>
      </c>
      <c r="I163">
        <v>2.6933670845602456E-2</v>
      </c>
      <c r="J163" t="s">
        <v>6</v>
      </c>
    </row>
    <row r="164" spans="2:10" x14ac:dyDescent="0.45">
      <c r="B164" t="s">
        <v>368</v>
      </c>
      <c r="C164" t="s">
        <v>17</v>
      </c>
      <c r="D164">
        <v>0.12046316311786635</v>
      </c>
      <c r="E164" t="s">
        <v>6</v>
      </c>
      <c r="G164" t="s">
        <v>369</v>
      </c>
      <c r="H164" t="s">
        <v>17</v>
      </c>
      <c r="I164">
        <v>2.6147314228483692E-2</v>
      </c>
      <c r="J164" t="s">
        <v>6</v>
      </c>
    </row>
    <row r="165" spans="2:10" x14ac:dyDescent="0.45">
      <c r="B165" t="s">
        <v>368</v>
      </c>
      <c r="C165" t="s">
        <v>18</v>
      </c>
      <c r="D165">
        <v>8.2224091097463647E-2</v>
      </c>
      <c r="E165" t="s">
        <v>6</v>
      </c>
      <c r="G165" t="s">
        <v>369</v>
      </c>
      <c r="H165" t="s">
        <v>18</v>
      </c>
      <c r="I165">
        <v>2.8951265387290735E-2</v>
      </c>
      <c r="J165" t="s">
        <v>6</v>
      </c>
    </row>
    <row r="166" spans="2:10" x14ac:dyDescent="0.45">
      <c r="B166" t="s">
        <v>368</v>
      </c>
      <c r="C166" t="s">
        <v>19</v>
      </c>
      <c r="D166">
        <v>1.3934013835206227E-2</v>
      </c>
      <c r="E166" t="s">
        <v>6</v>
      </c>
      <c r="G166" t="s">
        <v>369</v>
      </c>
      <c r="H166" t="s">
        <v>19</v>
      </c>
      <c r="I166">
        <v>2.9572253515540572E-2</v>
      </c>
      <c r="J166" t="s">
        <v>6</v>
      </c>
    </row>
    <row r="167" spans="2:10" x14ac:dyDescent="0.45">
      <c r="B167" t="s">
        <v>368</v>
      </c>
      <c r="C167" t="s">
        <v>20</v>
      </c>
      <c r="D167">
        <v>4.9624543247063366E-5</v>
      </c>
      <c r="E167" t="s">
        <v>6</v>
      </c>
      <c r="G167" t="s">
        <v>369</v>
      </c>
      <c r="H167" t="s">
        <v>20</v>
      </c>
      <c r="I167">
        <v>5.9382505786742354E-2</v>
      </c>
      <c r="J167" t="s">
        <v>6</v>
      </c>
    </row>
    <row r="168" spans="2:10" x14ac:dyDescent="0.45">
      <c r="B168" t="s">
        <v>368</v>
      </c>
      <c r="C168" t="s">
        <v>21</v>
      </c>
      <c r="D168">
        <v>1.6918405399855448E-2</v>
      </c>
      <c r="E168" t="s">
        <v>6</v>
      </c>
      <c r="G168" t="s">
        <v>369</v>
      </c>
      <c r="H168" t="s">
        <v>21</v>
      </c>
      <c r="I168">
        <v>2.6920095976742667E-2</v>
      </c>
      <c r="J168" t="s">
        <v>6</v>
      </c>
    </row>
    <row r="169" spans="2:10" x14ac:dyDescent="0.45">
      <c r="B169" t="s">
        <v>368</v>
      </c>
      <c r="C169" t="s">
        <v>22</v>
      </c>
      <c r="D169">
        <v>9.7142981339512574E-2</v>
      </c>
      <c r="E169" t="s">
        <v>6</v>
      </c>
      <c r="G169" t="s">
        <v>369</v>
      </c>
      <c r="H169" t="s">
        <v>22</v>
      </c>
      <c r="I169">
        <v>1.7184293484878811E-2</v>
      </c>
      <c r="J169" t="s">
        <v>6</v>
      </c>
    </row>
    <row r="170" spans="2:10" x14ac:dyDescent="0.45">
      <c r="B170" t="s">
        <v>368</v>
      </c>
      <c r="C170" t="s">
        <v>23</v>
      </c>
      <c r="D170">
        <v>0.14104312200366886</v>
      </c>
      <c r="E170" t="s">
        <v>6</v>
      </c>
      <c r="G170" t="s">
        <v>369</v>
      </c>
      <c r="H170" t="s">
        <v>23</v>
      </c>
      <c r="I170">
        <v>1.6919310719416093E-2</v>
      </c>
      <c r="J170" t="s">
        <v>6</v>
      </c>
    </row>
    <row r="171" spans="2:10" x14ac:dyDescent="0.45">
      <c r="B171" t="s">
        <v>368</v>
      </c>
      <c r="C171" t="s">
        <v>24</v>
      </c>
      <c r="D171">
        <v>0.10277580952321277</v>
      </c>
      <c r="E171" t="s">
        <v>6</v>
      </c>
      <c r="G171" t="s">
        <v>369</v>
      </c>
      <c r="H171" t="s">
        <v>24</v>
      </c>
      <c r="I171">
        <v>1.8575775128814937E-2</v>
      </c>
      <c r="J171" t="s">
        <v>6</v>
      </c>
    </row>
    <row r="172" spans="2:10" x14ac:dyDescent="0.45">
      <c r="B172" t="s">
        <v>368</v>
      </c>
      <c r="C172" t="s">
        <v>25</v>
      </c>
      <c r="D172">
        <v>2.479696698795587E-2</v>
      </c>
      <c r="E172" t="s">
        <v>6</v>
      </c>
      <c r="G172" t="s">
        <v>369</v>
      </c>
      <c r="H172" t="s">
        <v>25</v>
      </c>
      <c r="I172">
        <v>1.846720068115074E-2</v>
      </c>
      <c r="J172" t="s">
        <v>6</v>
      </c>
    </row>
    <row r="173" spans="2:10" x14ac:dyDescent="0.45">
      <c r="B173" t="s">
        <v>368</v>
      </c>
      <c r="C173" t="s">
        <v>26</v>
      </c>
      <c r="D173">
        <v>0</v>
      </c>
      <c r="E173" t="s">
        <v>6</v>
      </c>
      <c r="G173" t="s">
        <v>369</v>
      </c>
      <c r="H173" t="s">
        <v>26</v>
      </c>
      <c r="I173">
        <v>0.10224580192913754</v>
      </c>
      <c r="J173" t="s">
        <v>6</v>
      </c>
    </row>
    <row r="174" spans="2:10" x14ac:dyDescent="0.45">
      <c r="B174" t="s">
        <v>368</v>
      </c>
      <c r="C174" t="s">
        <v>27</v>
      </c>
      <c r="D174">
        <v>2.6669207858316542E-3</v>
      </c>
      <c r="E174" t="s">
        <v>6</v>
      </c>
      <c r="G174" t="s">
        <v>369</v>
      </c>
      <c r="H174" t="s">
        <v>27</v>
      </c>
      <c r="I174">
        <v>4.7509478525259857E-2</v>
      </c>
      <c r="J174" t="s">
        <v>6</v>
      </c>
    </row>
    <row r="175" spans="2:10" x14ac:dyDescent="0.45">
      <c r="B175" t="s">
        <v>368</v>
      </c>
      <c r="C175" t="s">
        <v>28</v>
      </c>
      <c r="D175">
        <v>4.9877380968596868E-2</v>
      </c>
      <c r="E175" t="s">
        <v>6</v>
      </c>
      <c r="G175" t="s">
        <v>369</v>
      </c>
      <c r="H175" t="s">
        <v>28</v>
      </c>
      <c r="I175">
        <v>3.2819359024162553E-2</v>
      </c>
      <c r="J175" t="s">
        <v>6</v>
      </c>
    </row>
    <row r="176" spans="2:10" x14ac:dyDescent="0.45">
      <c r="B176" t="s">
        <v>368</v>
      </c>
      <c r="C176" t="s">
        <v>29</v>
      </c>
      <c r="D176">
        <v>8.382262762360386E-2</v>
      </c>
      <c r="E176" t="s">
        <v>6</v>
      </c>
      <c r="G176" t="s">
        <v>369</v>
      </c>
      <c r="H176" t="s">
        <v>29</v>
      </c>
      <c r="I176">
        <v>3.2692368942946567E-2</v>
      </c>
      <c r="J176" t="s">
        <v>6</v>
      </c>
    </row>
    <row r="177" spans="2:10" x14ac:dyDescent="0.45">
      <c r="B177" t="s">
        <v>368</v>
      </c>
      <c r="C177" t="s">
        <v>30</v>
      </c>
      <c r="D177">
        <v>4.6806926054271426E-2</v>
      </c>
      <c r="E177" t="s">
        <v>6</v>
      </c>
      <c r="G177" t="s">
        <v>369</v>
      </c>
      <c r="H177" t="s">
        <v>30</v>
      </c>
      <c r="I177">
        <v>3.4379681729505319E-2</v>
      </c>
      <c r="J177" t="s">
        <v>6</v>
      </c>
    </row>
    <row r="178" spans="2:10" x14ac:dyDescent="0.45">
      <c r="B178" t="s">
        <v>368</v>
      </c>
      <c r="C178" t="s">
        <v>31</v>
      </c>
      <c r="D178">
        <v>2.810038245083623E-3</v>
      </c>
      <c r="E178" t="s">
        <v>6</v>
      </c>
      <c r="G178" t="s">
        <v>369</v>
      </c>
      <c r="H178" t="s">
        <v>31</v>
      </c>
      <c r="I178">
        <v>3.8091785132069324E-2</v>
      </c>
      <c r="J178" t="s">
        <v>6</v>
      </c>
    </row>
    <row r="179" spans="2:10" x14ac:dyDescent="0.45">
      <c r="B179" t="s">
        <v>370</v>
      </c>
      <c r="C179" t="s">
        <v>5</v>
      </c>
      <c r="D179">
        <v>0</v>
      </c>
      <c r="E179" t="s">
        <v>6</v>
      </c>
      <c r="G179" t="s">
        <v>371</v>
      </c>
      <c r="H179" t="s">
        <v>5</v>
      </c>
      <c r="I179">
        <v>0.11560967891736856</v>
      </c>
      <c r="J179" t="s">
        <v>6</v>
      </c>
    </row>
    <row r="180" spans="2:10" x14ac:dyDescent="0.45">
      <c r="B180" t="s">
        <v>370</v>
      </c>
      <c r="C180" t="s">
        <v>9</v>
      </c>
      <c r="D180">
        <v>0</v>
      </c>
      <c r="E180" t="s">
        <v>6</v>
      </c>
      <c r="G180" t="s">
        <v>371</v>
      </c>
      <c r="H180" t="s">
        <v>9</v>
      </c>
      <c r="I180">
        <v>5.7435005880242043E-2</v>
      </c>
      <c r="J180" t="s">
        <v>6</v>
      </c>
    </row>
    <row r="181" spans="2:10" x14ac:dyDescent="0.45">
      <c r="B181" t="s">
        <v>370</v>
      </c>
      <c r="C181" t="s">
        <v>10</v>
      </c>
      <c r="D181">
        <v>2.3488427505850073E-2</v>
      </c>
      <c r="E181" t="s">
        <v>6</v>
      </c>
      <c r="G181" t="s">
        <v>371</v>
      </c>
      <c r="H181" t="s">
        <v>10</v>
      </c>
      <c r="I181">
        <v>3.9751883011348327E-2</v>
      </c>
      <c r="J181" t="s">
        <v>6</v>
      </c>
    </row>
    <row r="182" spans="2:10" x14ac:dyDescent="0.45">
      <c r="B182" t="s">
        <v>370</v>
      </c>
      <c r="C182" t="s">
        <v>11</v>
      </c>
      <c r="D182">
        <v>6.6693457283240942E-2</v>
      </c>
      <c r="E182" t="s">
        <v>6</v>
      </c>
      <c r="G182" t="s">
        <v>371</v>
      </c>
      <c r="H182" t="s">
        <v>11</v>
      </c>
      <c r="I182">
        <v>3.7896815609605762E-2</v>
      </c>
      <c r="J182" t="s">
        <v>6</v>
      </c>
    </row>
    <row r="183" spans="2:10" x14ac:dyDescent="0.45">
      <c r="B183" t="s">
        <v>370</v>
      </c>
      <c r="C183" t="s">
        <v>12</v>
      </c>
      <c r="D183">
        <v>3.3379671715305065E-2</v>
      </c>
      <c r="E183" t="s">
        <v>6</v>
      </c>
      <c r="G183" t="s">
        <v>371</v>
      </c>
      <c r="H183" t="s">
        <v>12</v>
      </c>
      <c r="I183">
        <v>3.8715731460399486E-2</v>
      </c>
      <c r="J183" t="s">
        <v>6</v>
      </c>
    </row>
    <row r="184" spans="2:10" x14ac:dyDescent="0.45">
      <c r="B184" t="s">
        <v>370</v>
      </c>
      <c r="C184" t="s">
        <v>13</v>
      </c>
      <c r="D184">
        <v>5.3252444163692694E-4</v>
      </c>
      <c r="E184" t="s">
        <v>6</v>
      </c>
      <c r="G184" t="s">
        <v>371</v>
      </c>
      <c r="H184" t="s">
        <v>13</v>
      </c>
      <c r="I184">
        <v>4.1393474871808118E-2</v>
      </c>
      <c r="J184" t="s">
        <v>6</v>
      </c>
    </row>
    <row r="185" spans="2:10" x14ac:dyDescent="0.45">
      <c r="B185" t="s">
        <v>370</v>
      </c>
      <c r="C185" t="s">
        <v>14</v>
      </c>
      <c r="D185">
        <v>0</v>
      </c>
      <c r="E185" t="s">
        <v>6</v>
      </c>
      <c r="G185" t="s">
        <v>371</v>
      </c>
      <c r="H185" t="s">
        <v>14</v>
      </c>
      <c r="I185">
        <v>8.1159349906953601E-2</v>
      </c>
      <c r="J185" t="s">
        <v>6</v>
      </c>
    </row>
    <row r="186" spans="2:10" x14ac:dyDescent="0.45">
      <c r="B186" t="s">
        <v>370</v>
      </c>
      <c r="C186" t="s">
        <v>15</v>
      </c>
      <c r="D186">
        <v>1.0407644211550686E-2</v>
      </c>
      <c r="E186" t="s">
        <v>6</v>
      </c>
      <c r="G186" t="s">
        <v>371</v>
      </c>
      <c r="H186" t="s">
        <v>15</v>
      </c>
      <c r="I186">
        <v>4.0498764987297479E-2</v>
      </c>
      <c r="J186" t="s">
        <v>6</v>
      </c>
    </row>
    <row r="187" spans="2:10" x14ac:dyDescent="0.45">
      <c r="B187" t="s">
        <v>370</v>
      </c>
      <c r="C187" t="s">
        <v>16</v>
      </c>
      <c r="D187">
        <v>8.351744097085588E-2</v>
      </c>
      <c r="E187" t="s">
        <v>6</v>
      </c>
      <c r="G187" t="s">
        <v>371</v>
      </c>
      <c r="H187" t="s">
        <v>16</v>
      </c>
      <c r="I187">
        <v>2.6354922664809089E-2</v>
      </c>
      <c r="J187" t="s">
        <v>6</v>
      </c>
    </row>
    <row r="188" spans="2:10" x14ac:dyDescent="0.45">
      <c r="B188" t="s">
        <v>370</v>
      </c>
      <c r="C188" t="s">
        <v>17</v>
      </c>
      <c r="D188">
        <v>0.12219844005412615</v>
      </c>
      <c r="E188" t="s">
        <v>6</v>
      </c>
      <c r="G188" t="s">
        <v>371</v>
      </c>
      <c r="H188" t="s">
        <v>17</v>
      </c>
      <c r="I188">
        <v>2.5911778708554267E-2</v>
      </c>
      <c r="J188" t="s">
        <v>6</v>
      </c>
    </row>
    <row r="189" spans="2:10" x14ac:dyDescent="0.45">
      <c r="B189" t="s">
        <v>370</v>
      </c>
      <c r="C189" t="s">
        <v>18</v>
      </c>
      <c r="D189">
        <v>8.1496601784506809E-2</v>
      </c>
      <c r="E189" t="s">
        <v>6</v>
      </c>
      <c r="G189" t="s">
        <v>371</v>
      </c>
      <c r="H189" t="s">
        <v>18</v>
      </c>
      <c r="I189">
        <v>2.8470375281556867E-2</v>
      </c>
      <c r="J189" t="s">
        <v>6</v>
      </c>
    </row>
    <row r="190" spans="2:10" x14ac:dyDescent="0.45">
      <c r="B190" t="s">
        <v>370</v>
      </c>
      <c r="C190" t="s">
        <v>19</v>
      </c>
      <c r="D190">
        <v>1.3887764289809073E-2</v>
      </c>
      <c r="E190" t="s">
        <v>6</v>
      </c>
      <c r="G190" t="s">
        <v>371</v>
      </c>
      <c r="H190" t="s">
        <v>19</v>
      </c>
      <c r="I190">
        <v>2.8680755748471794E-2</v>
      </c>
      <c r="J190" t="s">
        <v>6</v>
      </c>
    </row>
    <row r="191" spans="2:10" x14ac:dyDescent="0.45">
      <c r="B191" t="s">
        <v>370</v>
      </c>
      <c r="C191" t="s">
        <v>20</v>
      </c>
      <c r="D191">
        <v>6.5396028476114704E-5</v>
      </c>
      <c r="E191" t="s">
        <v>6</v>
      </c>
      <c r="G191" t="s">
        <v>371</v>
      </c>
      <c r="H191" t="s">
        <v>20</v>
      </c>
      <c r="I191">
        <v>5.8512305865624017E-2</v>
      </c>
      <c r="J191" t="s">
        <v>6</v>
      </c>
    </row>
    <row r="192" spans="2:10" x14ac:dyDescent="0.45">
      <c r="B192" t="s">
        <v>370</v>
      </c>
      <c r="C192" t="s">
        <v>21</v>
      </c>
      <c r="D192">
        <v>1.6989773384075028E-2</v>
      </c>
      <c r="E192" t="s">
        <v>6</v>
      </c>
      <c r="G192" t="s">
        <v>371</v>
      </c>
      <c r="H192" t="s">
        <v>21</v>
      </c>
      <c r="I192">
        <v>2.6577639931432657E-2</v>
      </c>
      <c r="J192" t="s">
        <v>6</v>
      </c>
    </row>
    <row r="193" spans="2:10" x14ac:dyDescent="0.45">
      <c r="B193" t="s">
        <v>370</v>
      </c>
      <c r="C193" t="s">
        <v>22</v>
      </c>
      <c r="D193">
        <v>9.3829373732328802E-2</v>
      </c>
      <c r="E193" t="s">
        <v>6</v>
      </c>
      <c r="G193" t="s">
        <v>371</v>
      </c>
      <c r="H193" t="s">
        <v>22</v>
      </c>
      <c r="I193">
        <v>1.6544424432598008E-2</v>
      </c>
      <c r="J193" t="s">
        <v>6</v>
      </c>
    </row>
    <row r="194" spans="2:10" x14ac:dyDescent="0.45">
      <c r="B194" t="s">
        <v>370</v>
      </c>
      <c r="C194" t="s">
        <v>23</v>
      </c>
      <c r="D194">
        <v>0.13740512093250526</v>
      </c>
      <c r="E194" t="s">
        <v>6</v>
      </c>
      <c r="G194" t="s">
        <v>371</v>
      </c>
      <c r="H194" t="s">
        <v>23</v>
      </c>
      <c r="I194">
        <v>1.6295036531836501E-2</v>
      </c>
      <c r="J194" t="s">
        <v>6</v>
      </c>
    </row>
    <row r="195" spans="2:10" x14ac:dyDescent="0.45">
      <c r="B195" t="s">
        <v>370</v>
      </c>
      <c r="C195" t="s">
        <v>24</v>
      </c>
      <c r="D195">
        <v>0.1012187729822642</v>
      </c>
      <c r="E195" t="s">
        <v>6</v>
      </c>
      <c r="G195" t="s">
        <v>371</v>
      </c>
      <c r="H195" t="s">
        <v>24</v>
      </c>
      <c r="I195">
        <v>1.8298214470762807E-2</v>
      </c>
      <c r="J195" t="s">
        <v>6</v>
      </c>
    </row>
    <row r="196" spans="2:10" x14ac:dyDescent="0.45">
      <c r="B196" t="s">
        <v>370</v>
      </c>
      <c r="C196" t="s">
        <v>25</v>
      </c>
      <c r="D196">
        <v>2.4281091620122153E-2</v>
      </c>
      <c r="E196" t="s">
        <v>6</v>
      </c>
      <c r="G196" t="s">
        <v>371</v>
      </c>
      <c r="H196" t="s">
        <v>25</v>
      </c>
      <c r="I196">
        <v>1.7451826500196169E-2</v>
      </c>
      <c r="J196" t="s">
        <v>6</v>
      </c>
    </row>
    <row r="197" spans="2:10" x14ac:dyDescent="0.45">
      <c r="B197" t="s">
        <v>370</v>
      </c>
      <c r="C197" t="s">
        <v>26</v>
      </c>
      <c r="D197">
        <v>0</v>
      </c>
      <c r="E197" t="s">
        <v>6</v>
      </c>
      <c r="G197" t="s">
        <v>371</v>
      </c>
      <c r="H197" t="s">
        <v>26</v>
      </c>
      <c r="I197">
        <v>0.1021787104775729</v>
      </c>
      <c r="J197" t="s">
        <v>6</v>
      </c>
    </row>
    <row r="198" spans="2:10" x14ac:dyDescent="0.45">
      <c r="B198" t="s">
        <v>370</v>
      </c>
      <c r="C198" t="s">
        <v>27</v>
      </c>
      <c r="D198">
        <v>2.9461861480193315E-3</v>
      </c>
      <c r="E198" t="s">
        <v>6</v>
      </c>
      <c r="G198" t="s">
        <v>371</v>
      </c>
      <c r="H198" t="s">
        <v>27</v>
      </c>
      <c r="I198">
        <v>4.7664524954951937E-2</v>
      </c>
      <c r="J198" t="s">
        <v>6</v>
      </c>
    </row>
    <row r="199" spans="2:10" x14ac:dyDescent="0.45">
      <c r="B199" t="s">
        <v>370</v>
      </c>
      <c r="C199" t="s">
        <v>28</v>
      </c>
      <c r="D199">
        <v>5.2344561534839365E-2</v>
      </c>
      <c r="E199" t="s">
        <v>6</v>
      </c>
      <c r="G199" t="s">
        <v>371</v>
      </c>
      <c r="H199" t="s">
        <v>28</v>
      </c>
      <c r="I199">
        <v>3.2678665169551202E-2</v>
      </c>
      <c r="J199" t="s">
        <v>6</v>
      </c>
    </row>
    <row r="200" spans="2:10" x14ac:dyDescent="0.45">
      <c r="B200" t="s">
        <v>370</v>
      </c>
      <c r="C200" t="s">
        <v>29</v>
      </c>
      <c r="D200">
        <v>8.625647007889424E-2</v>
      </c>
      <c r="E200" t="s">
        <v>6</v>
      </c>
      <c r="G200" t="s">
        <v>371</v>
      </c>
      <c r="H200" t="s">
        <v>29</v>
      </c>
      <c r="I200">
        <v>3.2150032483431221E-2</v>
      </c>
      <c r="J200" t="s">
        <v>6</v>
      </c>
    </row>
    <row r="201" spans="2:10" x14ac:dyDescent="0.45">
      <c r="B201" t="s">
        <v>370</v>
      </c>
      <c r="C201" t="s">
        <v>30</v>
      </c>
      <c r="D201">
        <v>4.6420378358671868E-2</v>
      </c>
      <c r="E201" t="s">
        <v>6</v>
      </c>
      <c r="G201" t="s">
        <v>371</v>
      </c>
      <c r="H201" t="s">
        <v>30</v>
      </c>
      <c r="I201">
        <v>3.3153013593884312E-2</v>
      </c>
      <c r="J201" t="s">
        <v>6</v>
      </c>
    </row>
    <row r="202" spans="2:10" x14ac:dyDescent="0.45">
      <c r="B202" t="s">
        <v>370</v>
      </c>
      <c r="C202" t="s">
        <v>31</v>
      </c>
      <c r="D202">
        <v>2.6409029429207242E-3</v>
      </c>
      <c r="E202" t="s">
        <v>6</v>
      </c>
      <c r="G202" t="s">
        <v>371</v>
      </c>
      <c r="H202" t="s">
        <v>31</v>
      </c>
      <c r="I202">
        <v>3.6617068539742871E-2</v>
      </c>
      <c r="J202" t="s">
        <v>6</v>
      </c>
    </row>
    <row r="203" spans="2:10" x14ac:dyDescent="0.45">
      <c r="B203" t="s">
        <v>372</v>
      </c>
      <c r="C203" t="s">
        <v>5</v>
      </c>
      <c r="D203">
        <v>0</v>
      </c>
      <c r="E203" t="s">
        <v>6</v>
      </c>
      <c r="G203" t="s">
        <v>373</v>
      </c>
      <c r="H203" t="s">
        <v>5</v>
      </c>
      <c r="I203">
        <v>0.1134096094013767</v>
      </c>
      <c r="J203" t="s">
        <v>6</v>
      </c>
    </row>
    <row r="204" spans="2:10" x14ac:dyDescent="0.45">
      <c r="B204" t="s">
        <v>372</v>
      </c>
      <c r="C204" t="s">
        <v>9</v>
      </c>
      <c r="D204">
        <v>0</v>
      </c>
      <c r="E204" t="s">
        <v>6</v>
      </c>
      <c r="G204" t="s">
        <v>373</v>
      </c>
      <c r="H204" t="s">
        <v>9</v>
      </c>
      <c r="I204">
        <v>5.5899730763504275E-2</v>
      </c>
      <c r="J204" t="s">
        <v>6</v>
      </c>
    </row>
    <row r="205" spans="2:10" x14ac:dyDescent="0.45">
      <c r="B205" t="s">
        <v>372</v>
      </c>
      <c r="C205" t="s">
        <v>10</v>
      </c>
      <c r="D205">
        <v>2.4904499182204064E-2</v>
      </c>
      <c r="E205" t="s">
        <v>6</v>
      </c>
      <c r="G205" t="s">
        <v>373</v>
      </c>
      <c r="H205" t="s">
        <v>10</v>
      </c>
      <c r="I205">
        <v>3.9476102773952276E-2</v>
      </c>
      <c r="J205" t="s">
        <v>6</v>
      </c>
    </row>
    <row r="206" spans="2:10" x14ac:dyDescent="0.45">
      <c r="B206" t="s">
        <v>372</v>
      </c>
      <c r="C206" t="s">
        <v>11</v>
      </c>
      <c r="D206">
        <v>6.8753841892055231E-2</v>
      </c>
      <c r="E206" t="s">
        <v>6</v>
      </c>
      <c r="G206" t="s">
        <v>373</v>
      </c>
      <c r="H206" t="s">
        <v>11</v>
      </c>
      <c r="I206">
        <v>3.7093380844089183E-2</v>
      </c>
      <c r="J206" t="s">
        <v>6</v>
      </c>
    </row>
    <row r="207" spans="2:10" x14ac:dyDescent="0.45">
      <c r="B207" t="s">
        <v>372</v>
      </c>
      <c r="C207" t="s">
        <v>12</v>
      </c>
      <c r="D207">
        <v>3.2897939641777264E-2</v>
      </c>
      <c r="E207" t="s">
        <v>6</v>
      </c>
      <c r="G207" t="s">
        <v>373</v>
      </c>
      <c r="H207" t="s">
        <v>12</v>
      </c>
      <c r="I207">
        <v>3.8041385211573908E-2</v>
      </c>
      <c r="J207" t="s">
        <v>6</v>
      </c>
    </row>
    <row r="208" spans="2:10" x14ac:dyDescent="0.45">
      <c r="B208" t="s">
        <v>372</v>
      </c>
      <c r="C208" t="s">
        <v>13</v>
      </c>
      <c r="D208">
        <v>4.9619119132308866E-4</v>
      </c>
      <c r="E208" t="s">
        <v>6</v>
      </c>
      <c r="G208" t="s">
        <v>373</v>
      </c>
      <c r="H208" t="s">
        <v>13</v>
      </c>
      <c r="I208">
        <v>4.0692956231624854E-2</v>
      </c>
      <c r="J208" t="s">
        <v>6</v>
      </c>
    </row>
    <row r="209" spans="2:10" x14ac:dyDescent="0.45">
      <c r="B209" t="s">
        <v>372</v>
      </c>
      <c r="C209" t="s">
        <v>14</v>
      </c>
      <c r="D209">
        <v>6.4428675945305596E-7</v>
      </c>
      <c r="E209" t="s">
        <v>6</v>
      </c>
      <c r="G209" t="s">
        <v>373</v>
      </c>
      <c r="H209" t="s">
        <v>14</v>
      </c>
      <c r="I209">
        <v>8.3624781077189514E-2</v>
      </c>
      <c r="J209" t="s">
        <v>6</v>
      </c>
    </row>
    <row r="210" spans="2:10" x14ac:dyDescent="0.45">
      <c r="B210" t="s">
        <v>372</v>
      </c>
      <c r="C210" t="s">
        <v>15</v>
      </c>
      <c r="D210">
        <v>1.0436407631637919E-2</v>
      </c>
      <c r="E210" t="s">
        <v>6</v>
      </c>
      <c r="G210" t="s">
        <v>373</v>
      </c>
      <c r="H210" t="s">
        <v>15</v>
      </c>
      <c r="I210">
        <v>4.1213824107298028E-2</v>
      </c>
      <c r="J210" t="s">
        <v>6</v>
      </c>
    </row>
    <row r="211" spans="2:10" x14ac:dyDescent="0.45">
      <c r="B211" t="s">
        <v>372</v>
      </c>
      <c r="C211" t="s">
        <v>16</v>
      </c>
      <c r="D211">
        <v>8.3811482036059551E-2</v>
      </c>
      <c r="E211" t="s">
        <v>6</v>
      </c>
      <c r="G211" t="s">
        <v>373</v>
      </c>
      <c r="H211" t="s">
        <v>16</v>
      </c>
      <c r="I211">
        <v>2.7486072823662378E-2</v>
      </c>
      <c r="J211" t="s">
        <v>6</v>
      </c>
    </row>
    <row r="212" spans="2:10" x14ac:dyDescent="0.45">
      <c r="B212" t="s">
        <v>372</v>
      </c>
      <c r="C212" t="s">
        <v>17</v>
      </c>
      <c r="D212">
        <v>0.12112871439046162</v>
      </c>
      <c r="E212" t="s">
        <v>6</v>
      </c>
      <c r="G212" t="s">
        <v>373</v>
      </c>
      <c r="H212" t="s">
        <v>17</v>
      </c>
      <c r="I212">
        <v>2.7511791483787851E-2</v>
      </c>
      <c r="J212" t="s">
        <v>6</v>
      </c>
    </row>
    <row r="213" spans="2:10" x14ac:dyDescent="0.45">
      <c r="B213" t="s">
        <v>372</v>
      </c>
      <c r="C213" t="s">
        <v>18</v>
      </c>
      <c r="D213">
        <v>8.0840648769405998E-2</v>
      </c>
      <c r="E213" t="s">
        <v>6</v>
      </c>
      <c r="G213" t="s">
        <v>373</v>
      </c>
      <c r="H213" t="s">
        <v>18</v>
      </c>
      <c r="I213">
        <v>2.9544838896968146E-2</v>
      </c>
      <c r="J213" t="s">
        <v>6</v>
      </c>
    </row>
    <row r="214" spans="2:10" x14ac:dyDescent="0.45">
      <c r="B214" t="s">
        <v>372</v>
      </c>
      <c r="C214" t="s">
        <v>19</v>
      </c>
      <c r="D214">
        <v>1.4138226551379036E-2</v>
      </c>
      <c r="E214" t="s">
        <v>6</v>
      </c>
      <c r="G214" t="s">
        <v>373</v>
      </c>
      <c r="H214" t="s">
        <v>19</v>
      </c>
      <c r="I214">
        <v>2.9217098007384885E-2</v>
      </c>
      <c r="J214" t="s">
        <v>6</v>
      </c>
    </row>
    <row r="215" spans="2:10" x14ac:dyDescent="0.45">
      <c r="B215" t="s">
        <v>372</v>
      </c>
      <c r="C215" t="s">
        <v>20</v>
      </c>
      <c r="D215">
        <v>9.8273887227553279E-5</v>
      </c>
      <c r="E215" t="s">
        <v>6</v>
      </c>
      <c r="G215" t="s">
        <v>373</v>
      </c>
      <c r="H215" t="s">
        <v>20</v>
      </c>
      <c r="I215">
        <v>6.3050694613314653E-2</v>
      </c>
      <c r="J215" t="s">
        <v>6</v>
      </c>
    </row>
    <row r="216" spans="2:10" x14ac:dyDescent="0.45">
      <c r="B216" t="s">
        <v>372</v>
      </c>
      <c r="C216" t="s">
        <v>21</v>
      </c>
      <c r="D216">
        <v>1.6348367079472792E-2</v>
      </c>
      <c r="E216" t="s">
        <v>6</v>
      </c>
      <c r="G216" t="s">
        <v>373</v>
      </c>
      <c r="H216" t="s">
        <v>21</v>
      </c>
      <c r="I216">
        <v>2.7004723215198048E-2</v>
      </c>
      <c r="J216" t="s">
        <v>6</v>
      </c>
    </row>
    <row r="217" spans="2:10" x14ac:dyDescent="0.45">
      <c r="B217" t="s">
        <v>372</v>
      </c>
      <c r="C217" t="s">
        <v>22</v>
      </c>
      <c r="D217">
        <v>9.1356014502488259E-2</v>
      </c>
      <c r="E217" t="s">
        <v>6</v>
      </c>
      <c r="G217" t="s">
        <v>373</v>
      </c>
      <c r="H217" t="s">
        <v>22</v>
      </c>
      <c r="I217">
        <v>1.6413001331438661E-2</v>
      </c>
      <c r="J217" t="s">
        <v>6</v>
      </c>
    </row>
    <row r="218" spans="2:10" x14ac:dyDescent="0.45">
      <c r="B218" t="s">
        <v>372</v>
      </c>
      <c r="C218" t="s">
        <v>23</v>
      </c>
      <c r="D218">
        <v>0.13376986549468334</v>
      </c>
      <c r="E218" t="s">
        <v>6</v>
      </c>
      <c r="G218" t="s">
        <v>373</v>
      </c>
      <c r="H218" t="s">
        <v>23</v>
      </c>
      <c r="I218">
        <v>1.6888790842601684E-2</v>
      </c>
      <c r="J218" t="s">
        <v>6</v>
      </c>
    </row>
    <row r="219" spans="2:10" x14ac:dyDescent="0.45">
      <c r="B219" t="s">
        <v>372</v>
      </c>
      <c r="C219" t="s">
        <v>24</v>
      </c>
      <c r="D219">
        <v>0.1012143858592203</v>
      </c>
      <c r="E219" t="s">
        <v>6</v>
      </c>
      <c r="G219" t="s">
        <v>373</v>
      </c>
      <c r="H219" t="s">
        <v>24</v>
      </c>
      <c r="I219">
        <v>1.8670386232281979E-2</v>
      </c>
      <c r="J219" t="s">
        <v>6</v>
      </c>
    </row>
    <row r="220" spans="2:10" x14ac:dyDescent="0.45">
      <c r="B220" t="s">
        <v>372</v>
      </c>
      <c r="C220" t="s">
        <v>25</v>
      </c>
      <c r="D220">
        <v>2.4863200639705776E-2</v>
      </c>
      <c r="E220" t="s">
        <v>6</v>
      </c>
      <c r="G220" t="s">
        <v>373</v>
      </c>
      <c r="H220" t="s">
        <v>25</v>
      </c>
      <c r="I220">
        <v>1.8359648075792025E-2</v>
      </c>
      <c r="J220" t="s">
        <v>6</v>
      </c>
    </row>
    <row r="221" spans="2:10" x14ac:dyDescent="0.45">
      <c r="B221" t="s">
        <v>372</v>
      </c>
      <c r="C221" t="s">
        <v>26</v>
      </c>
      <c r="D221">
        <v>0</v>
      </c>
      <c r="E221" t="s">
        <v>6</v>
      </c>
      <c r="G221" t="s">
        <v>373</v>
      </c>
      <c r="H221" t="s">
        <v>26</v>
      </c>
      <c r="I221">
        <v>9.8283754099740425E-2</v>
      </c>
      <c r="J221" t="s">
        <v>6</v>
      </c>
    </row>
    <row r="222" spans="2:10" x14ac:dyDescent="0.45">
      <c r="B222" t="s">
        <v>372</v>
      </c>
      <c r="C222" t="s">
        <v>27</v>
      </c>
      <c r="D222">
        <v>3.0066673668963984E-3</v>
      </c>
      <c r="E222" t="s">
        <v>6</v>
      </c>
      <c r="G222" t="s">
        <v>373</v>
      </c>
      <c r="H222" t="s">
        <v>27</v>
      </c>
      <c r="I222">
        <v>4.5365670283238277E-2</v>
      </c>
      <c r="J222" t="s">
        <v>6</v>
      </c>
    </row>
    <row r="223" spans="2:10" x14ac:dyDescent="0.45">
      <c r="B223" t="s">
        <v>372</v>
      </c>
      <c r="C223" t="s">
        <v>28</v>
      </c>
      <c r="D223">
        <v>5.4371716982095447E-2</v>
      </c>
      <c r="E223" t="s">
        <v>6</v>
      </c>
      <c r="G223" t="s">
        <v>373</v>
      </c>
      <c r="H223" t="s">
        <v>28</v>
      </c>
      <c r="I223">
        <v>3.1433463815695069E-2</v>
      </c>
      <c r="J223" t="s">
        <v>6</v>
      </c>
    </row>
    <row r="224" spans="2:10" x14ac:dyDescent="0.45">
      <c r="B224" t="s">
        <v>372</v>
      </c>
      <c r="C224" t="s">
        <v>29</v>
      </c>
      <c r="D224">
        <v>8.8747559710668569E-2</v>
      </c>
      <c r="E224" t="s">
        <v>6</v>
      </c>
      <c r="G224" t="s">
        <v>373</v>
      </c>
      <c r="H224" t="s">
        <v>29</v>
      </c>
      <c r="I224">
        <v>3.1613296240543272E-2</v>
      </c>
      <c r="J224" t="s">
        <v>6</v>
      </c>
    </row>
    <row r="225" spans="2:10" x14ac:dyDescent="0.45">
      <c r="B225" t="s">
        <v>372</v>
      </c>
      <c r="C225" t="s">
        <v>30</v>
      </c>
      <c r="D225">
        <v>4.6091729865922325E-2</v>
      </c>
      <c r="E225" t="s">
        <v>6</v>
      </c>
      <c r="G225" t="s">
        <v>373</v>
      </c>
      <c r="H225" t="s">
        <v>30</v>
      </c>
      <c r="I225">
        <v>3.272137782106041E-2</v>
      </c>
      <c r="J225" t="s">
        <v>6</v>
      </c>
    </row>
    <row r="226" spans="2:10" x14ac:dyDescent="0.45">
      <c r="B226" t="s">
        <v>372</v>
      </c>
      <c r="C226" t="s">
        <v>31</v>
      </c>
      <c r="D226">
        <v>2.7236230385560044E-3</v>
      </c>
      <c r="E226" t="s">
        <v>6</v>
      </c>
      <c r="G226" t="s">
        <v>373</v>
      </c>
      <c r="H226" t="s">
        <v>31</v>
      </c>
      <c r="I226">
        <v>3.6983621806682319E-2</v>
      </c>
      <c r="J226" t="s">
        <v>6</v>
      </c>
    </row>
    <row r="227" spans="2:10" x14ac:dyDescent="0.45">
      <c r="B227" t="s">
        <v>374</v>
      </c>
      <c r="C227" t="s">
        <v>5</v>
      </c>
      <c r="D227">
        <v>0</v>
      </c>
      <c r="E227" t="s">
        <v>6</v>
      </c>
      <c r="G227" t="s">
        <v>375</v>
      </c>
      <c r="H227" t="s">
        <v>5</v>
      </c>
      <c r="I227">
        <v>0.11007977799571157</v>
      </c>
      <c r="J227" t="s">
        <v>6</v>
      </c>
    </row>
    <row r="228" spans="2:10" x14ac:dyDescent="0.45">
      <c r="B228" t="s">
        <v>374</v>
      </c>
      <c r="C228" t="s">
        <v>9</v>
      </c>
      <c r="D228">
        <v>0</v>
      </c>
      <c r="E228" t="s">
        <v>6</v>
      </c>
      <c r="G228" t="s">
        <v>375</v>
      </c>
      <c r="H228" t="s">
        <v>9</v>
      </c>
      <c r="I228">
        <v>5.3515879022037326E-2</v>
      </c>
      <c r="J228" t="s">
        <v>6</v>
      </c>
    </row>
    <row r="229" spans="2:10" x14ac:dyDescent="0.45">
      <c r="B229" t="s">
        <v>374</v>
      </c>
      <c r="C229" t="s">
        <v>10</v>
      </c>
      <c r="D229">
        <v>2.4308798226382863E-2</v>
      </c>
      <c r="E229" t="s">
        <v>6</v>
      </c>
      <c r="G229" t="s">
        <v>375</v>
      </c>
      <c r="H229" t="s">
        <v>10</v>
      </c>
      <c r="I229">
        <v>3.7762172236640579E-2</v>
      </c>
      <c r="J229" t="s">
        <v>6</v>
      </c>
    </row>
    <row r="230" spans="2:10" x14ac:dyDescent="0.45">
      <c r="B230" t="s">
        <v>374</v>
      </c>
      <c r="C230" t="s">
        <v>11</v>
      </c>
      <c r="D230">
        <v>6.5771188419996393E-2</v>
      </c>
      <c r="E230" t="s">
        <v>6</v>
      </c>
      <c r="G230" t="s">
        <v>375</v>
      </c>
      <c r="H230" t="s">
        <v>11</v>
      </c>
      <c r="I230">
        <v>3.5620681382124451E-2</v>
      </c>
      <c r="J230" t="s">
        <v>6</v>
      </c>
    </row>
    <row r="231" spans="2:10" x14ac:dyDescent="0.45">
      <c r="B231" t="s">
        <v>374</v>
      </c>
      <c r="C231" t="s">
        <v>12</v>
      </c>
      <c r="D231">
        <v>3.1135077988821435E-2</v>
      </c>
      <c r="E231" t="s">
        <v>6</v>
      </c>
      <c r="G231" t="s">
        <v>375</v>
      </c>
      <c r="H231" t="s">
        <v>12</v>
      </c>
      <c r="I231">
        <v>3.6609429065686559E-2</v>
      </c>
      <c r="J231" t="s">
        <v>6</v>
      </c>
    </row>
    <row r="232" spans="2:10" x14ac:dyDescent="0.45">
      <c r="B232" t="s">
        <v>374</v>
      </c>
      <c r="C232" t="s">
        <v>13</v>
      </c>
      <c r="D232">
        <v>3.7472003262164312E-4</v>
      </c>
      <c r="E232" t="s">
        <v>6</v>
      </c>
      <c r="G232" t="s">
        <v>375</v>
      </c>
      <c r="H232" t="s">
        <v>13</v>
      </c>
      <c r="I232">
        <v>3.9946444357042261E-2</v>
      </c>
      <c r="J232" t="s">
        <v>6</v>
      </c>
    </row>
    <row r="233" spans="2:10" x14ac:dyDescent="0.45">
      <c r="B233" t="s">
        <v>374</v>
      </c>
      <c r="C233" t="s">
        <v>14</v>
      </c>
      <c r="D233">
        <v>1.1653481381796913E-7</v>
      </c>
      <c r="E233" t="s">
        <v>6</v>
      </c>
      <c r="G233" t="s">
        <v>375</v>
      </c>
      <c r="H233" t="s">
        <v>14</v>
      </c>
      <c r="I233">
        <v>8.3541809242182949E-2</v>
      </c>
      <c r="J233" t="s">
        <v>6</v>
      </c>
    </row>
    <row r="234" spans="2:10" x14ac:dyDescent="0.45">
      <c r="B234" t="s">
        <v>374</v>
      </c>
      <c r="C234" t="s">
        <v>15</v>
      </c>
      <c r="D234">
        <v>1.1017481364155047E-2</v>
      </c>
      <c r="E234" t="s">
        <v>6</v>
      </c>
      <c r="G234" t="s">
        <v>375</v>
      </c>
      <c r="H234" t="s">
        <v>15</v>
      </c>
      <c r="I234">
        <v>4.1230274259891349E-2</v>
      </c>
      <c r="J234" t="s">
        <v>6</v>
      </c>
    </row>
    <row r="235" spans="2:10" x14ac:dyDescent="0.45">
      <c r="B235" t="s">
        <v>374</v>
      </c>
      <c r="C235" t="s">
        <v>16</v>
      </c>
      <c r="D235">
        <v>8.550714145963563E-2</v>
      </c>
      <c r="E235" t="s">
        <v>6</v>
      </c>
      <c r="G235" t="s">
        <v>375</v>
      </c>
      <c r="H235" t="s">
        <v>16</v>
      </c>
      <c r="I235">
        <v>2.7815820279694543E-2</v>
      </c>
      <c r="J235" t="s">
        <v>6</v>
      </c>
    </row>
    <row r="236" spans="2:10" x14ac:dyDescent="0.45">
      <c r="B236" t="s">
        <v>374</v>
      </c>
      <c r="C236" t="s">
        <v>17</v>
      </c>
      <c r="D236">
        <v>0.12345417465929627</v>
      </c>
      <c r="E236" t="s">
        <v>6</v>
      </c>
      <c r="G236" t="s">
        <v>375</v>
      </c>
      <c r="H236" t="s">
        <v>17</v>
      </c>
      <c r="I236">
        <v>2.7700190410776291E-2</v>
      </c>
      <c r="J236" t="s">
        <v>6</v>
      </c>
    </row>
    <row r="237" spans="2:10" x14ac:dyDescent="0.45">
      <c r="B237" t="s">
        <v>374</v>
      </c>
      <c r="C237" t="s">
        <v>18</v>
      </c>
      <c r="D237">
        <v>8.1977048342542658E-2</v>
      </c>
      <c r="E237" t="s">
        <v>6</v>
      </c>
      <c r="G237" t="s">
        <v>375</v>
      </c>
      <c r="H237" t="s">
        <v>18</v>
      </c>
      <c r="I237">
        <v>3.0037789412316034E-2</v>
      </c>
      <c r="J237" t="s">
        <v>6</v>
      </c>
    </row>
    <row r="238" spans="2:10" x14ac:dyDescent="0.45">
      <c r="B238" t="s">
        <v>374</v>
      </c>
      <c r="C238" t="s">
        <v>19</v>
      </c>
      <c r="D238">
        <v>1.3529190513017254E-2</v>
      </c>
      <c r="E238" t="s">
        <v>6</v>
      </c>
      <c r="G238" t="s">
        <v>375</v>
      </c>
      <c r="H238" t="s">
        <v>19</v>
      </c>
      <c r="I238">
        <v>2.9746763401560739E-2</v>
      </c>
      <c r="J238" t="s">
        <v>6</v>
      </c>
    </row>
    <row r="239" spans="2:10" x14ac:dyDescent="0.45">
      <c r="B239" t="s">
        <v>374</v>
      </c>
      <c r="C239" t="s">
        <v>20</v>
      </c>
      <c r="D239">
        <v>6.9150537021790887E-5</v>
      </c>
      <c r="E239" t="s">
        <v>6</v>
      </c>
      <c r="G239" t="s">
        <v>375</v>
      </c>
      <c r="H239" t="s">
        <v>20</v>
      </c>
      <c r="I239">
        <v>6.6616420153869149E-2</v>
      </c>
      <c r="J239" t="s">
        <v>6</v>
      </c>
    </row>
    <row r="240" spans="2:10" x14ac:dyDescent="0.45">
      <c r="B240" t="s">
        <v>374</v>
      </c>
      <c r="C240" t="s">
        <v>21</v>
      </c>
      <c r="D240">
        <v>1.7371161076882118E-2</v>
      </c>
      <c r="E240" t="s">
        <v>6</v>
      </c>
      <c r="G240" t="s">
        <v>375</v>
      </c>
      <c r="H240" t="s">
        <v>21</v>
      </c>
      <c r="I240">
        <v>2.7814745287246905E-2</v>
      </c>
      <c r="J240" t="s">
        <v>6</v>
      </c>
    </row>
    <row r="241" spans="2:10" x14ac:dyDescent="0.45">
      <c r="B241" t="s">
        <v>374</v>
      </c>
      <c r="C241" t="s">
        <v>22</v>
      </c>
      <c r="D241">
        <v>9.3604446074897374E-2</v>
      </c>
      <c r="E241" t="s">
        <v>6</v>
      </c>
      <c r="G241" t="s">
        <v>375</v>
      </c>
      <c r="H241" t="s">
        <v>22</v>
      </c>
      <c r="I241">
        <v>1.6813478908469369E-2</v>
      </c>
      <c r="J241" t="s">
        <v>6</v>
      </c>
    </row>
    <row r="242" spans="2:10" x14ac:dyDescent="0.45">
      <c r="B242" t="s">
        <v>374</v>
      </c>
      <c r="C242" t="s">
        <v>23</v>
      </c>
      <c r="D242">
        <v>0.13535243461161409</v>
      </c>
      <c r="E242" t="s">
        <v>6</v>
      </c>
      <c r="G242" t="s">
        <v>375</v>
      </c>
      <c r="H242" t="s">
        <v>23</v>
      </c>
      <c r="I242">
        <v>1.7950222341290501E-2</v>
      </c>
      <c r="J242" t="s">
        <v>6</v>
      </c>
    </row>
    <row r="243" spans="2:10" x14ac:dyDescent="0.45">
      <c r="B243" t="s">
        <v>374</v>
      </c>
      <c r="C243" t="s">
        <v>24</v>
      </c>
      <c r="D243">
        <v>9.930421593441878E-2</v>
      </c>
      <c r="E243" t="s">
        <v>6</v>
      </c>
      <c r="G243" t="s">
        <v>375</v>
      </c>
      <c r="H243" t="s">
        <v>24</v>
      </c>
      <c r="I243">
        <v>1.9695881976147338E-2</v>
      </c>
      <c r="J243" t="s">
        <v>6</v>
      </c>
    </row>
    <row r="244" spans="2:10" x14ac:dyDescent="0.45">
      <c r="B244" t="s">
        <v>374</v>
      </c>
      <c r="C244" t="s">
        <v>25</v>
      </c>
      <c r="D244">
        <v>2.4057124231926269E-2</v>
      </c>
      <c r="E244" t="s">
        <v>6</v>
      </c>
      <c r="G244" t="s">
        <v>375</v>
      </c>
      <c r="H244" t="s">
        <v>25</v>
      </c>
      <c r="I244">
        <v>2.0152336035153335E-2</v>
      </c>
      <c r="J244" t="s">
        <v>6</v>
      </c>
    </row>
    <row r="245" spans="2:10" x14ac:dyDescent="0.45">
      <c r="B245" t="s">
        <v>374</v>
      </c>
      <c r="C245" t="s">
        <v>26</v>
      </c>
      <c r="D245">
        <v>0</v>
      </c>
      <c r="E245" t="s">
        <v>6</v>
      </c>
      <c r="G245" t="s">
        <v>375</v>
      </c>
      <c r="H245" t="s">
        <v>26</v>
      </c>
      <c r="I245">
        <v>9.7097200613695978E-2</v>
      </c>
      <c r="J245" t="s">
        <v>6</v>
      </c>
    </row>
    <row r="246" spans="2:10" x14ac:dyDescent="0.45">
      <c r="B246" t="s">
        <v>374</v>
      </c>
      <c r="C246" t="s">
        <v>27</v>
      </c>
      <c r="D246">
        <v>3.1065132604139781E-3</v>
      </c>
      <c r="E246" t="s">
        <v>6</v>
      </c>
      <c r="G246" t="s">
        <v>375</v>
      </c>
      <c r="H246" t="s">
        <v>27</v>
      </c>
      <c r="I246">
        <v>4.4726036388423901E-2</v>
      </c>
      <c r="J246" t="s">
        <v>6</v>
      </c>
    </row>
    <row r="247" spans="2:10" x14ac:dyDescent="0.45">
      <c r="B247" t="s">
        <v>374</v>
      </c>
      <c r="C247" t="s">
        <v>28</v>
      </c>
      <c r="D247">
        <v>5.4824119209341375E-2</v>
      </c>
      <c r="E247" t="s">
        <v>6</v>
      </c>
      <c r="G247" t="s">
        <v>375</v>
      </c>
      <c r="H247" t="s">
        <v>28</v>
      </c>
      <c r="I247">
        <v>3.1289046590925254E-2</v>
      </c>
      <c r="J247" t="s">
        <v>6</v>
      </c>
    </row>
    <row r="248" spans="2:10" x14ac:dyDescent="0.45">
      <c r="B248" t="s">
        <v>374</v>
      </c>
      <c r="C248" t="s">
        <v>29</v>
      </c>
      <c r="D248">
        <v>8.7452819313501101E-2</v>
      </c>
      <c r="E248" t="s">
        <v>6</v>
      </c>
      <c r="G248" t="s">
        <v>375</v>
      </c>
      <c r="H248" t="s">
        <v>29</v>
      </c>
      <c r="I248">
        <v>3.2411292937881073E-2</v>
      </c>
      <c r="J248" t="s">
        <v>6</v>
      </c>
    </row>
    <row r="249" spans="2:10" x14ac:dyDescent="0.45">
      <c r="B249" t="s">
        <v>374</v>
      </c>
      <c r="C249" t="s">
        <v>30</v>
      </c>
      <c r="D249">
        <v>4.5382386237955916E-2</v>
      </c>
      <c r="E249" t="s">
        <v>6</v>
      </c>
      <c r="G249" t="s">
        <v>375</v>
      </c>
      <c r="H249" t="s">
        <v>30</v>
      </c>
      <c r="I249">
        <v>3.4416327455080525E-2</v>
      </c>
      <c r="J249" t="s">
        <v>6</v>
      </c>
    </row>
    <row r="250" spans="2:10" x14ac:dyDescent="0.45">
      <c r="B250" t="s">
        <v>374</v>
      </c>
      <c r="C250" t="s">
        <v>31</v>
      </c>
      <c r="D250">
        <v>2.400691970744182E-3</v>
      </c>
      <c r="E250" t="s">
        <v>6</v>
      </c>
      <c r="G250" t="s">
        <v>375</v>
      </c>
      <c r="H250" t="s">
        <v>31</v>
      </c>
      <c r="I250">
        <v>3.7409980246154391E-2</v>
      </c>
      <c r="J250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A5BA1-AF24-48C6-B99C-B49E67EFFF15}">
  <dimension ref="B9:DH30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other_indexes=ACT; region=BEL")</f>
        <v>~TFM_DINS-TSL: attribute=FLO_EMIS; other_indexes=ACT; region=BEL</v>
      </c>
      <c r="AC9" t="str">
        <f>IF(A11="x","DeActivated","~TFM_INS-TSL: attribute=FLO_SHAR; limtype=FX; region=BEL")</f>
        <v>~TFM_INS-TSL: attribute=FLO_SHAR; limtype=FX; region=BEL</v>
      </c>
      <c r="BD9" t="str">
        <f>IF(A11="x","DeActivated","~TFM_INS-TSL: attribute=FLO_SHAR; limtype=FX; region=BEL")</f>
        <v>~TFM_INS-TSL: attribute=FLO_SHAR; limtype=FX; region=BEL</v>
      </c>
      <c r="CE9" t="str">
        <f>IF(A11="x","DeActivated","~TFM_DINS-TSL: attribute=NCAP_PKCNT; region=BEL")</f>
        <v>~TFM_DINS-TSL: attribute=NCAP_PKCNT; region=BEL</v>
      </c>
      <c r="DE9" t="str">
        <f>IF(A11="x","DeActivated","~TFM_DINS-AT: region=BEL")</f>
        <v>~TFM_DINS-AT: region=BEL</v>
      </c>
    </row>
    <row r="10" spans="2:112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C10" t="s">
        <v>3</v>
      </c>
      <c r="AD10" t="s">
        <v>0</v>
      </c>
      <c r="AE10" t="s">
        <v>5</v>
      </c>
      <c r="AF10" t="s">
        <v>9</v>
      </c>
      <c r="AG10" t="s">
        <v>10</v>
      </c>
      <c r="AH10" t="s">
        <v>11</v>
      </c>
      <c r="AI10" t="s">
        <v>12</v>
      </c>
      <c r="AJ10" t="s">
        <v>13</v>
      </c>
      <c r="AK10" t="s">
        <v>14</v>
      </c>
      <c r="AL10" t="s">
        <v>15</v>
      </c>
      <c r="AM10" t="s">
        <v>16</v>
      </c>
      <c r="AN10" t="s">
        <v>17</v>
      </c>
      <c r="AO10" t="s">
        <v>18</v>
      </c>
      <c r="AP10" t="s">
        <v>19</v>
      </c>
      <c r="AQ10" t="s">
        <v>20</v>
      </c>
      <c r="AR10" t="s">
        <v>21</v>
      </c>
      <c r="AS10" t="s">
        <v>22</v>
      </c>
      <c r="AT10" t="s">
        <v>23</v>
      </c>
      <c r="AU10" t="s">
        <v>24</v>
      </c>
      <c r="AV10" t="s">
        <v>25</v>
      </c>
      <c r="AW10" t="s">
        <v>26</v>
      </c>
      <c r="AX10" t="s">
        <v>27</v>
      </c>
      <c r="AY10" t="s">
        <v>28</v>
      </c>
      <c r="AZ10" t="s">
        <v>29</v>
      </c>
      <c r="BA10" t="s">
        <v>30</v>
      </c>
      <c r="BB10" t="s">
        <v>31</v>
      </c>
      <c r="BD10" t="s">
        <v>3</v>
      </c>
      <c r="BE10" t="s">
        <v>0</v>
      </c>
      <c r="BF10" t="s">
        <v>5</v>
      </c>
      <c r="BG10" t="s">
        <v>9</v>
      </c>
      <c r="BH10" t="s">
        <v>10</v>
      </c>
      <c r="BI10" t="s">
        <v>11</v>
      </c>
      <c r="BJ10" t="s">
        <v>12</v>
      </c>
      <c r="BK10" t="s">
        <v>13</v>
      </c>
      <c r="BL10" t="s">
        <v>14</v>
      </c>
      <c r="BM10" t="s">
        <v>15</v>
      </c>
      <c r="BN10" t="s">
        <v>16</v>
      </c>
      <c r="BO10" t="s">
        <v>17</v>
      </c>
      <c r="BP10" t="s">
        <v>18</v>
      </c>
      <c r="BQ10" t="s">
        <v>19</v>
      </c>
      <c r="BR10" t="s">
        <v>20</v>
      </c>
      <c r="BS10" t="s">
        <v>21</v>
      </c>
      <c r="BT10" t="s">
        <v>22</v>
      </c>
      <c r="BU10" t="s">
        <v>23</v>
      </c>
      <c r="BV10" t="s">
        <v>24</v>
      </c>
      <c r="BW10" t="s">
        <v>25</v>
      </c>
      <c r="BX10" t="s">
        <v>26</v>
      </c>
      <c r="BY10" t="s">
        <v>27</v>
      </c>
      <c r="BZ10" t="s">
        <v>28</v>
      </c>
      <c r="CA10" t="s">
        <v>29</v>
      </c>
      <c r="CB10" t="s">
        <v>30</v>
      </c>
      <c r="CC10" t="s">
        <v>31</v>
      </c>
      <c r="CE10" t="s">
        <v>3</v>
      </c>
      <c r="CF10" t="s">
        <v>5</v>
      </c>
      <c r="CG10" t="s">
        <v>9</v>
      </c>
      <c r="CH10" t="s">
        <v>10</v>
      </c>
      <c r="CI10" t="s">
        <v>11</v>
      </c>
      <c r="CJ10" t="s">
        <v>12</v>
      </c>
      <c r="CK10" t="s">
        <v>13</v>
      </c>
      <c r="CL10" t="s">
        <v>14</v>
      </c>
      <c r="CM10" t="s">
        <v>15</v>
      </c>
      <c r="CN10" t="s">
        <v>16</v>
      </c>
      <c r="CO10" t="s">
        <v>17</v>
      </c>
      <c r="CP10" t="s">
        <v>18</v>
      </c>
      <c r="CQ10" t="s">
        <v>19</v>
      </c>
      <c r="CR10" t="s">
        <v>20</v>
      </c>
      <c r="CS10" t="s">
        <v>21</v>
      </c>
      <c r="CT10" t="s">
        <v>22</v>
      </c>
      <c r="CU10" t="s">
        <v>23</v>
      </c>
      <c r="CV10" t="s">
        <v>24</v>
      </c>
      <c r="CW10" t="s">
        <v>25</v>
      </c>
      <c r="CX10" t="s">
        <v>26</v>
      </c>
      <c r="CY10" t="s">
        <v>27</v>
      </c>
      <c r="CZ10" t="s">
        <v>28</v>
      </c>
      <c r="DA10" t="s">
        <v>29</v>
      </c>
      <c r="DB10" t="s">
        <v>30</v>
      </c>
      <c r="DC10" t="s">
        <v>31</v>
      </c>
      <c r="DE10" t="s">
        <v>3</v>
      </c>
      <c r="DF10" t="s">
        <v>0</v>
      </c>
      <c r="DG10" t="s">
        <v>104</v>
      </c>
      <c r="DH10" t="s">
        <v>105</v>
      </c>
    </row>
    <row r="11" spans="2:112" x14ac:dyDescent="0.45">
      <c r="B11" t="s">
        <v>376</v>
      </c>
      <c r="C11" t="s">
        <v>107</v>
      </c>
      <c r="D11">
        <v>0</v>
      </c>
      <c r="E11">
        <v>0</v>
      </c>
      <c r="F11">
        <v>0.48505832351516043</v>
      </c>
      <c r="G11">
        <v>0.30196643227691478</v>
      </c>
      <c r="H11">
        <v>0.39055807202863424</v>
      </c>
      <c r="I11">
        <v>0.90948746302310879</v>
      </c>
      <c r="J11">
        <v>0.99728260869565222</v>
      </c>
      <c r="K11">
        <v>0.65407327267854831</v>
      </c>
      <c r="L11">
        <v>0.25425296801638642</v>
      </c>
      <c r="M11">
        <v>0.19287650549690186</v>
      </c>
      <c r="N11">
        <v>0.20370023848765312</v>
      </c>
      <c r="O11">
        <v>0.4719217381162919</v>
      </c>
      <c r="P11">
        <v>0.93798237099267667</v>
      </c>
      <c r="Q11">
        <v>0.5330704826572279</v>
      </c>
      <c r="R11">
        <v>0.18265267079254069</v>
      </c>
      <c r="S11">
        <v>0.13058599057263365</v>
      </c>
      <c r="T11">
        <v>0.15608917297809516</v>
      </c>
      <c r="U11">
        <v>0.34570924029794942</v>
      </c>
      <c r="V11">
        <v>0</v>
      </c>
      <c r="W11">
        <v>0.84391577377575244</v>
      </c>
      <c r="X11">
        <v>0.33748577977177963</v>
      </c>
      <c r="Y11">
        <v>0.26338010926912314</v>
      </c>
      <c r="Z11">
        <v>0.35083241019362782</v>
      </c>
      <c r="AA11">
        <v>0.78709602887287389</v>
      </c>
      <c r="AC11" t="s">
        <v>108</v>
      </c>
      <c r="AD11" t="s">
        <v>109</v>
      </c>
      <c r="AE11">
        <v>0</v>
      </c>
      <c r="AF11">
        <v>0</v>
      </c>
      <c r="AG11">
        <v>0.3004675831726536</v>
      </c>
      <c r="AH11">
        <v>0.13442162162023413</v>
      </c>
      <c r="AI11">
        <v>5.9267781409969696E-2</v>
      </c>
      <c r="AJ11">
        <v>0.37363221133541352</v>
      </c>
      <c r="AK11">
        <v>0.97737642401223246</v>
      </c>
      <c r="AL11">
        <v>0.49252892069753396</v>
      </c>
      <c r="AM11">
        <v>0.14203227264618579</v>
      </c>
      <c r="AN11">
        <v>5.7895609127803636E-2</v>
      </c>
      <c r="AO11">
        <v>1.9984417666231311E-2</v>
      </c>
      <c r="AP11">
        <v>0.17072564312101293</v>
      </c>
      <c r="AQ11">
        <v>0.8647731539118364</v>
      </c>
      <c r="AR11">
        <v>0.37601952334652428</v>
      </c>
      <c r="AS11">
        <v>0.10359441491172164</v>
      </c>
      <c r="AT11">
        <v>4.0957944761995498E-2</v>
      </c>
      <c r="AU11">
        <v>1.5667015644951821E-2</v>
      </c>
      <c r="AV11">
        <v>0.14948938296988096</v>
      </c>
      <c r="AW11">
        <v>0</v>
      </c>
      <c r="AX11">
        <v>0.73246015651149887</v>
      </c>
      <c r="AY11">
        <v>0.19359435936866284</v>
      </c>
      <c r="AZ11">
        <v>7.4150571830158343E-2</v>
      </c>
      <c r="BA11">
        <v>1.9498465417171387E-2</v>
      </c>
      <c r="BB11">
        <v>0.14292294436977937</v>
      </c>
      <c r="BD11" t="s">
        <v>108</v>
      </c>
      <c r="BE11" t="s">
        <v>110</v>
      </c>
      <c r="BF11">
        <v>0</v>
      </c>
      <c r="BG11">
        <v>0</v>
      </c>
      <c r="BH11">
        <v>0</v>
      </c>
      <c r="BI11">
        <v>9.9193954198077312E-3</v>
      </c>
      <c r="BJ11">
        <v>0.16971595862086711</v>
      </c>
      <c r="BK11">
        <v>0.45264560599936599</v>
      </c>
      <c r="BL11">
        <v>0</v>
      </c>
      <c r="BM11">
        <v>0</v>
      </c>
      <c r="BN11">
        <v>0</v>
      </c>
      <c r="BO11">
        <v>3.7673972055699979E-2</v>
      </c>
      <c r="BP11">
        <v>8.8791134680618208E-2</v>
      </c>
      <c r="BQ11">
        <v>6.668820693351607E-2</v>
      </c>
      <c r="BR11">
        <v>0</v>
      </c>
      <c r="BS11">
        <v>0</v>
      </c>
      <c r="BT11">
        <v>0</v>
      </c>
      <c r="BU11">
        <v>2.4790918396697115E-2</v>
      </c>
      <c r="BV11">
        <v>6.8461522398532079E-2</v>
      </c>
      <c r="BW11">
        <v>4.7488182134066831E-2</v>
      </c>
      <c r="BX11">
        <v>0</v>
      </c>
      <c r="BY11">
        <v>0</v>
      </c>
      <c r="BZ11">
        <v>0</v>
      </c>
      <c r="CA11">
        <v>5.0418217722150056E-2</v>
      </c>
      <c r="CB11">
        <v>0.18591231542438433</v>
      </c>
      <c r="CC11">
        <v>0.2166106070992502</v>
      </c>
      <c r="CE11" t="s">
        <v>376</v>
      </c>
      <c r="CF11">
        <v>0</v>
      </c>
      <c r="CG11">
        <v>0</v>
      </c>
      <c r="CH11">
        <v>9.0146923675849339E-2</v>
      </c>
      <c r="CI11">
        <v>0.24914795796938169</v>
      </c>
      <c r="CJ11">
        <v>0.13543942651438182</v>
      </c>
      <c r="CK11">
        <v>2.9233202946942032E-3</v>
      </c>
      <c r="CL11">
        <v>1.3716496717900772E-7</v>
      </c>
      <c r="CM11">
        <v>2.4914502299446032E-2</v>
      </c>
      <c r="CN11">
        <v>0.28734806845347755</v>
      </c>
      <c r="CO11">
        <v>0.43237479865223905</v>
      </c>
      <c r="CP11">
        <v>0.30194969417611267</v>
      </c>
      <c r="CQ11">
        <v>5.3108780422605584E-2</v>
      </c>
      <c r="CR11">
        <v>1.0777788470903473E-4</v>
      </c>
      <c r="CS11">
        <v>4.3040176910143717E-2</v>
      </c>
      <c r="CT11">
        <v>0.34968081596484846</v>
      </c>
      <c r="CU11">
        <v>0.51190498335348134</v>
      </c>
      <c r="CV11">
        <v>0.3800854240032806</v>
      </c>
      <c r="CW11">
        <v>9.5228447980008221E-2</v>
      </c>
      <c r="CX11">
        <v>0</v>
      </c>
      <c r="CY11">
        <v>7.0629496752169672E-3</v>
      </c>
      <c r="CZ11">
        <v>0.1901224257165843</v>
      </c>
      <c r="DA11">
        <v>0.32167546455158719</v>
      </c>
      <c r="DB11">
        <v>0.17825213461726766</v>
      </c>
      <c r="DC11">
        <v>1.1287061939324047E-2</v>
      </c>
      <c r="DE11" t="s">
        <v>376</v>
      </c>
      <c r="DF11" t="s">
        <v>111</v>
      </c>
      <c r="DG11" t="s">
        <v>112</v>
      </c>
      <c r="DH11">
        <v>0.42447332669644339</v>
      </c>
    </row>
    <row r="12" spans="2:112" x14ac:dyDescent="0.45">
      <c r="B12" t="s">
        <v>377</v>
      </c>
      <c r="C12" t="s">
        <v>107</v>
      </c>
      <c r="D12">
        <v>0</v>
      </c>
      <c r="E12">
        <v>0</v>
      </c>
      <c r="F12">
        <v>0.46470680940532244</v>
      </c>
      <c r="G12">
        <v>0.268501263685895</v>
      </c>
      <c r="H12">
        <v>0.3715718235396987</v>
      </c>
      <c r="I12">
        <v>0.90715985769570207</v>
      </c>
      <c r="J12">
        <v>0.9945652173913041</v>
      </c>
      <c r="K12">
        <v>0.66661025401253982</v>
      </c>
      <c r="L12">
        <v>0.25158011421404569</v>
      </c>
      <c r="M12">
        <v>0.18093308054946691</v>
      </c>
      <c r="N12">
        <v>0.19291812414014733</v>
      </c>
      <c r="O12">
        <v>0.45747568676672595</v>
      </c>
      <c r="P12">
        <v>0.92926797874534584</v>
      </c>
      <c r="Q12">
        <v>0.5368350702521979</v>
      </c>
      <c r="R12">
        <v>0.18780838150395143</v>
      </c>
      <c r="S12">
        <v>0.13669151598117735</v>
      </c>
      <c r="T12">
        <v>0.15607679864380292</v>
      </c>
      <c r="U12">
        <v>0.34117184093463843</v>
      </c>
      <c r="V12">
        <v>0</v>
      </c>
      <c r="W12">
        <v>0.84749279389213839</v>
      </c>
      <c r="X12">
        <v>0.32533592232294839</v>
      </c>
      <c r="Y12">
        <v>0.24658720971446357</v>
      </c>
      <c r="Z12">
        <v>0.33742890648804263</v>
      </c>
      <c r="AA12">
        <v>0.78148112625833266</v>
      </c>
      <c r="AC12" t="s">
        <v>114</v>
      </c>
      <c r="AD12" t="s">
        <v>109</v>
      </c>
      <c r="AE12">
        <v>1.5471632461080992E-2</v>
      </c>
      <c r="AF12">
        <v>1.3507989301519354E-3</v>
      </c>
      <c r="AG12">
        <v>6.091923366005848E-3</v>
      </c>
      <c r="AH12">
        <v>9.5087777739352522E-3</v>
      </c>
      <c r="AI12">
        <v>4.2412503010295184E-3</v>
      </c>
      <c r="AJ12">
        <v>4.4979039269793259E-3</v>
      </c>
      <c r="AK12">
        <v>1.8148684064794932E-2</v>
      </c>
      <c r="AL12">
        <v>9.9907501722493741E-3</v>
      </c>
      <c r="AM12">
        <v>9.7279023247465006E-4</v>
      </c>
      <c r="AN12">
        <v>7.715493564012881E-3</v>
      </c>
      <c r="AO12">
        <v>1.5377696068562288E-2</v>
      </c>
      <c r="AP12">
        <v>1.4193112268084774E-2</v>
      </c>
      <c r="AQ12">
        <v>2.4125884767747081E-2</v>
      </c>
      <c r="AR12">
        <v>1.4017479539383051E-2</v>
      </c>
      <c r="AS12">
        <v>1.0300982245952165E-2</v>
      </c>
      <c r="AT12">
        <v>1.3381232156109325E-2</v>
      </c>
      <c r="AU12">
        <v>1.0427981584546941E-2</v>
      </c>
      <c r="AV12">
        <v>6.4551306354390173E-3</v>
      </c>
      <c r="AW12">
        <v>6.9193356948655995E-3</v>
      </c>
      <c r="AX12">
        <v>1.1415719374148649E-2</v>
      </c>
      <c r="AY12">
        <v>3.0260426972916307E-3</v>
      </c>
      <c r="AZ12">
        <v>1.385936087548041E-2</v>
      </c>
      <c r="BA12">
        <v>1.9231480369058807E-2</v>
      </c>
      <c r="BB12">
        <v>9.9016462110792566E-3</v>
      </c>
      <c r="BD12" t="s">
        <v>114</v>
      </c>
      <c r="BE12" t="s">
        <v>110</v>
      </c>
      <c r="BF12">
        <v>2.3792273753833391E-2</v>
      </c>
      <c r="BG12">
        <v>3.3175878204398546E-2</v>
      </c>
      <c r="BH12">
        <v>1.4699904537620276E-2</v>
      </c>
      <c r="BI12">
        <v>2.3119277556161638E-2</v>
      </c>
      <c r="BJ12">
        <v>2.6622235729012414E-2</v>
      </c>
      <c r="BK12">
        <v>3.4792739192180483E-2</v>
      </c>
      <c r="BL12">
        <v>3.1588547829252606E-2</v>
      </c>
      <c r="BM12">
        <v>4.4235713658632887E-2</v>
      </c>
      <c r="BN12">
        <v>4.335250638879741E-2</v>
      </c>
      <c r="BO12">
        <v>2.968211101427996E-2</v>
      </c>
      <c r="BP12">
        <v>1.9874900025857335E-2</v>
      </c>
      <c r="BQ12">
        <v>2.299116324776336E-2</v>
      </c>
      <c r="BR12">
        <v>2.2763357439714346E-2</v>
      </c>
      <c r="BS12">
        <v>5.2014219437662018E-2</v>
      </c>
      <c r="BT12">
        <v>5.0678261077390305E-2</v>
      </c>
      <c r="BU12">
        <v>1.9944040896458751E-2</v>
      </c>
      <c r="BV12">
        <v>1.9405253155706258E-2</v>
      </c>
      <c r="BW12">
        <v>2.6461708437150355E-2</v>
      </c>
      <c r="BX12">
        <v>2.9418065252720751E-2</v>
      </c>
      <c r="BY12">
        <v>1.7223497921304651E-2</v>
      </c>
      <c r="BZ12">
        <v>4.0195373373301618E-2</v>
      </c>
      <c r="CA12">
        <v>1.5543290433105037E-2</v>
      </c>
      <c r="CB12">
        <v>1.7950738387470251E-2</v>
      </c>
      <c r="CC12">
        <v>3.3519642149563079E-2</v>
      </c>
      <c r="CE12" t="s">
        <v>377</v>
      </c>
      <c r="CF12">
        <v>0</v>
      </c>
      <c r="CG12">
        <v>0</v>
      </c>
      <c r="CH12">
        <v>9.3428857693271597E-2</v>
      </c>
      <c r="CI12">
        <v>0.26106275034173371</v>
      </c>
      <c r="CJ12">
        <v>0.14584947278396451</v>
      </c>
      <c r="CK12">
        <v>3.9028972757894692E-3</v>
      </c>
      <c r="CL12">
        <v>3.3106510899796015E-6</v>
      </c>
      <c r="CM12">
        <v>2.4156768438445532E-2</v>
      </c>
      <c r="CN12">
        <v>0.27810572530152139</v>
      </c>
      <c r="CO12">
        <v>0.43336947995344421</v>
      </c>
      <c r="CP12">
        <v>0.30409241729200265</v>
      </c>
      <c r="CQ12">
        <v>5.7424407183095695E-2</v>
      </c>
      <c r="CR12">
        <v>1.8328442417096539E-4</v>
      </c>
      <c r="CS12">
        <v>3.9811895149484772E-2</v>
      </c>
      <c r="CT12">
        <v>0.34164804320825076</v>
      </c>
      <c r="CU12">
        <v>0.50344101532244967</v>
      </c>
      <c r="CV12">
        <v>0.38423221820003717</v>
      </c>
      <c r="CW12">
        <v>0.10091677986488218</v>
      </c>
      <c r="CX12">
        <v>0</v>
      </c>
      <c r="CY12">
        <v>6.5657476957709585E-3</v>
      </c>
      <c r="CZ12">
        <v>0.19858186056287674</v>
      </c>
      <c r="DA12">
        <v>0.33626473021275965</v>
      </c>
      <c r="DB12">
        <v>0.18469434936241763</v>
      </c>
      <c r="DC12">
        <v>1.2856123310392905E-2</v>
      </c>
      <c r="DE12" t="s">
        <v>377</v>
      </c>
      <c r="DF12" t="s">
        <v>111</v>
      </c>
      <c r="DG12" t="s">
        <v>112</v>
      </c>
      <c r="DH12">
        <v>0.45426863483293289</v>
      </c>
    </row>
    <row r="13" spans="2:112" x14ac:dyDescent="0.45">
      <c r="B13" t="s">
        <v>378</v>
      </c>
      <c r="C13" t="s">
        <v>107</v>
      </c>
      <c r="D13">
        <v>0</v>
      </c>
      <c r="E13">
        <v>0</v>
      </c>
      <c r="F13">
        <v>0.46476887429288977</v>
      </c>
      <c r="G13">
        <v>0.26900343408065736</v>
      </c>
      <c r="H13">
        <v>0.3816236205594824</v>
      </c>
      <c r="I13">
        <v>0.91570608938956888</v>
      </c>
      <c r="J13">
        <v>0.99320652173913071</v>
      </c>
      <c r="K13">
        <v>0.6549824706233266</v>
      </c>
      <c r="L13">
        <v>0.25801774625634361</v>
      </c>
      <c r="M13">
        <v>0.19924280591511576</v>
      </c>
      <c r="N13">
        <v>0.2038322004867992</v>
      </c>
      <c r="O13">
        <v>0.46840672556328272</v>
      </c>
      <c r="P13">
        <v>0.93258159993030576</v>
      </c>
      <c r="Q13">
        <v>0.51966673793115714</v>
      </c>
      <c r="R13">
        <v>0.18672885271429432</v>
      </c>
      <c r="S13">
        <v>0.14110810058912235</v>
      </c>
      <c r="T13">
        <v>0.15318625111420336</v>
      </c>
      <c r="U13">
        <v>0.34565346707694206</v>
      </c>
      <c r="V13">
        <v>0</v>
      </c>
      <c r="W13">
        <v>0.8471059555599566</v>
      </c>
      <c r="X13">
        <v>0.32439718311572674</v>
      </c>
      <c r="Y13">
        <v>0.24181069710144729</v>
      </c>
      <c r="Z13">
        <v>0.34234941562156951</v>
      </c>
      <c r="AA13">
        <v>0.79570637708187364</v>
      </c>
      <c r="CE13" t="s">
        <v>378</v>
      </c>
      <c r="CF13">
        <v>0</v>
      </c>
      <c r="CG13">
        <v>0</v>
      </c>
      <c r="CH13">
        <v>9.3277407990006528E-2</v>
      </c>
      <c r="CI13">
        <v>0.25668618604880333</v>
      </c>
      <c r="CJ13">
        <v>0.13214767089746141</v>
      </c>
      <c r="CK13">
        <v>2.4627063176050263E-3</v>
      </c>
      <c r="CL13">
        <v>2.3502326878648342E-6</v>
      </c>
      <c r="CM13">
        <v>2.6237602930022912E-2</v>
      </c>
      <c r="CN13">
        <v>0.28815300391904602</v>
      </c>
      <c r="CO13">
        <v>0.42962894105861305</v>
      </c>
      <c r="CP13">
        <v>0.29381178145677445</v>
      </c>
      <c r="CQ13">
        <v>5.3221653676657509E-2</v>
      </c>
      <c r="CR13">
        <v>1.5878175269299185E-4</v>
      </c>
      <c r="CS13">
        <v>4.184924002975382E-2</v>
      </c>
      <c r="CT13">
        <v>0.32827065494882002</v>
      </c>
      <c r="CU13">
        <v>0.48342694229542565</v>
      </c>
      <c r="CV13">
        <v>0.37225243554750675</v>
      </c>
      <c r="CW13">
        <v>9.4028149296150026E-2</v>
      </c>
      <c r="CX13">
        <v>0</v>
      </c>
      <c r="CY13">
        <v>7.3069510388264524E-3</v>
      </c>
      <c r="CZ13">
        <v>0.19416744962339907</v>
      </c>
      <c r="DA13">
        <v>0.32392561294277744</v>
      </c>
      <c r="DB13">
        <v>0.17129737692975608</v>
      </c>
      <c r="DC13">
        <v>1.0989830772943673E-2</v>
      </c>
      <c r="DE13" t="s">
        <v>378</v>
      </c>
      <c r="DF13" t="s">
        <v>111</v>
      </c>
      <c r="DG13" t="s">
        <v>112</v>
      </c>
      <c r="DH13">
        <v>0.4114150206830719</v>
      </c>
    </row>
    <row r="14" spans="2:112" x14ac:dyDescent="0.45">
      <c r="B14" t="s">
        <v>379</v>
      </c>
      <c r="C14" t="s">
        <v>107</v>
      </c>
      <c r="D14">
        <v>0</v>
      </c>
      <c r="E14">
        <v>0</v>
      </c>
      <c r="F14">
        <v>0.46389715063493997</v>
      </c>
      <c r="G14">
        <v>0.26453815679813431</v>
      </c>
      <c r="H14">
        <v>0.38324255754699799</v>
      </c>
      <c r="I14">
        <v>0.91035561595775816</v>
      </c>
      <c r="J14">
        <v>0.98777173913043481</v>
      </c>
      <c r="K14">
        <v>0.66788340125884749</v>
      </c>
      <c r="L14">
        <v>0.25563603339968843</v>
      </c>
      <c r="M14">
        <v>0.18670445352581361</v>
      </c>
      <c r="N14">
        <v>0.19767615683430864</v>
      </c>
      <c r="O14">
        <v>0.45592322659906614</v>
      </c>
      <c r="P14">
        <v>0.92746299552725009</v>
      </c>
      <c r="Q14">
        <v>0.53082883958770632</v>
      </c>
      <c r="R14">
        <v>0.19055183537200046</v>
      </c>
      <c r="S14">
        <v>0.1361006012176928</v>
      </c>
      <c r="T14">
        <v>0.14769805854346785</v>
      </c>
      <c r="U14">
        <v>0.34143991710843619</v>
      </c>
      <c r="V14">
        <v>0</v>
      </c>
      <c r="W14">
        <v>0.85327838000437428</v>
      </c>
      <c r="X14">
        <v>0.31945117130651657</v>
      </c>
      <c r="Y14">
        <v>0.2450828528160687</v>
      </c>
      <c r="Z14">
        <v>0.34617158764344613</v>
      </c>
      <c r="AA14">
        <v>0.78956312497852499</v>
      </c>
      <c r="CE14" t="s">
        <v>379</v>
      </c>
      <c r="CF14">
        <v>0</v>
      </c>
      <c r="CG14">
        <v>0</v>
      </c>
      <c r="CH14">
        <v>9.5095437564765878E-2</v>
      </c>
      <c r="CI14">
        <v>0.27086963510184697</v>
      </c>
      <c r="CJ14">
        <v>0.14956034197854695</v>
      </c>
      <c r="CK14">
        <v>3.7263868951437724E-3</v>
      </c>
      <c r="CL14">
        <v>9.4370090979082022E-6</v>
      </c>
      <c r="CM14">
        <v>2.3770225236261527E-2</v>
      </c>
      <c r="CN14">
        <v>0.2806469748067062</v>
      </c>
      <c r="CO14">
        <v>0.44866070519575241</v>
      </c>
      <c r="CP14">
        <v>0.32223013308404891</v>
      </c>
      <c r="CQ14">
        <v>6.2423593148651021E-2</v>
      </c>
      <c r="CR14">
        <v>2.4919184398868261E-4</v>
      </c>
      <c r="CS14">
        <v>3.9245791074075095E-2</v>
      </c>
      <c r="CT14">
        <v>0.33528497613592362</v>
      </c>
      <c r="CU14">
        <v>0.50740257634656949</v>
      </c>
      <c r="CV14">
        <v>0.39833951027392134</v>
      </c>
      <c r="CW14">
        <v>0.10584677322823506</v>
      </c>
      <c r="CX14">
        <v>0</v>
      </c>
      <c r="CY14">
        <v>6.3226112797341149E-3</v>
      </c>
      <c r="CZ14">
        <v>0.19931193955160378</v>
      </c>
      <c r="DA14">
        <v>0.34222315662770997</v>
      </c>
      <c r="DB14">
        <v>0.18943072616432574</v>
      </c>
      <c r="DC14">
        <v>1.3254392536608645E-2</v>
      </c>
      <c r="DE14" t="s">
        <v>379</v>
      </c>
      <c r="DF14" t="s">
        <v>111</v>
      </c>
      <c r="DG14" t="s">
        <v>112</v>
      </c>
      <c r="DH14">
        <v>0.44198267622952819</v>
      </c>
    </row>
    <row r="15" spans="2:112" x14ac:dyDescent="0.45">
      <c r="B15" t="s">
        <v>380</v>
      </c>
      <c r="C15" t="s">
        <v>107</v>
      </c>
      <c r="D15">
        <v>0</v>
      </c>
      <c r="E15">
        <v>0</v>
      </c>
      <c r="F15">
        <v>0.46054905875802948</v>
      </c>
      <c r="G15">
        <v>0.26407441966022399</v>
      </c>
      <c r="H15">
        <v>0.37526912142349034</v>
      </c>
      <c r="I15">
        <v>0.9101590420967991</v>
      </c>
      <c r="J15">
        <v>0.99264882747110017</v>
      </c>
      <c r="K15">
        <v>0.66371510458589267</v>
      </c>
      <c r="L15">
        <v>0.25806755728078773</v>
      </c>
      <c r="M15">
        <v>0.19266194425147198</v>
      </c>
      <c r="N15">
        <v>0.20282027309541134</v>
      </c>
      <c r="O15">
        <v>0.46191780201772581</v>
      </c>
      <c r="P15">
        <v>0.92939002675569682</v>
      </c>
      <c r="Q15">
        <v>0.52482807023869693</v>
      </c>
      <c r="R15">
        <v>0.19118736660531627</v>
      </c>
      <c r="S15">
        <v>0.13941767397398896</v>
      </c>
      <c r="T15">
        <v>0.14841207718867827</v>
      </c>
      <c r="U15">
        <v>0.34144696284561843</v>
      </c>
      <c r="V15">
        <v>0</v>
      </c>
      <c r="W15">
        <v>0.84947126675544871</v>
      </c>
      <c r="X15">
        <v>0.31870865466399367</v>
      </c>
      <c r="Y15">
        <v>0.24539645863884768</v>
      </c>
      <c r="Z15">
        <v>0.34109903783666284</v>
      </c>
      <c r="AA15">
        <v>0.79222550183339902</v>
      </c>
      <c r="CE15" t="s">
        <v>380</v>
      </c>
      <c r="CF15">
        <v>0</v>
      </c>
      <c r="CG15">
        <v>0</v>
      </c>
      <c r="CH15">
        <v>9.6166469825123432E-2</v>
      </c>
      <c r="CI15">
        <v>0.26427709374494707</v>
      </c>
      <c r="CJ15">
        <v>0.14215109285738706</v>
      </c>
      <c r="CK15">
        <v>3.117513372785089E-3</v>
      </c>
      <c r="CL15">
        <v>5.3364788989648205E-6</v>
      </c>
      <c r="CM15">
        <v>2.4957017779462392E-2</v>
      </c>
      <c r="CN15">
        <v>0.28210836359510794</v>
      </c>
      <c r="CO15">
        <v>0.43675603373166777</v>
      </c>
      <c r="CP15">
        <v>0.30672541794546626</v>
      </c>
      <c r="CQ15">
        <v>5.7140689038027936E-2</v>
      </c>
      <c r="CR15">
        <v>2.0199198531200074E-4</v>
      </c>
      <c r="CS15">
        <v>4.0334196258951648E-2</v>
      </c>
      <c r="CT15">
        <v>0.33150906724013007</v>
      </c>
      <c r="CU15">
        <v>0.49393710127237206</v>
      </c>
      <c r="CV15">
        <v>0.384775466993733</v>
      </c>
      <c r="CW15">
        <v>0.10012660341718403</v>
      </c>
      <c r="CX15">
        <v>0</v>
      </c>
      <c r="CY15">
        <v>6.5739870489756854E-3</v>
      </c>
      <c r="CZ15">
        <v>0.19641589476179896</v>
      </c>
      <c r="DA15">
        <v>0.33249116879106833</v>
      </c>
      <c r="DB15">
        <v>0.17951059703297687</v>
      </c>
      <c r="DC15">
        <v>1.2110321442333729E-2</v>
      </c>
      <c r="DE15" t="s">
        <v>380</v>
      </c>
      <c r="DF15" t="s">
        <v>111</v>
      </c>
      <c r="DG15" t="s">
        <v>112</v>
      </c>
      <c r="DH15">
        <v>0.4263234258760128</v>
      </c>
    </row>
    <row r="16" spans="2:112" x14ac:dyDescent="0.45">
      <c r="B16" t="s">
        <v>381</v>
      </c>
      <c r="C16" t="s">
        <v>107</v>
      </c>
      <c r="D16">
        <v>0</v>
      </c>
      <c r="E16">
        <v>0</v>
      </c>
      <c r="F16">
        <v>0.48048668933487615</v>
      </c>
      <c r="G16">
        <v>0.29867322396338142</v>
      </c>
      <c r="H16">
        <v>0.40691791758338786</v>
      </c>
      <c r="I16">
        <v>0.92061642232274776</v>
      </c>
      <c r="J16">
        <v>0</v>
      </c>
      <c r="K16">
        <v>0.64711742419346496</v>
      </c>
      <c r="L16">
        <v>0.25354632944498934</v>
      </c>
      <c r="M16">
        <v>0.19732886744072073</v>
      </c>
      <c r="N16">
        <v>0.2135152567867962</v>
      </c>
      <c r="O16">
        <v>0.48034474426421059</v>
      </c>
      <c r="P16">
        <v>0.94972826086956541</v>
      </c>
      <c r="Q16">
        <v>0.52827299347568657</v>
      </c>
      <c r="R16">
        <v>0.18556506077876272</v>
      </c>
      <c r="S16">
        <v>0.13529055514588115</v>
      </c>
      <c r="T16">
        <v>0.15971934378606004</v>
      </c>
      <c r="U16">
        <v>0.35639232189089914</v>
      </c>
      <c r="V16">
        <v>0</v>
      </c>
      <c r="W16">
        <v>0.84124833563990498</v>
      </c>
      <c r="X16">
        <v>0.3457150535608442</v>
      </c>
      <c r="Y16">
        <v>0.25778361835674052</v>
      </c>
      <c r="Z16">
        <v>0.3431505688720044</v>
      </c>
      <c r="AA16">
        <v>0.8067814906386731</v>
      </c>
      <c r="CE16" t="s">
        <v>381</v>
      </c>
      <c r="CF16">
        <v>0</v>
      </c>
      <c r="CG16">
        <v>0</v>
      </c>
      <c r="CH16">
        <v>8.5430967538380573E-2</v>
      </c>
      <c r="CI16">
        <v>0.23931881294005605</v>
      </c>
      <c r="CJ16">
        <v>0.1263397700684564</v>
      </c>
      <c r="CK16">
        <v>2.7203683776653481E-3</v>
      </c>
      <c r="CL16">
        <v>0</v>
      </c>
      <c r="CM16">
        <v>2.7719922407504448E-2</v>
      </c>
      <c r="CN16">
        <v>0.30535779451978584</v>
      </c>
      <c r="CO16">
        <v>0.4445453840405994</v>
      </c>
      <c r="CP16">
        <v>0.29610890481902319</v>
      </c>
      <c r="CQ16">
        <v>4.877596667639205E-2</v>
      </c>
      <c r="CR16">
        <v>4.0137377440093901E-5</v>
      </c>
      <c r="CS16">
        <v>4.8650070070376826E-2</v>
      </c>
      <c r="CT16">
        <v>0.35818772570335017</v>
      </c>
      <c r="CU16">
        <v>0.5108566993696253</v>
      </c>
      <c r="CV16">
        <v>0.36795207529732288</v>
      </c>
      <c r="CW16">
        <v>8.5472403043812345E-2</v>
      </c>
      <c r="CX16">
        <v>0</v>
      </c>
      <c r="CY16">
        <v>7.2957084770141692E-3</v>
      </c>
      <c r="CZ16">
        <v>0.17834478359526779</v>
      </c>
      <c r="DA16">
        <v>0.29955478703453331</v>
      </c>
      <c r="DB16">
        <v>0.16917900931492014</v>
      </c>
      <c r="DC16">
        <v>9.7301486485908729E-3</v>
      </c>
      <c r="DE16" t="s">
        <v>381</v>
      </c>
      <c r="DF16" t="s">
        <v>111</v>
      </c>
      <c r="DG16" t="s">
        <v>112</v>
      </c>
      <c r="DH16">
        <v>0.43181442317240715</v>
      </c>
    </row>
    <row r="17" spans="2:112" x14ac:dyDescent="0.45">
      <c r="B17" t="s">
        <v>382</v>
      </c>
      <c r="C17" t="s">
        <v>107</v>
      </c>
      <c r="D17">
        <v>0</v>
      </c>
      <c r="E17">
        <v>0</v>
      </c>
      <c r="F17">
        <v>0.49023453255777055</v>
      </c>
      <c r="G17">
        <v>0.3074382464667898</v>
      </c>
      <c r="H17">
        <v>0.40548941046457643</v>
      </c>
      <c r="I17">
        <v>0.91622740802780633</v>
      </c>
      <c r="J17">
        <v>0</v>
      </c>
      <c r="K17">
        <v>0.65151036558884456</v>
      </c>
      <c r="L17">
        <v>0.25983468934884696</v>
      </c>
      <c r="M17">
        <v>0.19848430858203825</v>
      </c>
      <c r="N17">
        <v>0.21180199005469386</v>
      </c>
      <c r="O17">
        <v>0.47675684701396959</v>
      </c>
      <c r="P17">
        <v>0.94293478260869545</v>
      </c>
      <c r="Q17">
        <v>0.53165277616141771</v>
      </c>
      <c r="R17">
        <v>0.18522098490418323</v>
      </c>
      <c r="S17">
        <v>0.13556666112403248</v>
      </c>
      <c r="T17">
        <v>0.16062509130382779</v>
      </c>
      <c r="U17">
        <v>0.35368211706867864</v>
      </c>
      <c r="V17">
        <v>0</v>
      </c>
      <c r="W17">
        <v>0.84324920494975486</v>
      </c>
      <c r="X17">
        <v>0.3475501120284919</v>
      </c>
      <c r="Y17">
        <v>0.26528122377689783</v>
      </c>
      <c r="Z17">
        <v>0.35280196451413015</v>
      </c>
      <c r="AA17">
        <v>0.79470992802875418</v>
      </c>
      <c r="CE17" t="s">
        <v>382</v>
      </c>
      <c r="CF17">
        <v>0</v>
      </c>
      <c r="CG17">
        <v>0</v>
      </c>
      <c r="CH17">
        <v>8.5775649132446188E-2</v>
      </c>
      <c r="CI17">
        <v>0.24086441703436087</v>
      </c>
      <c r="CJ17">
        <v>0.12800370254606314</v>
      </c>
      <c r="CK17">
        <v>2.4633354084209413E-3</v>
      </c>
      <c r="CL17">
        <v>0</v>
      </c>
      <c r="CM17">
        <v>2.5837323043183223E-2</v>
      </c>
      <c r="CN17">
        <v>0.29356538748004052</v>
      </c>
      <c r="CO17">
        <v>0.43500328715173081</v>
      </c>
      <c r="CP17">
        <v>0.29691856817227469</v>
      </c>
      <c r="CQ17">
        <v>5.0316973792243244E-2</v>
      </c>
      <c r="CR17">
        <v>6.7199503806262E-5</v>
      </c>
      <c r="CS17">
        <v>4.5820409566419487E-2</v>
      </c>
      <c r="CT17">
        <v>0.35079201900966717</v>
      </c>
      <c r="CU17">
        <v>0.50931936464018424</v>
      </c>
      <c r="CV17">
        <v>0.37113266682640284</v>
      </c>
      <c r="CW17">
        <v>8.9544071996511695E-2</v>
      </c>
      <c r="CX17">
        <v>0</v>
      </c>
      <c r="CY17">
        <v>7.3022398002147576E-3</v>
      </c>
      <c r="CZ17">
        <v>0.18209094592000774</v>
      </c>
      <c r="DA17">
        <v>0.30601730197286214</v>
      </c>
      <c r="DB17">
        <v>0.17088141508866214</v>
      </c>
      <c r="DC17">
        <v>1.0258808946701394E-2</v>
      </c>
      <c r="DE17" t="s">
        <v>382</v>
      </c>
      <c r="DF17" t="s">
        <v>111</v>
      </c>
      <c r="DG17" t="s">
        <v>112</v>
      </c>
      <c r="DH17">
        <v>0.39402222776582174</v>
      </c>
    </row>
    <row r="18" spans="2:112" x14ac:dyDescent="0.45">
      <c r="B18" t="s">
        <v>383</v>
      </c>
      <c r="C18" t="s">
        <v>107</v>
      </c>
      <c r="D18">
        <v>0</v>
      </c>
      <c r="E18">
        <v>0</v>
      </c>
      <c r="F18">
        <v>0.4743067633532711</v>
      </c>
      <c r="G18">
        <v>0.2750410247903301</v>
      </c>
      <c r="H18">
        <v>0.38984254224015596</v>
      </c>
      <c r="I18">
        <v>0.92258424750070134</v>
      </c>
      <c r="J18">
        <v>0</v>
      </c>
      <c r="K18">
        <v>0.64545338533209828</v>
      </c>
      <c r="L18">
        <v>0.25883201587767024</v>
      </c>
      <c r="M18">
        <v>0.20013002239345704</v>
      </c>
      <c r="N18">
        <v>0.20654032579330073</v>
      </c>
      <c r="O18">
        <v>0.47425989008958036</v>
      </c>
      <c r="P18">
        <v>0.94017322223282651</v>
      </c>
      <c r="Q18">
        <v>0.51790228630816959</v>
      </c>
      <c r="R18">
        <v>0.18593465828197422</v>
      </c>
      <c r="S18">
        <v>0.13973437163662597</v>
      </c>
      <c r="T18">
        <v>0.15428800946354948</v>
      </c>
      <c r="U18">
        <v>0.35502435846029096</v>
      </c>
      <c r="V18">
        <v>0</v>
      </c>
      <c r="W18">
        <v>0.84204368487758163</v>
      </c>
      <c r="X18">
        <v>0.34094395179221337</v>
      </c>
      <c r="Y18">
        <v>0.25402821292007738</v>
      </c>
      <c r="Z18">
        <v>0.35193163478054684</v>
      </c>
      <c r="AA18">
        <v>0.8043969864214211</v>
      </c>
      <c r="CE18" t="s">
        <v>383</v>
      </c>
      <c r="CF18">
        <v>0</v>
      </c>
      <c r="CG18">
        <v>0</v>
      </c>
      <c r="CH18">
        <v>8.5990016094105587E-2</v>
      </c>
      <c r="CI18">
        <v>0.24416157547068951</v>
      </c>
      <c r="CJ18">
        <v>0.12220139076147844</v>
      </c>
      <c r="CK18">
        <v>1.9495466563463624E-3</v>
      </c>
      <c r="CL18">
        <v>0</v>
      </c>
      <c r="CM18">
        <v>2.7955191412197277E-2</v>
      </c>
      <c r="CN18">
        <v>0.29910656707576516</v>
      </c>
      <c r="CO18">
        <v>0.43763740222066799</v>
      </c>
      <c r="CP18">
        <v>0.29186920126792176</v>
      </c>
      <c r="CQ18">
        <v>4.97371740895622E-2</v>
      </c>
      <c r="CR18">
        <v>8.7827680140062378E-5</v>
      </c>
      <c r="CS18">
        <v>4.5634954207461956E-2</v>
      </c>
      <c r="CT18">
        <v>0.33603737784230436</v>
      </c>
      <c r="CU18">
        <v>0.49209810002552368</v>
      </c>
      <c r="CV18">
        <v>0.36250152493191262</v>
      </c>
      <c r="CW18">
        <v>8.6959488639998236E-2</v>
      </c>
      <c r="CX18">
        <v>0</v>
      </c>
      <c r="CY18">
        <v>8.000491188781135E-3</v>
      </c>
      <c r="CZ18">
        <v>0.18952511588431439</v>
      </c>
      <c r="DA18">
        <v>0.31231071592019394</v>
      </c>
      <c r="DB18">
        <v>0.16807529435441673</v>
      </c>
      <c r="DC18">
        <v>9.561975907719544E-3</v>
      </c>
      <c r="DE18" t="s">
        <v>383</v>
      </c>
      <c r="DF18" t="s">
        <v>111</v>
      </c>
      <c r="DG18" t="s">
        <v>112</v>
      </c>
      <c r="DH18">
        <v>0.40856816445272115</v>
      </c>
    </row>
    <row r="19" spans="2:112" x14ac:dyDescent="0.45">
      <c r="B19" t="s">
        <v>384</v>
      </c>
      <c r="C19" t="s">
        <v>107</v>
      </c>
      <c r="D19">
        <v>0</v>
      </c>
      <c r="E19">
        <v>0</v>
      </c>
      <c r="F19">
        <v>0.47633994993804379</v>
      </c>
      <c r="G19">
        <v>0.28656132476270207</v>
      </c>
      <c r="H19">
        <v>0.40242423411764394</v>
      </c>
      <c r="I19">
        <v>0.9268085781619998</v>
      </c>
      <c r="J19">
        <v>0.99728260869565211</v>
      </c>
      <c r="K19">
        <v>0.64870687335209032</v>
      </c>
      <c r="L19">
        <v>0.25370458830337278</v>
      </c>
      <c r="M19">
        <v>0.20874682481269849</v>
      </c>
      <c r="N19">
        <v>0.21643356861676324</v>
      </c>
      <c r="O19">
        <v>0.47824576484793896</v>
      </c>
      <c r="P19">
        <v>0.93991992807446578</v>
      </c>
      <c r="Q19">
        <v>0.51467237043931036</v>
      </c>
      <c r="R19">
        <v>0.18877809550556721</v>
      </c>
      <c r="S19">
        <v>0.14522673921187529</v>
      </c>
      <c r="T19">
        <v>0.15894645215266903</v>
      </c>
      <c r="U19">
        <v>0.35475913458650188</v>
      </c>
      <c r="V19">
        <v>0</v>
      </c>
      <c r="W19">
        <v>0.84554962086458596</v>
      </c>
      <c r="X19">
        <v>0.33822609752676719</v>
      </c>
      <c r="Y19">
        <v>0.2504251820697645</v>
      </c>
      <c r="Z19">
        <v>0.35600594581038109</v>
      </c>
      <c r="AA19">
        <v>0.80514233369812438</v>
      </c>
      <c r="CE19" t="s">
        <v>384</v>
      </c>
      <c r="CF19">
        <v>0</v>
      </c>
      <c r="CG19">
        <v>0</v>
      </c>
      <c r="CH19">
        <v>9.0780631880005347E-2</v>
      </c>
      <c r="CI19">
        <v>0.25061805762385053</v>
      </c>
      <c r="CJ19">
        <v>0.119917920307543</v>
      </c>
      <c r="CK19">
        <v>1.8086912550239098E-3</v>
      </c>
      <c r="CL19">
        <v>8.6155011519187374E-7</v>
      </c>
      <c r="CM19">
        <v>2.7911448016904771E-2</v>
      </c>
      <c r="CN19">
        <v>0.29886399057822005</v>
      </c>
      <c r="CO19">
        <v>0.43193378850844677</v>
      </c>
      <c r="CP19">
        <v>0.28827027401522448</v>
      </c>
      <c r="CQ19">
        <v>5.0415607792570961E-2</v>
      </c>
      <c r="CR19">
        <v>1.3141334602798216E-4</v>
      </c>
      <c r="CS19">
        <v>4.3722573322710283E-2</v>
      </c>
      <c r="CT19">
        <v>0.32576709532219433</v>
      </c>
      <c r="CU19">
        <v>0.47701096376809088</v>
      </c>
      <c r="CV19">
        <v>0.3609211354691913</v>
      </c>
      <c r="CW19">
        <v>8.8659873101067307E-2</v>
      </c>
      <c r="CX19">
        <v>0</v>
      </c>
      <c r="CY19">
        <v>8.1294872283911232E-3</v>
      </c>
      <c r="CZ19">
        <v>0.19601511124165638</v>
      </c>
      <c r="DA19">
        <v>0.31994323068445091</v>
      </c>
      <c r="DB19">
        <v>0.16616498537216048</v>
      </c>
      <c r="DC19">
        <v>9.818915099898292E-3</v>
      </c>
      <c r="DE19" t="s">
        <v>384</v>
      </c>
      <c r="DF19" t="s">
        <v>111</v>
      </c>
      <c r="DG19" t="s">
        <v>112</v>
      </c>
      <c r="DH19">
        <v>0.41488636499675718</v>
      </c>
    </row>
    <row r="20" spans="2:112" x14ac:dyDescent="0.45">
      <c r="B20" t="s">
        <v>385</v>
      </c>
      <c r="C20" t="s">
        <v>107</v>
      </c>
      <c r="D20">
        <v>0</v>
      </c>
      <c r="E20">
        <v>0</v>
      </c>
      <c r="F20">
        <v>0.47661928857776276</v>
      </c>
      <c r="G20">
        <v>0.28859638924698899</v>
      </c>
      <c r="H20">
        <v>0.4040482343263882</v>
      </c>
      <c r="I20">
        <v>0.93104338753581961</v>
      </c>
      <c r="J20">
        <v>0.99864130434782605</v>
      </c>
      <c r="K20">
        <v>0.6404005724050218</v>
      </c>
      <c r="L20">
        <v>0.25359019416629475</v>
      </c>
      <c r="M20">
        <v>0.20657272309856187</v>
      </c>
      <c r="N20">
        <v>0.21569560230493481</v>
      </c>
      <c r="O20">
        <v>0.48471479260554318</v>
      </c>
      <c r="P20">
        <v>0.94086573722165512</v>
      </c>
      <c r="Q20">
        <v>0.50911940227511832</v>
      </c>
      <c r="R20">
        <v>0.18486763624003011</v>
      </c>
      <c r="S20">
        <v>0.13769340446327633</v>
      </c>
      <c r="T20">
        <v>0.15497012903973464</v>
      </c>
      <c r="U20">
        <v>0.35792087721874066</v>
      </c>
      <c r="V20">
        <v>0</v>
      </c>
      <c r="W20">
        <v>0.83718436790762096</v>
      </c>
      <c r="X20">
        <v>0.33667335610433219</v>
      </c>
      <c r="Y20">
        <v>0.25073491634228484</v>
      </c>
      <c r="Z20">
        <v>0.35458731420876544</v>
      </c>
      <c r="AA20">
        <v>0.81116888327905645</v>
      </c>
      <c r="CE20" t="s">
        <v>385</v>
      </c>
      <c r="CF20">
        <v>0</v>
      </c>
      <c r="CG20">
        <v>0</v>
      </c>
      <c r="CH20">
        <v>8.8770960965484841E-2</v>
      </c>
      <c r="CI20">
        <v>0.24018347371645549</v>
      </c>
      <c r="CJ20">
        <v>0.11369919512529762</v>
      </c>
      <c r="CK20">
        <v>1.3684040271780557E-3</v>
      </c>
      <c r="CL20">
        <v>1.5611659443453865E-7</v>
      </c>
      <c r="CM20">
        <v>2.9519276059505974E-2</v>
      </c>
      <c r="CN20">
        <v>0.30546714267119818</v>
      </c>
      <c r="CO20">
        <v>0.44102975892145996</v>
      </c>
      <c r="CP20">
        <v>0.29285617896180222</v>
      </c>
      <c r="CQ20">
        <v>4.833190652989551E-2</v>
      </c>
      <c r="CR20">
        <v>9.2637950750274883E-5</v>
      </c>
      <c r="CS20">
        <v>4.6542769835849394E-2</v>
      </c>
      <c r="CT20">
        <v>0.33439408914536994</v>
      </c>
      <c r="CU20">
        <v>0.48353530183110549</v>
      </c>
      <c r="CV20">
        <v>0.35475604234776204</v>
      </c>
      <c r="CW20">
        <v>8.5942073077972775E-2</v>
      </c>
      <c r="CX20">
        <v>0</v>
      </c>
      <c r="CY20">
        <v>8.4147850117045845E-3</v>
      </c>
      <c r="CZ20">
        <v>0.19800684902111909</v>
      </c>
      <c r="DA20">
        <v>0.31585107868598711</v>
      </c>
      <c r="DB20">
        <v>0.16390638699957333</v>
      </c>
      <c r="DC20">
        <v>8.6705169084843499E-3</v>
      </c>
      <c r="DE20" t="s">
        <v>385</v>
      </c>
      <c r="DF20" t="s">
        <v>111</v>
      </c>
      <c r="DG20" t="s">
        <v>112</v>
      </c>
      <c r="DH20">
        <v>0.4161514984038861</v>
      </c>
    </row>
    <row r="21" spans="2:112" x14ac:dyDescent="0.45">
      <c r="B21" t="s">
        <v>386</v>
      </c>
      <c r="C21" t="s">
        <v>107</v>
      </c>
      <c r="D21">
        <v>0.26811396231027873</v>
      </c>
      <c r="E21">
        <v>0.27314533297952021</v>
      </c>
      <c r="F21">
        <v>0.28756054668090891</v>
      </c>
      <c r="G21">
        <v>0.32813154497730684</v>
      </c>
      <c r="H21">
        <v>0.30874778092450539</v>
      </c>
      <c r="I21">
        <v>0.27036094214108003</v>
      </c>
      <c r="J21">
        <v>0.30098797396569005</v>
      </c>
      <c r="K21">
        <v>0.28749156887998201</v>
      </c>
      <c r="L21">
        <v>0.33073845950345127</v>
      </c>
      <c r="M21">
        <v>0.34172314650901325</v>
      </c>
      <c r="N21">
        <v>0.31052651748320775</v>
      </c>
      <c r="O21">
        <v>0.31198877786864654</v>
      </c>
      <c r="P21">
        <v>0.3151427385514749</v>
      </c>
      <c r="Q21">
        <v>0.32761415138388972</v>
      </c>
      <c r="R21">
        <v>0.38161323333349895</v>
      </c>
      <c r="S21">
        <v>0.36651501656092644</v>
      </c>
      <c r="T21">
        <v>0.35029700188517437</v>
      </c>
      <c r="U21">
        <v>0.35234908409206817</v>
      </c>
      <c r="V21">
        <v>0.30879017037774598</v>
      </c>
      <c r="W21">
        <v>0.32360870118762419</v>
      </c>
      <c r="X21">
        <v>0.34373186901988645</v>
      </c>
      <c r="Y21">
        <v>0.34570373012025579</v>
      </c>
      <c r="Z21">
        <v>0.32327384735150738</v>
      </c>
      <c r="AA21">
        <v>0.3175520809656196</v>
      </c>
      <c r="CE21" t="s">
        <v>386</v>
      </c>
      <c r="CF21">
        <v>0.49588556396093381</v>
      </c>
      <c r="CG21">
        <v>0.49035322464065006</v>
      </c>
      <c r="CH21">
        <v>0.47731411240760557</v>
      </c>
      <c r="CI21">
        <v>0.43684767243557737</v>
      </c>
      <c r="CJ21">
        <v>0.45097475254422947</v>
      </c>
      <c r="CK21">
        <v>0.48314602510967808</v>
      </c>
      <c r="CL21">
        <v>0.39775424305688073</v>
      </c>
      <c r="CM21">
        <v>0.39234903678502042</v>
      </c>
      <c r="CN21">
        <v>0.36633359597157983</v>
      </c>
      <c r="CO21">
        <v>0.37458945818284189</v>
      </c>
      <c r="CP21">
        <v>0.393250230218404</v>
      </c>
      <c r="CQ21">
        <v>0.38093267825070209</v>
      </c>
      <c r="CR21">
        <v>0.30795688482710121</v>
      </c>
      <c r="CS21">
        <v>0.25611481461422908</v>
      </c>
      <c r="CT21">
        <v>0.22255557676689158</v>
      </c>
      <c r="CU21">
        <v>0.22678427387978045</v>
      </c>
      <c r="CV21">
        <v>0.2610037170255195</v>
      </c>
      <c r="CW21">
        <v>0.27645810336783672</v>
      </c>
      <c r="CX21">
        <v>0.41805329236764827</v>
      </c>
      <c r="CY21">
        <v>0.40107047346094149</v>
      </c>
      <c r="CZ21">
        <v>0.36315555197291927</v>
      </c>
      <c r="DA21">
        <v>0.38554797176582356</v>
      </c>
      <c r="DB21">
        <v>0.41255578621786576</v>
      </c>
      <c r="DC21">
        <v>0.43319546283156685</v>
      </c>
      <c r="DE21" t="s">
        <v>386</v>
      </c>
      <c r="DF21" t="s">
        <v>111</v>
      </c>
      <c r="DG21" t="s">
        <v>112</v>
      </c>
      <c r="DH21">
        <v>0.49367579420347429</v>
      </c>
    </row>
    <row r="22" spans="2:112" x14ac:dyDescent="0.45">
      <c r="B22" t="s">
        <v>387</v>
      </c>
      <c r="C22" t="s">
        <v>107</v>
      </c>
      <c r="D22">
        <v>0.30234415738404008</v>
      </c>
      <c r="E22">
        <v>0.30476733068754847</v>
      </c>
      <c r="F22">
        <v>0.3277233769907017</v>
      </c>
      <c r="G22">
        <v>0.37152011676080332</v>
      </c>
      <c r="H22">
        <v>0.35423257069654013</v>
      </c>
      <c r="I22">
        <v>0.30257464549274365</v>
      </c>
      <c r="J22">
        <v>0.30478544889805376</v>
      </c>
      <c r="K22">
        <v>0.29206260842596832</v>
      </c>
      <c r="L22">
        <v>0.34565943724866405</v>
      </c>
      <c r="M22">
        <v>0.35018393627629696</v>
      </c>
      <c r="N22">
        <v>0.33409593758593659</v>
      </c>
      <c r="O22">
        <v>0.32778662993676549</v>
      </c>
      <c r="P22">
        <v>0.29009745645804336</v>
      </c>
      <c r="Q22">
        <v>0.31825012975900868</v>
      </c>
      <c r="R22">
        <v>0.39030266980469219</v>
      </c>
      <c r="S22">
        <v>0.3638199022649849</v>
      </c>
      <c r="T22">
        <v>0.34331630539037927</v>
      </c>
      <c r="U22">
        <v>0.34057930747027704</v>
      </c>
      <c r="V22">
        <v>0.3269828826040298</v>
      </c>
      <c r="W22">
        <v>0.35452059840753691</v>
      </c>
      <c r="X22">
        <v>0.38675996769097432</v>
      </c>
      <c r="Y22">
        <v>0.37807483508870188</v>
      </c>
      <c r="Z22">
        <v>0.36364554283926043</v>
      </c>
      <c r="AA22">
        <v>0.33645458556692004</v>
      </c>
      <c r="CE22" t="s">
        <v>387</v>
      </c>
      <c r="CF22">
        <v>0.43787468891841674</v>
      </c>
      <c r="CG22">
        <v>0.43193938922174169</v>
      </c>
      <c r="CH22">
        <v>0.41318900643535922</v>
      </c>
      <c r="CI22">
        <v>0.38031863626230233</v>
      </c>
      <c r="CJ22">
        <v>0.39018929329791546</v>
      </c>
      <c r="CK22">
        <v>0.41793153300507951</v>
      </c>
      <c r="CL22">
        <v>0.34343066961963659</v>
      </c>
      <c r="CM22">
        <v>0.33013656924527807</v>
      </c>
      <c r="CN22">
        <v>0.30383145900096575</v>
      </c>
      <c r="CO22">
        <v>0.31828143118076302</v>
      </c>
      <c r="CP22">
        <v>0.33948440895590903</v>
      </c>
      <c r="CQ22">
        <v>0.32016970124060401</v>
      </c>
      <c r="CR22">
        <v>0.26748674924024901</v>
      </c>
      <c r="CS22">
        <v>0.21122040353796487</v>
      </c>
      <c r="CT22">
        <v>0.17794060165605424</v>
      </c>
      <c r="CU22">
        <v>0.19577158582886597</v>
      </c>
      <c r="CV22">
        <v>0.22014007688707729</v>
      </c>
      <c r="CW22">
        <v>0.22682989482978042</v>
      </c>
      <c r="CX22">
        <v>0.37452929012048369</v>
      </c>
      <c r="CY22">
        <v>0.35098295365486676</v>
      </c>
      <c r="CZ22">
        <v>0.31708291450239573</v>
      </c>
      <c r="DA22">
        <v>0.34508188124902095</v>
      </c>
      <c r="DB22">
        <v>0.36907455728512018</v>
      </c>
      <c r="DC22">
        <v>0.38668799959696332</v>
      </c>
      <c r="DE22" t="s">
        <v>387</v>
      </c>
      <c r="DF22" t="s">
        <v>111</v>
      </c>
      <c r="DG22" t="s">
        <v>112</v>
      </c>
      <c r="DH22">
        <v>0.43538196321148837</v>
      </c>
    </row>
    <row r="23" spans="2:112" x14ac:dyDescent="0.45">
      <c r="B23" t="s">
        <v>388</v>
      </c>
      <c r="C23" t="s">
        <v>107</v>
      </c>
      <c r="D23">
        <v>0.32014047242072224</v>
      </c>
      <c r="E23">
        <v>0.33498930910179292</v>
      </c>
      <c r="F23">
        <v>0.360126712229074</v>
      </c>
      <c r="G23">
        <v>0.3924403702699098</v>
      </c>
      <c r="H23">
        <v>0.36740910667375581</v>
      </c>
      <c r="I23">
        <v>0.31523883691510368</v>
      </c>
      <c r="J23">
        <v>0.31052779230845978</v>
      </c>
      <c r="K23">
        <v>0.32149612231809288</v>
      </c>
      <c r="L23">
        <v>0.35529470051641604</v>
      </c>
      <c r="M23">
        <v>0.33279078208312579</v>
      </c>
      <c r="N23">
        <v>0.32591443175592349</v>
      </c>
      <c r="O23">
        <v>0.32732545828484844</v>
      </c>
      <c r="P23">
        <v>0.31678765392931157</v>
      </c>
      <c r="Q23">
        <v>0.33035263523914421</v>
      </c>
      <c r="R23">
        <v>0.39178337649793699</v>
      </c>
      <c r="S23">
        <v>0.40415982167978137</v>
      </c>
      <c r="T23">
        <v>0.37176798132952699</v>
      </c>
      <c r="U23">
        <v>0.35082861950443861</v>
      </c>
      <c r="V23">
        <v>0.32736884979469449</v>
      </c>
      <c r="W23">
        <v>0.35829297867909021</v>
      </c>
      <c r="X23">
        <v>0.39837220507691951</v>
      </c>
      <c r="Y23">
        <v>0.38113947620491218</v>
      </c>
      <c r="Z23">
        <v>0.36288282539285177</v>
      </c>
      <c r="AA23">
        <v>0.33921306203328677</v>
      </c>
      <c r="CE23" t="s">
        <v>388</v>
      </c>
      <c r="CF23">
        <v>0.40883077797154049</v>
      </c>
      <c r="CG23">
        <v>0.39029757854585412</v>
      </c>
      <c r="CH23">
        <v>0.36280497416330665</v>
      </c>
      <c r="CI23">
        <v>0.35115542808063077</v>
      </c>
      <c r="CJ23">
        <v>0.36294197152889091</v>
      </c>
      <c r="CK23">
        <v>0.40336489853112328</v>
      </c>
      <c r="CL23">
        <v>0.30799403647756812</v>
      </c>
      <c r="CM23">
        <v>0.31017646589280207</v>
      </c>
      <c r="CN23">
        <v>0.27068473946187521</v>
      </c>
      <c r="CO23">
        <v>0.25669658649711768</v>
      </c>
      <c r="CP23">
        <v>0.28616125888985572</v>
      </c>
      <c r="CQ23">
        <v>0.29621842519591013</v>
      </c>
      <c r="CR23">
        <v>0.24011838273565089</v>
      </c>
      <c r="CS23">
        <v>0.20768169497169175</v>
      </c>
      <c r="CT23">
        <v>0.1623311956535205</v>
      </c>
      <c r="CU23">
        <v>0.16830005741370119</v>
      </c>
      <c r="CV23">
        <v>0.18743590300017215</v>
      </c>
      <c r="CW23">
        <v>0.19616673037256901</v>
      </c>
      <c r="CX23">
        <v>0.37622860503988964</v>
      </c>
      <c r="CY23">
        <v>0.34953579069549284</v>
      </c>
      <c r="CZ23">
        <v>0.32060298588762309</v>
      </c>
      <c r="DA23">
        <v>0.32329757593177155</v>
      </c>
      <c r="DB23">
        <v>0.34472779635598311</v>
      </c>
      <c r="DC23">
        <v>0.38173363544589034</v>
      </c>
      <c r="DE23" t="s">
        <v>388</v>
      </c>
      <c r="DF23" t="s">
        <v>111</v>
      </c>
      <c r="DG23" t="s">
        <v>112</v>
      </c>
      <c r="DH23">
        <v>0.40105609200356379</v>
      </c>
    </row>
    <row r="24" spans="2:112" x14ac:dyDescent="0.45">
      <c r="B24" t="s">
        <v>389</v>
      </c>
      <c r="C24" t="s">
        <v>107</v>
      </c>
      <c r="D24">
        <v>0.34080498295610795</v>
      </c>
      <c r="E24">
        <v>0.34458180658092957</v>
      </c>
      <c r="F24">
        <v>0.35511423656171626</v>
      </c>
      <c r="G24">
        <v>0.38929480684320977</v>
      </c>
      <c r="H24">
        <v>0.37557139483677437</v>
      </c>
      <c r="I24">
        <v>0.33115896801169747</v>
      </c>
      <c r="J24">
        <v>0.31487391315588625</v>
      </c>
      <c r="K24">
        <v>0.33197337044923747</v>
      </c>
      <c r="L24">
        <v>0.38548739333318127</v>
      </c>
      <c r="M24">
        <v>0.37105241348694212</v>
      </c>
      <c r="N24">
        <v>0.33990613508829637</v>
      </c>
      <c r="O24">
        <v>0.32379262881025894</v>
      </c>
      <c r="P24">
        <v>0.32122326801432949</v>
      </c>
      <c r="Q24">
        <v>0.35154281127707809</v>
      </c>
      <c r="R24">
        <v>0.41808143353721183</v>
      </c>
      <c r="S24">
        <v>0.44688683631683956</v>
      </c>
      <c r="T24">
        <v>0.40666385106857167</v>
      </c>
      <c r="U24">
        <v>0.36586916477460191</v>
      </c>
      <c r="V24">
        <v>0.33115214747018068</v>
      </c>
      <c r="W24">
        <v>0.36025758320917955</v>
      </c>
      <c r="X24">
        <v>0.39513049777706888</v>
      </c>
      <c r="Y24">
        <v>0.38938911877491988</v>
      </c>
      <c r="Z24">
        <v>0.35715773584987381</v>
      </c>
      <c r="AA24">
        <v>0.34885491760672716</v>
      </c>
      <c r="CE24" t="s">
        <v>389</v>
      </c>
      <c r="CF24">
        <v>0.37915539944951887</v>
      </c>
      <c r="CG24">
        <v>0.37045570283403828</v>
      </c>
      <c r="CH24">
        <v>0.336689893980683</v>
      </c>
      <c r="CI24">
        <v>0.32978148424946185</v>
      </c>
      <c r="CJ24">
        <v>0.34323862523823562</v>
      </c>
      <c r="CK24">
        <v>0.37548991691200406</v>
      </c>
      <c r="CL24">
        <v>0.2863953900903099</v>
      </c>
      <c r="CM24">
        <v>0.28723395371723554</v>
      </c>
      <c r="CN24">
        <v>0.25189888340073463</v>
      </c>
      <c r="CO24">
        <v>0.24394557503578457</v>
      </c>
      <c r="CP24">
        <v>0.27574704703663988</v>
      </c>
      <c r="CQ24">
        <v>0.28013143106701149</v>
      </c>
      <c r="CR24">
        <v>0.21681035521538908</v>
      </c>
      <c r="CS24">
        <v>0.18632666562948347</v>
      </c>
      <c r="CT24">
        <v>0.15579344877303389</v>
      </c>
      <c r="CU24">
        <v>0.15788993004969307</v>
      </c>
      <c r="CV24">
        <v>0.17072639232788209</v>
      </c>
      <c r="CW24">
        <v>0.17053557894162266</v>
      </c>
      <c r="CX24">
        <v>0.35568559912652553</v>
      </c>
      <c r="CY24">
        <v>0.33301219757541423</v>
      </c>
      <c r="CZ24">
        <v>0.29961615955736831</v>
      </c>
      <c r="DA24">
        <v>0.29710912204692108</v>
      </c>
      <c r="DB24">
        <v>0.3234194151412409</v>
      </c>
      <c r="DC24">
        <v>0.35894616907240734</v>
      </c>
      <c r="DE24" t="s">
        <v>389</v>
      </c>
      <c r="DF24" t="s">
        <v>111</v>
      </c>
      <c r="DG24" t="s">
        <v>112</v>
      </c>
      <c r="DH24">
        <v>0.37609171954391057</v>
      </c>
    </row>
    <row r="25" spans="2:112" x14ac:dyDescent="0.45">
      <c r="B25" t="s">
        <v>390</v>
      </c>
      <c r="C25" t="s">
        <v>107</v>
      </c>
      <c r="D25">
        <v>0.29886492060224845</v>
      </c>
      <c r="E25">
        <v>0.30740830751945025</v>
      </c>
      <c r="F25">
        <v>0.33439965166858926</v>
      </c>
      <c r="G25">
        <v>0.36577850652186639</v>
      </c>
      <c r="H25">
        <v>0.34370222584964966</v>
      </c>
      <c r="I25">
        <v>0.29686621477848874</v>
      </c>
      <c r="J25">
        <v>0.31915065115470265</v>
      </c>
      <c r="K25">
        <v>0.328026547921345</v>
      </c>
      <c r="L25">
        <v>0.39500339488554992</v>
      </c>
      <c r="M25">
        <v>0.3802381233619756</v>
      </c>
      <c r="N25">
        <v>0.36373095217503232</v>
      </c>
      <c r="O25">
        <v>0.33820641150871028</v>
      </c>
      <c r="P25">
        <v>0.31684436741659527</v>
      </c>
      <c r="Q25">
        <v>0.34406642786419639</v>
      </c>
      <c r="R25">
        <v>0.41590384198668762</v>
      </c>
      <c r="S25">
        <v>0.39170289451176876</v>
      </c>
      <c r="T25">
        <v>0.3999388150981506</v>
      </c>
      <c r="U25">
        <v>0.36746014082447076</v>
      </c>
      <c r="V25">
        <v>0.32730518977466433</v>
      </c>
      <c r="W25">
        <v>0.36253826834325481</v>
      </c>
      <c r="X25">
        <v>0.40140000824952821</v>
      </c>
      <c r="Y25">
        <v>0.37499687572427143</v>
      </c>
      <c r="Z25">
        <v>0.34231295100216252</v>
      </c>
      <c r="AA25">
        <v>0.33630110659502455</v>
      </c>
      <c r="CE25" t="s">
        <v>390</v>
      </c>
      <c r="CF25">
        <v>0.43145509266754589</v>
      </c>
      <c r="CG25">
        <v>0.42927953550613485</v>
      </c>
      <c r="CH25">
        <v>0.41189685676091947</v>
      </c>
      <c r="CI25">
        <v>0.37566961939070159</v>
      </c>
      <c r="CJ25">
        <v>0.38737192641920815</v>
      </c>
      <c r="CK25">
        <v>0.41489269863780703</v>
      </c>
      <c r="CL25">
        <v>0.31974923357215018</v>
      </c>
      <c r="CM25">
        <v>0.30487118624373677</v>
      </c>
      <c r="CN25">
        <v>0.28193058033281337</v>
      </c>
      <c r="CO25">
        <v>0.28891660507184247</v>
      </c>
      <c r="CP25">
        <v>0.30377152159343568</v>
      </c>
      <c r="CQ25">
        <v>0.29421126410708959</v>
      </c>
      <c r="CR25">
        <v>0.23832256598645626</v>
      </c>
      <c r="CS25">
        <v>0.19582582401816395</v>
      </c>
      <c r="CT25">
        <v>0.1562843209910974</v>
      </c>
      <c r="CU25">
        <v>0.16538302900238677</v>
      </c>
      <c r="CV25">
        <v>0.18677538362309945</v>
      </c>
      <c r="CW25">
        <v>0.18707377731028108</v>
      </c>
      <c r="CX25">
        <v>0.36239924748605373</v>
      </c>
      <c r="CY25">
        <v>0.33865812655073452</v>
      </c>
      <c r="CZ25">
        <v>0.3067590817689278</v>
      </c>
      <c r="DA25">
        <v>0.30932123799718136</v>
      </c>
      <c r="DB25">
        <v>0.32147901484646862</v>
      </c>
      <c r="DC25">
        <v>0.36406470950971259</v>
      </c>
      <c r="DE25" t="s">
        <v>390</v>
      </c>
      <c r="DF25" t="s">
        <v>111</v>
      </c>
      <c r="DG25" t="s">
        <v>112</v>
      </c>
      <c r="DH25">
        <v>0.42808778163215305</v>
      </c>
    </row>
    <row r="26" spans="2:112" x14ac:dyDescent="0.45">
      <c r="B26" t="s">
        <v>391</v>
      </c>
      <c r="C26" t="s">
        <v>107</v>
      </c>
      <c r="D26">
        <v>0.3117319386862743</v>
      </c>
      <c r="E26">
        <v>0.32254121593629864</v>
      </c>
      <c r="F26">
        <v>0.34618623131373866</v>
      </c>
      <c r="G26">
        <v>0.36870278862876971</v>
      </c>
      <c r="H26">
        <v>0.35643847978748405</v>
      </c>
      <c r="I26">
        <v>0.31582911298950961</v>
      </c>
      <c r="J26">
        <v>0.32316779789623257</v>
      </c>
      <c r="K26">
        <v>0.33056998457899661</v>
      </c>
      <c r="L26">
        <v>0.41326635552062979</v>
      </c>
      <c r="M26">
        <v>0.40184532321534661</v>
      </c>
      <c r="N26">
        <v>0.37651924783984581</v>
      </c>
      <c r="O26">
        <v>0.34492821050293776</v>
      </c>
      <c r="P26">
        <v>0.33014411903542706</v>
      </c>
      <c r="Q26">
        <v>0.36168916949129809</v>
      </c>
      <c r="R26">
        <v>0.44151832632558963</v>
      </c>
      <c r="S26">
        <v>0.4048785889124637</v>
      </c>
      <c r="T26">
        <v>0.42311927523881232</v>
      </c>
      <c r="U26">
        <v>0.38709835190515873</v>
      </c>
      <c r="V26">
        <v>0.33732003820310325</v>
      </c>
      <c r="W26">
        <v>0.36389336068848183</v>
      </c>
      <c r="X26">
        <v>0.406827114919463</v>
      </c>
      <c r="Y26">
        <v>0.39434552459746297</v>
      </c>
      <c r="Z26">
        <v>0.35839145240848397</v>
      </c>
      <c r="AA26">
        <v>0.33576043391360377</v>
      </c>
      <c r="CE26" t="s">
        <v>391</v>
      </c>
      <c r="CF26">
        <v>0.41000802482433046</v>
      </c>
      <c r="CG26">
        <v>0.41012849341689922</v>
      </c>
      <c r="CH26">
        <v>0.3836726104064534</v>
      </c>
      <c r="CI26">
        <v>0.35172516721714703</v>
      </c>
      <c r="CJ26">
        <v>0.36288357370843488</v>
      </c>
      <c r="CK26">
        <v>0.39294025674462318</v>
      </c>
      <c r="CL26">
        <v>0.28583117020594806</v>
      </c>
      <c r="CM26">
        <v>0.27436606933833507</v>
      </c>
      <c r="CN26">
        <v>0.24701952319288545</v>
      </c>
      <c r="CO26">
        <v>0.25207279367622099</v>
      </c>
      <c r="CP26">
        <v>0.27016787044029089</v>
      </c>
      <c r="CQ26">
        <v>0.2690599182446865</v>
      </c>
      <c r="CR26">
        <v>0.21179850224080324</v>
      </c>
      <c r="CS26">
        <v>0.1818761532081028</v>
      </c>
      <c r="CT26">
        <v>0.14333774584709949</v>
      </c>
      <c r="CU26">
        <v>0.15061040268493883</v>
      </c>
      <c r="CV26">
        <v>0.16965885920512516</v>
      </c>
      <c r="CW26">
        <v>0.1630860648322108</v>
      </c>
      <c r="CX26">
        <v>0.34697647124994546</v>
      </c>
      <c r="CY26">
        <v>0.32427034261482923</v>
      </c>
      <c r="CZ26">
        <v>0.28782036335330335</v>
      </c>
      <c r="DA26">
        <v>0.28716528893537108</v>
      </c>
      <c r="DB26">
        <v>0.29485291646002032</v>
      </c>
      <c r="DC26">
        <v>0.32621160980941721</v>
      </c>
      <c r="DE26" t="s">
        <v>391</v>
      </c>
      <c r="DF26" t="s">
        <v>111</v>
      </c>
      <c r="DG26" t="s">
        <v>112</v>
      </c>
      <c r="DH26">
        <v>0.40674228656991746</v>
      </c>
    </row>
    <row r="27" spans="2:112" x14ac:dyDescent="0.45">
      <c r="B27" t="s">
        <v>392</v>
      </c>
      <c r="C27" t="s">
        <v>107</v>
      </c>
      <c r="D27">
        <v>0.32084416401046273</v>
      </c>
      <c r="E27">
        <v>0.33133463424320353</v>
      </c>
      <c r="F27">
        <v>0.35021452982354428</v>
      </c>
      <c r="G27">
        <v>0.38028851544431902</v>
      </c>
      <c r="H27">
        <v>0.35633612290677968</v>
      </c>
      <c r="I27">
        <v>0.30603705851718926</v>
      </c>
      <c r="J27">
        <v>0.31532330494802824</v>
      </c>
      <c r="K27">
        <v>0.31412310140509769</v>
      </c>
      <c r="L27">
        <v>0.35670000291188786</v>
      </c>
      <c r="M27">
        <v>0.3493640398869165</v>
      </c>
      <c r="N27">
        <v>0.33562685180302032</v>
      </c>
      <c r="O27">
        <v>0.32554817232677796</v>
      </c>
      <c r="P27">
        <v>0.32644041581128713</v>
      </c>
      <c r="Q27">
        <v>0.33688795768423102</v>
      </c>
      <c r="R27">
        <v>0.39562434889456982</v>
      </c>
      <c r="S27">
        <v>0.40989277902910382</v>
      </c>
      <c r="T27">
        <v>0.39113303070214278</v>
      </c>
      <c r="U27">
        <v>0.36588798824794944</v>
      </c>
      <c r="V27">
        <v>0.33015638629365268</v>
      </c>
      <c r="W27">
        <v>0.36336243478880309</v>
      </c>
      <c r="X27">
        <v>0.40433673602943004</v>
      </c>
      <c r="Y27">
        <v>0.37995073456598571</v>
      </c>
      <c r="Z27">
        <v>0.34507523241332311</v>
      </c>
      <c r="AA27">
        <v>0.3414543466129058</v>
      </c>
      <c r="CE27" t="s">
        <v>392</v>
      </c>
      <c r="CF27">
        <v>0.43536630715444302</v>
      </c>
      <c r="CG27">
        <v>0.42616524753868013</v>
      </c>
      <c r="CH27">
        <v>0.39151794249605026</v>
      </c>
      <c r="CI27">
        <v>0.38283866605775774</v>
      </c>
      <c r="CJ27">
        <v>0.39029926433586082</v>
      </c>
      <c r="CK27">
        <v>0.4214311838362374</v>
      </c>
      <c r="CL27">
        <v>0.30678628412201742</v>
      </c>
      <c r="CM27">
        <v>0.31039225653024649</v>
      </c>
      <c r="CN27">
        <v>0.27195513029637597</v>
      </c>
      <c r="CO27">
        <v>0.26401511656806281</v>
      </c>
      <c r="CP27">
        <v>0.29232722103794229</v>
      </c>
      <c r="CQ27">
        <v>0.29859747318065238</v>
      </c>
      <c r="CR27">
        <v>0.22484927682809125</v>
      </c>
      <c r="CS27">
        <v>0.2038635464205949</v>
      </c>
      <c r="CT27">
        <v>0.17351354742996034</v>
      </c>
      <c r="CU27">
        <v>0.17083795883600997</v>
      </c>
      <c r="CV27">
        <v>0.18756364011695292</v>
      </c>
      <c r="CW27">
        <v>0.18646734031323736</v>
      </c>
      <c r="CX27">
        <v>0.39140367216208821</v>
      </c>
      <c r="CY27">
        <v>0.36373883340814894</v>
      </c>
      <c r="CZ27">
        <v>0.33502578812226047</v>
      </c>
      <c r="DA27">
        <v>0.33372945104231411</v>
      </c>
      <c r="DB27">
        <v>0.35095383667731161</v>
      </c>
      <c r="DC27">
        <v>0.38884764097494329</v>
      </c>
      <c r="DE27" t="s">
        <v>392</v>
      </c>
      <c r="DF27" t="s">
        <v>111</v>
      </c>
      <c r="DG27" t="s">
        <v>112</v>
      </c>
      <c r="DH27">
        <v>0.43316770864850868</v>
      </c>
    </row>
    <row r="28" spans="2:112" x14ac:dyDescent="0.45">
      <c r="B28" t="s">
        <v>393</v>
      </c>
      <c r="C28" t="s">
        <v>107</v>
      </c>
      <c r="D28">
        <v>0.31903922942950602</v>
      </c>
      <c r="E28">
        <v>0.32476728346626416</v>
      </c>
      <c r="F28">
        <v>0.34702125451944593</v>
      </c>
      <c r="G28">
        <v>0.36981531215051999</v>
      </c>
      <c r="H28">
        <v>0.3524179707143047</v>
      </c>
      <c r="I28">
        <v>0.30612915443093386</v>
      </c>
      <c r="J28">
        <v>0.32145538937784357</v>
      </c>
      <c r="K28">
        <v>0.32324569581379881</v>
      </c>
      <c r="L28">
        <v>0.38229112797059278</v>
      </c>
      <c r="M28">
        <v>0.37698140399345437</v>
      </c>
      <c r="N28">
        <v>0.36510723124108357</v>
      </c>
      <c r="O28">
        <v>0.336814061721319</v>
      </c>
      <c r="P28">
        <v>0.33941835726522385</v>
      </c>
      <c r="Q28">
        <v>0.34821022796149592</v>
      </c>
      <c r="R28">
        <v>0.41270389670680419</v>
      </c>
      <c r="S28">
        <v>0.40666482835814921</v>
      </c>
      <c r="T28">
        <v>0.40593335799383057</v>
      </c>
      <c r="U28">
        <v>0.38395769390643247</v>
      </c>
      <c r="V28">
        <v>0.33976023015457274</v>
      </c>
      <c r="W28">
        <v>0.36787115324909414</v>
      </c>
      <c r="X28">
        <v>0.40503890734430742</v>
      </c>
      <c r="Y28">
        <v>0.38322525940654167</v>
      </c>
      <c r="Z28">
        <v>0.34254405261965803</v>
      </c>
      <c r="AA28">
        <v>0.34147512224240389</v>
      </c>
      <c r="CE28" t="s">
        <v>393</v>
      </c>
      <c r="CF28">
        <v>0.43741687059648232</v>
      </c>
      <c r="CG28">
        <v>0.43461829096130611</v>
      </c>
      <c r="CH28">
        <v>0.4010770131583774</v>
      </c>
      <c r="CI28">
        <v>0.38236029243131203</v>
      </c>
      <c r="CJ28">
        <v>0.39062275193217727</v>
      </c>
      <c r="CK28">
        <v>0.41763987031989491</v>
      </c>
      <c r="CL28">
        <v>0.30039629776855808</v>
      </c>
      <c r="CM28">
        <v>0.29979735126835294</v>
      </c>
      <c r="CN28">
        <v>0.26012763632900093</v>
      </c>
      <c r="CO28">
        <v>0.25575372898121079</v>
      </c>
      <c r="CP28">
        <v>0.28100751884504344</v>
      </c>
      <c r="CQ28">
        <v>0.2830840103712905</v>
      </c>
      <c r="CR28">
        <v>0.2165724599332822</v>
      </c>
      <c r="CS28">
        <v>0.19674442064854741</v>
      </c>
      <c r="CT28">
        <v>0.16329632519931614</v>
      </c>
      <c r="CU28">
        <v>0.16083482356718404</v>
      </c>
      <c r="CV28">
        <v>0.18060653563124884</v>
      </c>
      <c r="CW28">
        <v>0.17225254025053827</v>
      </c>
      <c r="CX28">
        <v>0.38235156202770687</v>
      </c>
      <c r="CY28">
        <v>0.35672021078861799</v>
      </c>
      <c r="CZ28">
        <v>0.32608850680431523</v>
      </c>
      <c r="DA28">
        <v>0.32081347361766482</v>
      </c>
      <c r="DB28">
        <v>0.33082185709855821</v>
      </c>
      <c r="DC28">
        <v>0.36538840071110551</v>
      </c>
      <c r="DE28" t="s">
        <v>393</v>
      </c>
      <c r="DF28" t="s">
        <v>111</v>
      </c>
      <c r="DG28" t="s">
        <v>112</v>
      </c>
      <c r="DH28">
        <v>0.43562635149121182</v>
      </c>
    </row>
    <row r="29" spans="2:112" x14ac:dyDescent="0.45">
      <c r="B29" t="s">
        <v>394</v>
      </c>
      <c r="C29" t="s">
        <v>107</v>
      </c>
      <c r="D29">
        <v>0.30758604365468234</v>
      </c>
      <c r="E29">
        <v>0.31169798010185101</v>
      </c>
      <c r="F29">
        <v>0.34120621103606774</v>
      </c>
      <c r="G29">
        <v>0.37022885404250089</v>
      </c>
      <c r="H29">
        <v>0.34919218307691147</v>
      </c>
      <c r="I29">
        <v>0.30015659686446666</v>
      </c>
      <c r="J29">
        <v>0.3135537101443559</v>
      </c>
      <c r="K29">
        <v>0.31258249503230051</v>
      </c>
      <c r="L29">
        <v>0.37257373517313297</v>
      </c>
      <c r="M29">
        <v>0.36609365920843712</v>
      </c>
      <c r="N29">
        <v>0.35624006965646327</v>
      </c>
      <c r="O29">
        <v>0.33093967337061558</v>
      </c>
      <c r="P29">
        <v>0.31928142937802728</v>
      </c>
      <c r="Q29">
        <v>0.32620808169473436</v>
      </c>
      <c r="R29">
        <v>0.39302242938911897</v>
      </c>
      <c r="S29">
        <v>0.38637455930229619</v>
      </c>
      <c r="T29">
        <v>0.38965370807139776</v>
      </c>
      <c r="U29">
        <v>0.36656735545494373</v>
      </c>
      <c r="V29">
        <v>0.32933950377801224</v>
      </c>
      <c r="W29">
        <v>0.37418026717868275</v>
      </c>
      <c r="X29">
        <v>0.40859081426874649</v>
      </c>
      <c r="Y29">
        <v>0.37723164477561849</v>
      </c>
      <c r="Z29">
        <v>0.34476337996237522</v>
      </c>
      <c r="AA29">
        <v>0.33952472597050165</v>
      </c>
      <c r="CE29" t="s">
        <v>394</v>
      </c>
      <c r="CF29">
        <v>0.4425222004979269</v>
      </c>
      <c r="CG29">
        <v>0.43623943324166464</v>
      </c>
      <c r="CH29">
        <v>0.41076006307450497</v>
      </c>
      <c r="CI29">
        <v>0.38596716455045493</v>
      </c>
      <c r="CJ29">
        <v>0.39583141928737064</v>
      </c>
      <c r="CK29">
        <v>0.42342176896498174</v>
      </c>
      <c r="CL29">
        <v>0.31920882132658174</v>
      </c>
      <c r="CM29">
        <v>0.31463917863075164</v>
      </c>
      <c r="CN29">
        <v>0.27978299561192649</v>
      </c>
      <c r="CO29">
        <v>0.28004478796833887</v>
      </c>
      <c r="CP29">
        <v>0.30073934477643183</v>
      </c>
      <c r="CQ29">
        <v>0.29740324330932144</v>
      </c>
      <c r="CR29">
        <v>0.24067432706055028</v>
      </c>
      <c r="CS29">
        <v>0.2061624737723895</v>
      </c>
      <c r="CT29">
        <v>0.16706929028941483</v>
      </c>
      <c r="CU29">
        <v>0.1719123908504861</v>
      </c>
      <c r="CV29">
        <v>0.19004739683300803</v>
      </c>
      <c r="CW29">
        <v>0.18688436758428817</v>
      </c>
      <c r="CX29">
        <v>0.37928709156292034</v>
      </c>
      <c r="CY29">
        <v>0.35014155281594583</v>
      </c>
      <c r="CZ29">
        <v>0.32347989899542695</v>
      </c>
      <c r="DA29">
        <v>0.32533054374037401</v>
      </c>
      <c r="DB29">
        <v>0.33673374511347248</v>
      </c>
      <c r="DC29">
        <v>0.38059624343840787</v>
      </c>
      <c r="DE29" t="s">
        <v>394</v>
      </c>
      <c r="DF29" t="s">
        <v>111</v>
      </c>
      <c r="DG29" t="s">
        <v>112</v>
      </c>
      <c r="DH29">
        <v>0.4383012998682691</v>
      </c>
    </row>
    <row r="30" spans="2:112" x14ac:dyDescent="0.45">
      <c r="B30" t="s">
        <v>395</v>
      </c>
      <c r="C30" t="s">
        <v>107</v>
      </c>
      <c r="D30">
        <v>0.30774922753415901</v>
      </c>
      <c r="E30">
        <v>0.31527520794668878</v>
      </c>
      <c r="F30">
        <v>0.34088854572382804</v>
      </c>
      <c r="G30">
        <v>0.38026723516875116</v>
      </c>
      <c r="H30">
        <v>0.35495500548700565</v>
      </c>
      <c r="I30">
        <v>0.30445003711402263</v>
      </c>
      <c r="J30">
        <v>0.31033797283546122</v>
      </c>
      <c r="K30">
        <v>0.29613785556950867</v>
      </c>
      <c r="L30">
        <v>0.34307128477123094</v>
      </c>
      <c r="M30">
        <v>0.3340420055627637</v>
      </c>
      <c r="N30">
        <v>0.33406359550687764</v>
      </c>
      <c r="O30">
        <v>0.32541145951862094</v>
      </c>
      <c r="P30">
        <v>0.30154476611228198</v>
      </c>
      <c r="Q30">
        <v>0.32116508982128972</v>
      </c>
      <c r="R30">
        <v>0.38630650493108926</v>
      </c>
      <c r="S30">
        <v>0.37522173668735914</v>
      </c>
      <c r="T30">
        <v>0.34861521110043164</v>
      </c>
      <c r="U30">
        <v>0.34427871058336157</v>
      </c>
      <c r="V30">
        <v>0.32629579798113528</v>
      </c>
      <c r="W30">
        <v>0.36793535208422562</v>
      </c>
      <c r="X30">
        <v>0.40653838673689802</v>
      </c>
      <c r="Y30">
        <v>0.37579579309231714</v>
      </c>
      <c r="Z30">
        <v>0.36182121242546117</v>
      </c>
      <c r="AA30">
        <v>0.33745574570647924</v>
      </c>
      <c r="CE30" t="s">
        <v>395</v>
      </c>
      <c r="CF30">
        <v>0.44233788742351055</v>
      </c>
      <c r="CG30">
        <v>0.43008990935905334</v>
      </c>
      <c r="CH30">
        <v>0.40464324561238529</v>
      </c>
      <c r="CI30">
        <v>0.3816959478671606</v>
      </c>
      <c r="CJ30">
        <v>0.39229094407821258</v>
      </c>
      <c r="CK30">
        <v>0.42804896905862239</v>
      </c>
      <c r="CL30">
        <v>0.3284015157412577</v>
      </c>
      <c r="CM30">
        <v>0.32415109713806045</v>
      </c>
      <c r="CN30">
        <v>0.29158278549149635</v>
      </c>
      <c r="CO30">
        <v>0.2903706810514266</v>
      </c>
      <c r="CP30">
        <v>0.31487485246817487</v>
      </c>
      <c r="CQ30">
        <v>0.31182413622061372</v>
      </c>
      <c r="CR30">
        <v>0.26186808198475936</v>
      </c>
      <c r="CS30">
        <v>0.21867863756239153</v>
      </c>
      <c r="CT30">
        <v>0.17624937767924992</v>
      </c>
      <c r="CU30">
        <v>0.18816543168011332</v>
      </c>
      <c r="CV30">
        <v>0.20646452527985149</v>
      </c>
      <c r="CW30">
        <v>0.21124936155775292</v>
      </c>
      <c r="CX30">
        <v>0.38588191097931479</v>
      </c>
      <c r="CY30">
        <v>0.35549878437300564</v>
      </c>
      <c r="CZ30">
        <v>0.3315956111309758</v>
      </c>
      <c r="DA30">
        <v>0.34348897330731804</v>
      </c>
      <c r="DB30">
        <v>0.36473796356137972</v>
      </c>
      <c r="DC30">
        <v>0.39646415003642549</v>
      </c>
      <c r="DE30" t="s">
        <v>395</v>
      </c>
      <c r="DF30" t="s">
        <v>111</v>
      </c>
      <c r="DG30" t="s">
        <v>112</v>
      </c>
      <c r="DH30">
        <v>0.43776378349983897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4E772-DDF7-4B74-9ED9-5CBC3AD3DA9C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region=BEL")</f>
        <v>~TFM_DINS-AT: region=BEL</v>
      </c>
      <c r="H9" t="str">
        <f>IF(A11="x","DeActivated","~TFM_DINS-AT: region=BEL")</f>
        <v>~TFM_DINS-AT: region=BEL</v>
      </c>
      <c r="L9" t="str">
        <f>IF(A11="x","DeActivated","~TFM_DINS-AT: region=BEL")</f>
        <v>~TFM_DINS-AT: region=BEL</v>
      </c>
      <c r="P9" t="str">
        <f>IF(A11="x","DeActivated","~TFM_INS-AT: region=BEL")</f>
        <v>~TFM_INS-AT: region=BEL</v>
      </c>
    </row>
    <row r="10" spans="1:19" x14ac:dyDescent="0.45">
      <c r="A10" t="s">
        <v>189</v>
      </c>
      <c r="C10" t="s">
        <v>190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191</v>
      </c>
      <c r="P10" t="s">
        <v>192</v>
      </c>
      <c r="Q10" t="s">
        <v>1</v>
      </c>
      <c r="R10" t="s">
        <v>193</v>
      </c>
      <c r="S10" t="s">
        <v>194</v>
      </c>
    </row>
    <row r="11" spans="1:19" x14ac:dyDescent="0.45">
      <c r="C11">
        <v>8.2191780821917804E-2</v>
      </c>
      <c r="D11">
        <v>2.291226412748925E-2</v>
      </c>
      <c r="E11" t="s">
        <v>5</v>
      </c>
      <c r="F11" t="s">
        <v>195</v>
      </c>
      <c r="H11" t="s">
        <v>196</v>
      </c>
      <c r="I11" t="s">
        <v>5</v>
      </c>
      <c r="L11" t="s">
        <v>197</v>
      </c>
      <c r="M11" t="s">
        <v>5</v>
      </c>
      <c r="N11">
        <v>0.18654052081668859</v>
      </c>
      <c r="P11">
        <v>2020</v>
      </c>
      <c r="Q11" t="s">
        <v>198</v>
      </c>
      <c r="R11">
        <v>0.29073333333333334</v>
      </c>
      <c r="S11" t="s">
        <v>199</v>
      </c>
    </row>
    <row r="12" spans="1:19" x14ac:dyDescent="0.45">
      <c r="C12">
        <v>4.1095890410958902E-2</v>
      </c>
      <c r="D12">
        <v>5.0687417646620103E-2</v>
      </c>
      <c r="E12" t="s">
        <v>9</v>
      </c>
      <c r="F12" t="s">
        <v>195</v>
      </c>
      <c r="H12" t="s">
        <v>196</v>
      </c>
      <c r="I12" t="s">
        <v>9</v>
      </c>
      <c r="L12" t="s">
        <v>197</v>
      </c>
      <c r="M12" t="s">
        <v>9</v>
      </c>
      <c r="N12">
        <v>0.20583209553799531</v>
      </c>
      <c r="P12">
        <v>2020</v>
      </c>
      <c r="Q12" t="s">
        <v>200</v>
      </c>
      <c r="R12">
        <v>0.20636666666666667</v>
      </c>
      <c r="S12" t="s">
        <v>199</v>
      </c>
    </row>
    <row r="13" spans="1:19" x14ac:dyDescent="0.45">
      <c r="C13">
        <v>3.0821917808219176E-2</v>
      </c>
      <c r="D13">
        <v>3.8336275265395424E-2</v>
      </c>
      <c r="E13" t="s">
        <v>10</v>
      </c>
      <c r="F13" t="s">
        <v>195</v>
      </c>
      <c r="H13" t="s">
        <v>196</v>
      </c>
      <c r="I13" t="s">
        <v>10</v>
      </c>
      <c r="L13" t="s">
        <v>197</v>
      </c>
      <c r="M13" t="s">
        <v>10</v>
      </c>
      <c r="N13">
        <v>9.1553061213986098E-2</v>
      </c>
      <c r="P13">
        <v>2020</v>
      </c>
      <c r="Q13" t="s">
        <v>201</v>
      </c>
      <c r="R13">
        <v>4.2099999999999999E-2</v>
      </c>
      <c r="S13" t="s">
        <v>199</v>
      </c>
    </row>
    <row r="14" spans="1:19" x14ac:dyDescent="0.45">
      <c r="C14">
        <v>3.0821917808219176E-2</v>
      </c>
      <c r="D14">
        <v>3.9768291773363502E-2</v>
      </c>
      <c r="E14" t="s">
        <v>11</v>
      </c>
      <c r="F14" t="s">
        <v>195</v>
      </c>
      <c r="H14" t="s">
        <v>196</v>
      </c>
      <c r="I14" t="s">
        <v>11</v>
      </c>
      <c r="L14" t="s">
        <v>197</v>
      </c>
      <c r="M14" t="s">
        <v>11</v>
      </c>
      <c r="N14">
        <v>8.8029151391275873E-2</v>
      </c>
      <c r="P14">
        <v>2020</v>
      </c>
      <c r="Q14" t="s">
        <v>202</v>
      </c>
      <c r="R14">
        <v>8.2833333333333328E-2</v>
      </c>
      <c r="S14" t="s">
        <v>199</v>
      </c>
    </row>
    <row r="15" spans="1:19" x14ac:dyDescent="0.45">
      <c r="C15">
        <v>3.0821917808219176E-2</v>
      </c>
      <c r="D15">
        <v>5.5490639683763034E-2</v>
      </c>
      <c r="E15" t="s">
        <v>12</v>
      </c>
      <c r="F15" t="s">
        <v>195</v>
      </c>
      <c r="H15" t="s">
        <v>196</v>
      </c>
      <c r="I15" t="s">
        <v>12</v>
      </c>
      <c r="L15" t="s">
        <v>197</v>
      </c>
      <c r="M15" t="s">
        <v>12</v>
      </c>
      <c r="N15">
        <v>8.9348170605268118E-2</v>
      </c>
      <c r="P15">
        <v>2021</v>
      </c>
      <c r="Q15" t="s">
        <v>198</v>
      </c>
      <c r="R15">
        <v>0.25746666666666668</v>
      </c>
      <c r="S15" t="s">
        <v>199</v>
      </c>
    </row>
    <row r="16" spans="1:19" x14ac:dyDescent="0.45">
      <c r="C16">
        <v>3.0821917808219176E-2</v>
      </c>
      <c r="D16">
        <v>3.9380453969122146E-2</v>
      </c>
      <c r="E16" t="s">
        <v>13</v>
      </c>
      <c r="F16" t="s">
        <v>195</v>
      </c>
      <c r="H16" t="s">
        <v>196</v>
      </c>
      <c r="I16" t="s">
        <v>13</v>
      </c>
      <c r="L16" t="s">
        <v>197</v>
      </c>
      <c r="M16" t="s">
        <v>13</v>
      </c>
      <c r="N16">
        <v>9.0811206283690993E-2</v>
      </c>
      <c r="P16">
        <v>2021</v>
      </c>
      <c r="Q16" t="s">
        <v>200</v>
      </c>
      <c r="R16">
        <v>0.28783333333333333</v>
      </c>
      <c r="S16" t="s">
        <v>199</v>
      </c>
    </row>
    <row r="17" spans="3:19" x14ac:dyDescent="0.45">
      <c r="C17">
        <v>8.4018264840182655E-2</v>
      </c>
      <c r="D17">
        <v>2.3421425552544572E-2</v>
      </c>
      <c r="E17" t="s">
        <v>14</v>
      </c>
      <c r="F17" t="s">
        <v>195</v>
      </c>
      <c r="H17" t="s">
        <v>196</v>
      </c>
      <c r="I17" t="s">
        <v>14</v>
      </c>
      <c r="L17" t="s">
        <v>197</v>
      </c>
      <c r="M17" t="s">
        <v>14</v>
      </c>
      <c r="N17">
        <v>0.23957127393897371</v>
      </c>
      <c r="P17">
        <v>2021</v>
      </c>
      <c r="Q17" t="s">
        <v>201</v>
      </c>
      <c r="R17">
        <v>0.20503333333333332</v>
      </c>
      <c r="S17" t="s">
        <v>199</v>
      </c>
    </row>
    <row r="18" spans="3:19" x14ac:dyDescent="0.45">
      <c r="C18">
        <v>4.2009132420091327E-2</v>
      </c>
      <c r="D18">
        <v>5.1813804705433876E-2</v>
      </c>
      <c r="E18" t="s">
        <v>15</v>
      </c>
      <c r="F18" t="s">
        <v>195</v>
      </c>
      <c r="H18" t="s">
        <v>196</v>
      </c>
      <c r="I18" t="s">
        <v>15</v>
      </c>
      <c r="L18" t="s">
        <v>197</v>
      </c>
      <c r="M18" t="s">
        <v>15</v>
      </c>
      <c r="N18">
        <v>0.21510040367607108</v>
      </c>
      <c r="P18">
        <v>2021</v>
      </c>
      <c r="Q18" t="s">
        <v>202</v>
      </c>
      <c r="R18">
        <v>0.20773333333333333</v>
      </c>
      <c r="S18" t="s">
        <v>199</v>
      </c>
    </row>
    <row r="19" spans="3:19" x14ac:dyDescent="0.45">
      <c r="C19">
        <v>3.1506849315068496E-2</v>
      </c>
      <c r="D19">
        <v>3.9188192493515323E-2</v>
      </c>
      <c r="E19" t="s">
        <v>16</v>
      </c>
      <c r="F19" t="s">
        <v>195</v>
      </c>
      <c r="H19" t="s">
        <v>196</v>
      </c>
      <c r="I19" t="s">
        <v>16</v>
      </c>
      <c r="L19" t="s">
        <v>197</v>
      </c>
      <c r="M19" t="s">
        <v>16</v>
      </c>
      <c r="N19">
        <v>0.12393500506158639</v>
      </c>
      <c r="P19">
        <v>2022</v>
      </c>
      <c r="Q19" t="s">
        <v>198</v>
      </c>
      <c r="R19">
        <v>3.7333333333333336E-2</v>
      </c>
      <c r="S19" t="s">
        <v>199</v>
      </c>
    </row>
    <row r="20" spans="3:19" x14ac:dyDescent="0.45">
      <c r="C20">
        <v>3.1506849315068496E-2</v>
      </c>
      <c r="D20">
        <v>4.0652031590549358E-2</v>
      </c>
      <c r="E20" t="s">
        <v>17</v>
      </c>
      <c r="F20" t="s">
        <v>195</v>
      </c>
      <c r="H20" t="s">
        <v>196</v>
      </c>
      <c r="I20" t="s">
        <v>17</v>
      </c>
      <c r="L20" t="s">
        <v>197</v>
      </c>
      <c r="M20" t="s">
        <v>17</v>
      </c>
      <c r="N20">
        <v>0.13732971826696949</v>
      </c>
      <c r="P20">
        <v>2022</v>
      </c>
      <c r="Q20" t="s">
        <v>200</v>
      </c>
      <c r="R20">
        <v>0.18916666666666668</v>
      </c>
      <c r="S20" t="s">
        <v>199</v>
      </c>
    </row>
    <row r="21" spans="3:19" x14ac:dyDescent="0.45">
      <c r="C21">
        <v>3.1506849315068496E-2</v>
      </c>
      <c r="D21">
        <v>5.6723765010068872E-2</v>
      </c>
      <c r="E21" t="s">
        <v>18</v>
      </c>
      <c r="F21" t="s">
        <v>195</v>
      </c>
      <c r="H21" t="s">
        <v>196</v>
      </c>
      <c r="I21" t="s">
        <v>18</v>
      </c>
      <c r="L21" t="s">
        <v>197</v>
      </c>
      <c r="M21" t="s">
        <v>18</v>
      </c>
      <c r="N21">
        <v>0.1476662930997914</v>
      </c>
      <c r="P21">
        <v>2022</v>
      </c>
      <c r="Q21" t="s">
        <v>201</v>
      </c>
      <c r="R21">
        <v>3.8566666666666666E-2</v>
      </c>
      <c r="S21" t="s">
        <v>199</v>
      </c>
    </row>
    <row r="22" spans="3:19" x14ac:dyDescent="0.45">
      <c r="C22">
        <v>3.1506849315068496E-2</v>
      </c>
      <c r="D22">
        <v>4.0255575168435975E-2</v>
      </c>
      <c r="E22" t="s">
        <v>19</v>
      </c>
      <c r="F22" t="s">
        <v>195</v>
      </c>
      <c r="H22" t="s">
        <v>196</v>
      </c>
      <c r="I22" t="s">
        <v>19</v>
      </c>
      <c r="L22" t="s">
        <v>197</v>
      </c>
      <c r="M22" t="s">
        <v>19</v>
      </c>
      <c r="N22">
        <v>0.15733995757764174</v>
      </c>
      <c r="P22">
        <v>2022</v>
      </c>
      <c r="Q22" t="s">
        <v>202</v>
      </c>
      <c r="R22">
        <v>3.8566666666666666E-2</v>
      </c>
      <c r="S22" t="s">
        <v>199</v>
      </c>
    </row>
    <row r="23" spans="3:19" x14ac:dyDescent="0.45">
      <c r="C23">
        <v>8.4018264840182655E-2</v>
      </c>
      <c r="D23">
        <v>2.3421425552544572E-2</v>
      </c>
      <c r="E23" t="s">
        <v>20</v>
      </c>
      <c r="F23" t="s">
        <v>195</v>
      </c>
      <c r="H23" t="s">
        <v>196</v>
      </c>
      <c r="I23" t="s">
        <v>20</v>
      </c>
      <c r="L23" t="s">
        <v>197</v>
      </c>
      <c r="M23" t="s">
        <v>20</v>
      </c>
      <c r="N23">
        <v>0.22753350076241419</v>
      </c>
      <c r="P23">
        <v>2025</v>
      </c>
      <c r="Q23" t="s">
        <v>198</v>
      </c>
      <c r="R23">
        <v>0.46903333333333325</v>
      </c>
      <c r="S23" t="s">
        <v>199</v>
      </c>
    </row>
    <row r="24" spans="3:19" x14ac:dyDescent="0.45">
      <c r="C24">
        <v>4.2009132420091327E-2</v>
      </c>
      <c r="D24">
        <v>5.1813804705433876E-2</v>
      </c>
      <c r="E24" t="s">
        <v>21</v>
      </c>
      <c r="F24" t="s">
        <v>195</v>
      </c>
      <c r="H24" t="s">
        <v>196</v>
      </c>
      <c r="I24" t="s">
        <v>21</v>
      </c>
      <c r="L24" t="s">
        <v>197</v>
      </c>
      <c r="M24" t="s">
        <v>21</v>
      </c>
      <c r="N24">
        <v>0.22273745316845805</v>
      </c>
      <c r="P24">
        <v>2025</v>
      </c>
      <c r="Q24" t="s">
        <v>200</v>
      </c>
      <c r="R24">
        <v>0.4612</v>
      </c>
      <c r="S24" t="s">
        <v>199</v>
      </c>
    </row>
    <row r="25" spans="3:19" x14ac:dyDescent="0.45">
      <c r="C25">
        <v>3.1506849315068496E-2</v>
      </c>
      <c r="D25">
        <v>3.9188192493515323E-2</v>
      </c>
      <c r="E25" t="s">
        <v>22</v>
      </c>
      <c r="F25" t="s">
        <v>195</v>
      </c>
      <c r="H25" t="s">
        <v>196</v>
      </c>
      <c r="I25" t="s">
        <v>22</v>
      </c>
      <c r="L25" t="s">
        <v>197</v>
      </c>
      <c r="M25" t="s">
        <v>22</v>
      </c>
      <c r="N25">
        <v>0.10894837077126995</v>
      </c>
      <c r="P25">
        <v>2025</v>
      </c>
      <c r="Q25" t="s">
        <v>201</v>
      </c>
      <c r="R25">
        <v>0.1489</v>
      </c>
      <c r="S25" t="s">
        <v>199</v>
      </c>
    </row>
    <row r="26" spans="3:19" x14ac:dyDescent="0.45">
      <c r="C26">
        <v>3.1506849315068496E-2</v>
      </c>
      <c r="D26">
        <v>4.0652031590549358E-2</v>
      </c>
      <c r="E26" t="s">
        <v>23</v>
      </c>
      <c r="F26" t="s">
        <v>195</v>
      </c>
      <c r="H26" t="s">
        <v>196</v>
      </c>
      <c r="I26" t="s">
        <v>23</v>
      </c>
      <c r="L26" t="s">
        <v>197</v>
      </c>
      <c r="M26" t="s">
        <v>23</v>
      </c>
      <c r="N26">
        <v>0.114898147866203</v>
      </c>
      <c r="P26">
        <v>2025</v>
      </c>
      <c r="Q26" t="s">
        <v>202</v>
      </c>
      <c r="R26">
        <v>0.22696666666666668</v>
      </c>
      <c r="S26" t="s">
        <v>199</v>
      </c>
    </row>
    <row r="27" spans="3:19" x14ac:dyDescent="0.45">
      <c r="C27">
        <v>3.1506849315068496E-2</v>
      </c>
      <c r="D27">
        <v>5.6723765010068872E-2</v>
      </c>
      <c r="E27" t="s">
        <v>24</v>
      </c>
      <c r="F27" t="s">
        <v>195</v>
      </c>
      <c r="H27" t="s">
        <v>196</v>
      </c>
      <c r="I27" t="s">
        <v>24</v>
      </c>
      <c r="L27" t="s">
        <v>197</v>
      </c>
      <c r="M27" t="s">
        <v>24</v>
      </c>
      <c r="N27">
        <v>0.10855156471852401</v>
      </c>
      <c r="P27">
        <v>2026</v>
      </c>
      <c r="Q27" t="s">
        <v>198</v>
      </c>
      <c r="R27">
        <v>0.4044666666666667</v>
      </c>
      <c r="S27" t="s">
        <v>199</v>
      </c>
    </row>
    <row r="28" spans="3:19" x14ac:dyDescent="0.45">
      <c r="C28">
        <v>3.1506849315068496E-2</v>
      </c>
      <c r="D28">
        <v>4.0255575168435975E-2</v>
      </c>
      <c r="E28" t="s">
        <v>25</v>
      </c>
      <c r="F28" t="s">
        <v>195</v>
      </c>
      <c r="H28" t="s">
        <v>196</v>
      </c>
      <c r="I28" t="s">
        <v>25</v>
      </c>
      <c r="L28" t="s">
        <v>197</v>
      </c>
      <c r="M28" t="s">
        <v>25</v>
      </c>
      <c r="N28">
        <v>0.11330827896452123</v>
      </c>
      <c r="P28">
        <v>2026</v>
      </c>
      <c r="Q28" t="s">
        <v>200</v>
      </c>
      <c r="R28">
        <v>0.48486666666666672</v>
      </c>
      <c r="S28" t="s">
        <v>199</v>
      </c>
    </row>
    <row r="29" spans="3:19" x14ac:dyDescent="0.45">
      <c r="C29">
        <v>8.3105022831050229E-2</v>
      </c>
      <c r="D29">
        <v>2.3166844840016909E-2</v>
      </c>
      <c r="E29" t="s">
        <v>26</v>
      </c>
      <c r="F29" t="s">
        <v>195</v>
      </c>
      <c r="H29" t="s">
        <v>196</v>
      </c>
      <c r="I29" t="s">
        <v>26</v>
      </c>
      <c r="L29" t="s">
        <v>197</v>
      </c>
      <c r="M29" t="s">
        <v>26</v>
      </c>
      <c r="N29">
        <v>0.28035839413649799</v>
      </c>
      <c r="P29">
        <v>2026</v>
      </c>
      <c r="Q29" t="s">
        <v>201</v>
      </c>
      <c r="R29">
        <v>0.13689999999999999</v>
      </c>
      <c r="S29" t="s">
        <v>199</v>
      </c>
    </row>
    <row r="30" spans="3:19" x14ac:dyDescent="0.45">
      <c r="C30">
        <v>4.1552511415525115E-2</v>
      </c>
      <c r="D30">
        <v>5.1250611176026986E-2</v>
      </c>
      <c r="E30" t="s">
        <v>27</v>
      </c>
      <c r="F30" t="s">
        <v>195</v>
      </c>
      <c r="H30" t="s">
        <v>196</v>
      </c>
      <c r="I30" t="s">
        <v>27</v>
      </c>
      <c r="L30" t="s">
        <v>197</v>
      </c>
      <c r="M30" t="s">
        <v>27</v>
      </c>
      <c r="N30">
        <v>0.31747745036791364</v>
      </c>
      <c r="P30">
        <v>2026</v>
      </c>
      <c r="Q30" t="s">
        <v>202</v>
      </c>
      <c r="R30">
        <v>0.1371</v>
      </c>
      <c r="S30" t="s">
        <v>199</v>
      </c>
    </row>
    <row r="31" spans="3:19" x14ac:dyDescent="0.45">
      <c r="C31">
        <v>3.1164383561643836E-2</v>
      </c>
      <c r="D31">
        <v>3.8762233879455377E-2</v>
      </c>
      <c r="E31" t="s">
        <v>28</v>
      </c>
      <c r="F31" t="s">
        <v>195</v>
      </c>
      <c r="H31" t="s">
        <v>196</v>
      </c>
      <c r="I31" t="s">
        <v>28</v>
      </c>
      <c r="L31" t="s">
        <v>197</v>
      </c>
      <c r="M31" t="s">
        <v>28</v>
      </c>
      <c r="N31">
        <v>0.18147067670332717</v>
      </c>
      <c r="P31">
        <v>2027</v>
      </c>
      <c r="Q31" t="s">
        <v>198</v>
      </c>
      <c r="R31">
        <v>0.45929999999999999</v>
      </c>
      <c r="S31" t="s">
        <v>199</v>
      </c>
    </row>
    <row r="32" spans="3:19" x14ac:dyDescent="0.45">
      <c r="C32">
        <v>3.1164383561643836E-2</v>
      </c>
      <c r="D32">
        <v>4.021016168195643E-2</v>
      </c>
      <c r="E32" t="s">
        <v>29</v>
      </c>
      <c r="F32" t="s">
        <v>195</v>
      </c>
      <c r="H32" t="s">
        <v>196</v>
      </c>
      <c r="I32" t="s">
        <v>29</v>
      </c>
      <c r="L32" t="s">
        <v>197</v>
      </c>
      <c r="M32" t="s">
        <v>29</v>
      </c>
      <c r="N32">
        <v>0.17782418722436533</v>
      </c>
      <c r="P32">
        <v>2027</v>
      </c>
      <c r="Q32" t="s">
        <v>200</v>
      </c>
      <c r="R32">
        <v>0.47066666666666662</v>
      </c>
      <c r="S32" t="s">
        <v>199</v>
      </c>
    </row>
    <row r="33" spans="3:19" x14ac:dyDescent="0.45">
      <c r="C33">
        <v>3.1164383561643836E-2</v>
      </c>
      <c r="D33">
        <v>5.6107202346915949E-2</v>
      </c>
      <c r="E33" t="s">
        <v>30</v>
      </c>
      <c r="F33" t="s">
        <v>195</v>
      </c>
      <c r="H33" t="s">
        <v>196</v>
      </c>
      <c r="I33" t="s">
        <v>30</v>
      </c>
      <c r="L33" t="s">
        <v>197</v>
      </c>
      <c r="M33" t="s">
        <v>30</v>
      </c>
      <c r="N33">
        <v>0.18149519684070992</v>
      </c>
      <c r="P33">
        <v>2027</v>
      </c>
      <c r="Q33" t="s">
        <v>201</v>
      </c>
      <c r="R33">
        <v>0.16593333333333332</v>
      </c>
      <c r="S33" t="s">
        <v>199</v>
      </c>
    </row>
    <row r="34" spans="3:19" x14ac:dyDescent="0.45">
      <c r="C34">
        <v>3.1164383561643836E-2</v>
      </c>
      <c r="D34">
        <v>3.9818014568779057E-2</v>
      </c>
      <c r="E34" t="s">
        <v>31</v>
      </c>
      <c r="F34" t="s">
        <v>195</v>
      </c>
      <c r="H34" t="s">
        <v>196</v>
      </c>
      <c r="I34" t="s">
        <v>31</v>
      </c>
      <c r="L34" t="s">
        <v>197</v>
      </c>
      <c r="M34" t="s">
        <v>31</v>
      </c>
      <c r="N34">
        <v>0.19830646809447194</v>
      </c>
      <c r="P34">
        <v>2027</v>
      </c>
      <c r="Q34" t="s">
        <v>202</v>
      </c>
      <c r="R34">
        <v>0.15180000000000002</v>
      </c>
      <c r="S34" t="s">
        <v>199</v>
      </c>
    </row>
    <row r="35" spans="3:19" x14ac:dyDescent="0.45">
      <c r="H35" t="s">
        <v>203</v>
      </c>
      <c r="I35" t="s">
        <v>5</v>
      </c>
      <c r="P35">
        <v>2028</v>
      </c>
      <c r="Q35" t="s">
        <v>198</v>
      </c>
      <c r="R35">
        <v>0.56940000000000002</v>
      </c>
      <c r="S35" t="s">
        <v>199</v>
      </c>
    </row>
    <row r="36" spans="3:19" x14ac:dyDescent="0.45">
      <c r="H36" t="s">
        <v>203</v>
      </c>
      <c r="I36" t="s">
        <v>9</v>
      </c>
      <c r="P36">
        <v>2028</v>
      </c>
      <c r="Q36" t="s">
        <v>200</v>
      </c>
      <c r="R36">
        <v>0.50090000000000001</v>
      </c>
      <c r="S36" t="s">
        <v>199</v>
      </c>
    </row>
    <row r="37" spans="3:19" x14ac:dyDescent="0.45">
      <c r="H37" t="s">
        <v>203</v>
      </c>
      <c r="I37" t="s">
        <v>10</v>
      </c>
      <c r="P37">
        <v>2028</v>
      </c>
      <c r="Q37" t="s">
        <v>201</v>
      </c>
      <c r="R37">
        <v>0.15806666666666666</v>
      </c>
      <c r="S37" t="s">
        <v>199</v>
      </c>
    </row>
    <row r="38" spans="3:19" x14ac:dyDescent="0.45">
      <c r="H38" t="s">
        <v>203</v>
      </c>
      <c r="I38" t="s">
        <v>11</v>
      </c>
      <c r="P38">
        <v>2028</v>
      </c>
      <c r="Q38" t="s">
        <v>202</v>
      </c>
      <c r="R38">
        <v>0.17676666666666666</v>
      </c>
      <c r="S38" t="s">
        <v>199</v>
      </c>
    </row>
    <row r="39" spans="3:19" x14ac:dyDescent="0.45">
      <c r="H39" t="s">
        <v>203</v>
      </c>
      <c r="I39" t="s">
        <v>12</v>
      </c>
      <c r="P39">
        <v>2029</v>
      </c>
      <c r="Q39" t="s">
        <v>198</v>
      </c>
      <c r="R39">
        <v>0.46333333333333337</v>
      </c>
      <c r="S39" t="s">
        <v>199</v>
      </c>
    </row>
    <row r="40" spans="3:19" x14ac:dyDescent="0.45">
      <c r="H40" t="s">
        <v>203</v>
      </c>
      <c r="I40" t="s">
        <v>13</v>
      </c>
      <c r="P40">
        <v>2029</v>
      </c>
      <c r="Q40" t="s">
        <v>200</v>
      </c>
      <c r="R40">
        <v>0.51546666666666663</v>
      </c>
      <c r="S40" t="s">
        <v>199</v>
      </c>
    </row>
    <row r="41" spans="3:19" x14ac:dyDescent="0.45">
      <c r="H41" t="s">
        <v>203</v>
      </c>
      <c r="I41" t="s">
        <v>14</v>
      </c>
      <c r="P41">
        <v>2029</v>
      </c>
      <c r="Q41" t="s">
        <v>201</v>
      </c>
      <c r="R41">
        <v>0.16769999999999999</v>
      </c>
      <c r="S41" t="s">
        <v>199</v>
      </c>
    </row>
    <row r="42" spans="3:19" x14ac:dyDescent="0.45">
      <c r="H42" t="s">
        <v>203</v>
      </c>
      <c r="I42" t="s">
        <v>15</v>
      </c>
      <c r="P42">
        <v>2029</v>
      </c>
      <c r="Q42" t="s">
        <v>202</v>
      </c>
      <c r="R42">
        <v>0.19466666666666668</v>
      </c>
      <c r="S42" t="s">
        <v>199</v>
      </c>
    </row>
    <row r="43" spans="3:19" x14ac:dyDescent="0.45">
      <c r="H43" t="s">
        <v>203</v>
      </c>
      <c r="I43" t="s">
        <v>16</v>
      </c>
      <c r="P43">
        <v>2030</v>
      </c>
      <c r="Q43" t="s">
        <v>198</v>
      </c>
      <c r="R43">
        <v>0.46176666666666666</v>
      </c>
      <c r="S43" t="s">
        <v>199</v>
      </c>
    </row>
    <row r="44" spans="3:19" x14ac:dyDescent="0.45">
      <c r="H44" t="s">
        <v>203</v>
      </c>
      <c r="I44" t="s">
        <v>17</v>
      </c>
      <c r="P44">
        <v>2030</v>
      </c>
      <c r="Q44" t="s">
        <v>200</v>
      </c>
      <c r="R44">
        <v>0.50336666666666663</v>
      </c>
      <c r="S44" t="s">
        <v>199</v>
      </c>
    </row>
    <row r="45" spans="3:19" x14ac:dyDescent="0.45">
      <c r="H45" t="s">
        <v>203</v>
      </c>
      <c r="I45" t="s">
        <v>18</v>
      </c>
      <c r="P45">
        <v>2030</v>
      </c>
      <c r="Q45" t="s">
        <v>201</v>
      </c>
      <c r="R45">
        <v>0.11526666666666667</v>
      </c>
      <c r="S45" t="s">
        <v>199</v>
      </c>
    </row>
    <row r="46" spans="3:19" x14ac:dyDescent="0.45">
      <c r="H46" t="s">
        <v>203</v>
      </c>
      <c r="I46" t="s">
        <v>19</v>
      </c>
      <c r="P46">
        <v>2030</v>
      </c>
      <c r="Q46" t="s">
        <v>202</v>
      </c>
      <c r="R46">
        <v>0.26246666666666668</v>
      </c>
      <c r="S46" t="s">
        <v>199</v>
      </c>
    </row>
    <row r="47" spans="3:19" x14ac:dyDescent="0.45">
      <c r="H47" t="s">
        <v>203</v>
      </c>
      <c r="I47" t="s">
        <v>20</v>
      </c>
      <c r="P47">
        <v>2031</v>
      </c>
      <c r="Q47" t="s">
        <v>198</v>
      </c>
      <c r="R47">
        <v>0.51103333333333334</v>
      </c>
      <c r="S47" t="s">
        <v>199</v>
      </c>
    </row>
    <row r="48" spans="3:19" x14ac:dyDescent="0.45">
      <c r="H48" t="s">
        <v>203</v>
      </c>
      <c r="I48" t="s">
        <v>21</v>
      </c>
      <c r="P48">
        <v>2031</v>
      </c>
      <c r="Q48" t="s">
        <v>200</v>
      </c>
      <c r="R48">
        <v>0.48180000000000001</v>
      </c>
      <c r="S48" t="s">
        <v>199</v>
      </c>
    </row>
    <row r="49" spans="8:19" x14ac:dyDescent="0.45">
      <c r="H49" t="s">
        <v>203</v>
      </c>
      <c r="I49" t="s">
        <v>22</v>
      </c>
      <c r="P49">
        <v>2031</v>
      </c>
      <c r="Q49" t="s">
        <v>201</v>
      </c>
      <c r="R49">
        <v>0.16650000000000001</v>
      </c>
      <c r="S49" t="s">
        <v>199</v>
      </c>
    </row>
    <row r="50" spans="8:19" x14ac:dyDescent="0.45">
      <c r="H50" t="s">
        <v>203</v>
      </c>
      <c r="I50" t="s">
        <v>23</v>
      </c>
      <c r="P50">
        <v>2031</v>
      </c>
      <c r="Q50" t="s">
        <v>202</v>
      </c>
      <c r="R50">
        <v>0.17076666666666665</v>
      </c>
      <c r="S50" t="s">
        <v>199</v>
      </c>
    </row>
    <row r="51" spans="8:19" x14ac:dyDescent="0.45">
      <c r="H51" t="s">
        <v>203</v>
      </c>
      <c r="I51" t="s">
        <v>24</v>
      </c>
      <c r="P51">
        <v>2032</v>
      </c>
      <c r="Q51" t="s">
        <v>198</v>
      </c>
      <c r="R51">
        <v>0.48476666666666662</v>
      </c>
      <c r="S51" t="s">
        <v>199</v>
      </c>
    </row>
    <row r="52" spans="8:19" x14ac:dyDescent="0.45">
      <c r="H52" t="s">
        <v>203</v>
      </c>
      <c r="I52" t="s">
        <v>25</v>
      </c>
      <c r="P52">
        <v>2032</v>
      </c>
      <c r="Q52" t="s">
        <v>200</v>
      </c>
      <c r="R52">
        <v>0.52616666666666667</v>
      </c>
      <c r="S52" t="s">
        <v>199</v>
      </c>
    </row>
    <row r="53" spans="8:19" x14ac:dyDescent="0.45">
      <c r="H53" t="s">
        <v>203</v>
      </c>
      <c r="I53" t="s">
        <v>26</v>
      </c>
      <c r="P53">
        <v>2032</v>
      </c>
      <c r="Q53" t="s">
        <v>201</v>
      </c>
      <c r="R53">
        <v>0.23219999999999996</v>
      </c>
      <c r="S53" t="s">
        <v>199</v>
      </c>
    </row>
    <row r="54" spans="8:19" x14ac:dyDescent="0.45">
      <c r="H54" t="s">
        <v>203</v>
      </c>
      <c r="I54" t="s">
        <v>27</v>
      </c>
      <c r="P54">
        <v>2032</v>
      </c>
      <c r="Q54" t="s">
        <v>202</v>
      </c>
      <c r="R54">
        <v>0.17746666666666666</v>
      </c>
      <c r="S54" t="s">
        <v>199</v>
      </c>
    </row>
    <row r="55" spans="8:19" x14ac:dyDescent="0.45">
      <c r="H55" t="s">
        <v>203</v>
      </c>
      <c r="I55" t="s">
        <v>28</v>
      </c>
      <c r="P55">
        <v>2033</v>
      </c>
      <c r="Q55" t="s">
        <v>198</v>
      </c>
      <c r="R55">
        <v>0.60543333333333327</v>
      </c>
      <c r="S55" t="s">
        <v>199</v>
      </c>
    </row>
    <row r="56" spans="8:19" x14ac:dyDescent="0.45">
      <c r="H56" t="s">
        <v>203</v>
      </c>
      <c r="I56" t="s">
        <v>29</v>
      </c>
      <c r="P56">
        <v>2033</v>
      </c>
      <c r="Q56" t="s">
        <v>200</v>
      </c>
      <c r="R56">
        <v>0.59560000000000002</v>
      </c>
      <c r="S56" t="s">
        <v>199</v>
      </c>
    </row>
    <row r="57" spans="8:19" x14ac:dyDescent="0.45">
      <c r="H57" t="s">
        <v>203</v>
      </c>
      <c r="I57" t="s">
        <v>30</v>
      </c>
      <c r="P57">
        <v>2033</v>
      </c>
      <c r="Q57" t="s">
        <v>201</v>
      </c>
      <c r="R57">
        <v>0.17146666666666666</v>
      </c>
      <c r="S57" t="s">
        <v>199</v>
      </c>
    </row>
    <row r="58" spans="8:19" x14ac:dyDescent="0.45">
      <c r="H58" t="s">
        <v>203</v>
      </c>
      <c r="I58" t="s">
        <v>31</v>
      </c>
      <c r="P58">
        <v>2033</v>
      </c>
      <c r="Q58" t="s">
        <v>202</v>
      </c>
      <c r="R58">
        <v>0.3047333333333333</v>
      </c>
      <c r="S58" t="s">
        <v>199</v>
      </c>
    </row>
    <row r="59" spans="8:19" x14ac:dyDescent="0.45">
      <c r="P59">
        <v>2034</v>
      </c>
      <c r="Q59" t="s">
        <v>198</v>
      </c>
      <c r="R59">
        <v>0.57450000000000001</v>
      </c>
      <c r="S59" t="s">
        <v>199</v>
      </c>
    </row>
    <row r="60" spans="8:19" x14ac:dyDescent="0.45">
      <c r="P60">
        <v>2034</v>
      </c>
      <c r="Q60" t="s">
        <v>200</v>
      </c>
      <c r="R60">
        <v>0.53906666666666669</v>
      </c>
      <c r="S60" t="s">
        <v>199</v>
      </c>
    </row>
    <row r="61" spans="8:19" x14ac:dyDescent="0.45">
      <c r="P61">
        <v>2034</v>
      </c>
      <c r="Q61" t="s">
        <v>201</v>
      </c>
      <c r="R61">
        <v>0.17506666666666668</v>
      </c>
      <c r="S61" t="s">
        <v>199</v>
      </c>
    </row>
    <row r="62" spans="8:19" x14ac:dyDescent="0.45">
      <c r="P62">
        <v>2034</v>
      </c>
      <c r="Q62" t="s">
        <v>202</v>
      </c>
      <c r="R62">
        <v>0.17223333333333332</v>
      </c>
      <c r="S62" t="s">
        <v>199</v>
      </c>
    </row>
    <row r="63" spans="8:19" x14ac:dyDescent="0.45">
      <c r="P63">
        <v>2035</v>
      </c>
      <c r="Q63" t="s">
        <v>198</v>
      </c>
      <c r="R63">
        <v>0.59933333333333338</v>
      </c>
      <c r="S63" t="s">
        <v>199</v>
      </c>
    </row>
    <row r="64" spans="8:19" x14ac:dyDescent="0.45">
      <c r="P64">
        <v>2035</v>
      </c>
      <c r="Q64" t="s">
        <v>200</v>
      </c>
      <c r="R64">
        <v>0.66953333333333331</v>
      </c>
      <c r="S64" t="s">
        <v>199</v>
      </c>
    </row>
    <row r="65" spans="16:19" x14ac:dyDescent="0.45">
      <c r="P65">
        <v>2035</v>
      </c>
      <c r="Q65" t="s">
        <v>201</v>
      </c>
      <c r="R65">
        <v>0.18926666666666667</v>
      </c>
      <c r="S65" t="s">
        <v>199</v>
      </c>
    </row>
    <row r="66" spans="16:19" x14ac:dyDescent="0.45">
      <c r="P66">
        <v>2035</v>
      </c>
      <c r="Q66" t="s">
        <v>202</v>
      </c>
      <c r="R66">
        <v>0.25140000000000001</v>
      </c>
      <c r="S66" t="s">
        <v>199</v>
      </c>
    </row>
    <row r="67" spans="16:19" x14ac:dyDescent="0.45">
      <c r="P67">
        <v>2036</v>
      </c>
      <c r="Q67" t="s">
        <v>198</v>
      </c>
      <c r="R67">
        <v>0.61919999999999997</v>
      </c>
      <c r="S67" t="s">
        <v>199</v>
      </c>
    </row>
    <row r="68" spans="16:19" x14ac:dyDescent="0.45">
      <c r="P68">
        <v>2036</v>
      </c>
      <c r="Q68" t="s">
        <v>200</v>
      </c>
      <c r="R68">
        <v>0.58493333333333331</v>
      </c>
      <c r="S68" t="s">
        <v>199</v>
      </c>
    </row>
    <row r="69" spans="16:19" x14ac:dyDescent="0.45">
      <c r="P69">
        <v>2036</v>
      </c>
      <c r="Q69" t="s">
        <v>201</v>
      </c>
      <c r="R69">
        <v>0.12069999999999999</v>
      </c>
      <c r="S69" t="s">
        <v>199</v>
      </c>
    </row>
    <row r="70" spans="16:19" x14ac:dyDescent="0.45">
      <c r="P70">
        <v>2036</v>
      </c>
      <c r="Q70" t="s">
        <v>202</v>
      </c>
      <c r="R70">
        <v>0.18079999999999999</v>
      </c>
      <c r="S70" t="s">
        <v>199</v>
      </c>
    </row>
    <row r="71" spans="16:19" x14ac:dyDescent="0.45">
      <c r="P71">
        <v>2037</v>
      </c>
      <c r="Q71" t="s">
        <v>198</v>
      </c>
      <c r="R71">
        <v>0.50226666666666675</v>
      </c>
      <c r="S71" t="s">
        <v>199</v>
      </c>
    </row>
    <row r="72" spans="16:19" x14ac:dyDescent="0.45">
      <c r="P72">
        <v>2037</v>
      </c>
      <c r="Q72" t="s">
        <v>200</v>
      </c>
      <c r="R72">
        <v>0.5436333333333333</v>
      </c>
      <c r="S72" t="s">
        <v>199</v>
      </c>
    </row>
    <row r="73" spans="16:19" x14ac:dyDescent="0.45">
      <c r="P73">
        <v>2037</v>
      </c>
      <c r="Q73" t="s">
        <v>201</v>
      </c>
      <c r="R73">
        <v>0.2681</v>
      </c>
      <c r="S73" t="s">
        <v>199</v>
      </c>
    </row>
    <row r="74" spans="16:19" x14ac:dyDescent="0.45">
      <c r="P74">
        <v>2037</v>
      </c>
      <c r="Q74" t="s">
        <v>202</v>
      </c>
      <c r="R74">
        <v>0.1830333333333333</v>
      </c>
      <c r="S74" t="s">
        <v>199</v>
      </c>
    </row>
    <row r="75" spans="16:19" x14ac:dyDescent="0.45">
      <c r="P75">
        <v>2038</v>
      </c>
      <c r="Q75" t="s">
        <v>198</v>
      </c>
      <c r="R75">
        <v>0.61516666666666664</v>
      </c>
      <c r="S75" t="s">
        <v>199</v>
      </c>
    </row>
    <row r="76" spans="16:19" x14ac:dyDescent="0.45">
      <c r="P76">
        <v>2038</v>
      </c>
      <c r="Q76" t="s">
        <v>200</v>
      </c>
      <c r="R76">
        <v>0.45846666666666663</v>
      </c>
      <c r="S76" t="s">
        <v>199</v>
      </c>
    </row>
    <row r="77" spans="16:19" x14ac:dyDescent="0.45">
      <c r="P77">
        <v>2038</v>
      </c>
      <c r="Q77" t="s">
        <v>201</v>
      </c>
      <c r="R77">
        <v>0.2596</v>
      </c>
      <c r="S77" t="s">
        <v>199</v>
      </c>
    </row>
    <row r="78" spans="16:19" x14ac:dyDescent="0.45">
      <c r="P78">
        <v>2038</v>
      </c>
      <c r="Q78" t="s">
        <v>202</v>
      </c>
      <c r="R78">
        <v>0.27509999999999996</v>
      </c>
      <c r="S78" t="s">
        <v>199</v>
      </c>
    </row>
    <row r="79" spans="16:19" x14ac:dyDescent="0.45">
      <c r="P79">
        <v>2039</v>
      </c>
      <c r="Q79" t="s">
        <v>198</v>
      </c>
      <c r="R79">
        <v>0.49813333333333337</v>
      </c>
      <c r="S79" t="s">
        <v>199</v>
      </c>
    </row>
    <row r="80" spans="16:19" x14ac:dyDescent="0.45">
      <c r="P80">
        <v>2039</v>
      </c>
      <c r="Q80" t="s">
        <v>200</v>
      </c>
      <c r="R80">
        <v>0.60586666666666666</v>
      </c>
      <c r="S80" t="s">
        <v>199</v>
      </c>
    </row>
    <row r="81" spans="16:19" x14ac:dyDescent="0.45">
      <c r="P81">
        <v>2039</v>
      </c>
      <c r="Q81" t="s">
        <v>201</v>
      </c>
      <c r="R81">
        <v>0.19223333333333334</v>
      </c>
      <c r="S81" t="s">
        <v>199</v>
      </c>
    </row>
    <row r="82" spans="16:19" x14ac:dyDescent="0.45">
      <c r="P82">
        <v>2039</v>
      </c>
      <c r="Q82" t="s">
        <v>202</v>
      </c>
      <c r="R82">
        <v>0.3177666666666667</v>
      </c>
      <c r="S82" t="s">
        <v>199</v>
      </c>
    </row>
    <row r="83" spans="16:19" x14ac:dyDescent="0.45">
      <c r="P83">
        <v>2040</v>
      </c>
      <c r="Q83" t="s">
        <v>198</v>
      </c>
      <c r="R83">
        <v>0.45926666666666666</v>
      </c>
      <c r="S83" t="s">
        <v>199</v>
      </c>
    </row>
    <row r="84" spans="16:19" x14ac:dyDescent="0.45">
      <c r="P84">
        <v>2040</v>
      </c>
      <c r="Q84" t="s">
        <v>200</v>
      </c>
      <c r="R84">
        <v>0.45256666666666662</v>
      </c>
      <c r="S84" t="s">
        <v>199</v>
      </c>
    </row>
    <row r="85" spans="16:19" x14ac:dyDescent="0.45">
      <c r="P85">
        <v>2040</v>
      </c>
      <c r="Q85" t="s">
        <v>201</v>
      </c>
      <c r="R85">
        <v>0.16073333333333331</v>
      </c>
      <c r="S85" t="s">
        <v>199</v>
      </c>
    </row>
    <row r="86" spans="16:19" x14ac:dyDescent="0.45">
      <c r="P86">
        <v>2040</v>
      </c>
      <c r="Q86" t="s">
        <v>202</v>
      </c>
      <c r="R86">
        <v>0.22086666666666668</v>
      </c>
      <c r="S86" t="s">
        <v>199</v>
      </c>
    </row>
    <row r="87" spans="16:19" x14ac:dyDescent="0.45">
      <c r="P87">
        <v>2041</v>
      </c>
      <c r="Q87" t="s">
        <v>198</v>
      </c>
      <c r="R87">
        <v>0.51123333333333332</v>
      </c>
      <c r="S87" t="s">
        <v>199</v>
      </c>
    </row>
    <row r="88" spans="16:19" x14ac:dyDescent="0.45">
      <c r="P88">
        <v>2041</v>
      </c>
      <c r="Q88" t="s">
        <v>200</v>
      </c>
      <c r="R88">
        <v>0.45350000000000001</v>
      </c>
      <c r="S88" t="s">
        <v>199</v>
      </c>
    </row>
    <row r="89" spans="16:19" x14ac:dyDescent="0.45">
      <c r="P89">
        <v>2041</v>
      </c>
      <c r="Q89" t="s">
        <v>201</v>
      </c>
      <c r="R89">
        <v>0.1095</v>
      </c>
      <c r="S89" t="s">
        <v>199</v>
      </c>
    </row>
    <row r="90" spans="16:19" x14ac:dyDescent="0.45">
      <c r="P90">
        <v>2041</v>
      </c>
      <c r="Q90" t="s">
        <v>202</v>
      </c>
      <c r="R90">
        <v>0.12633333333333333</v>
      </c>
      <c r="S90" t="s">
        <v>199</v>
      </c>
    </row>
    <row r="91" spans="16:19" x14ac:dyDescent="0.45">
      <c r="P91">
        <v>2042</v>
      </c>
      <c r="Q91" t="s">
        <v>198</v>
      </c>
      <c r="R91">
        <v>0.47896666666666671</v>
      </c>
      <c r="S91" t="s">
        <v>199</v>
      </c>
    </row>
    <row r="92" spans="16:19" x14ac:dyDescent="0.45">
      <c r="P92">
        <v>2042</v>
      </c>
      <c r="Q92" t="s">
        <v>200</v>
      </c>
      <c r="R92">
        <v>0.43250000000000005</v>
      </c>
      <c r="S92" t="s">
        <v>199</v>
      </c>
    </row>
    <row r="93" spans="16:19" x14ac:dyDescent="0.45">
      <c r="P93">
        <v>2042</v>
      </c>
      <c r="Q93" t="s">
        <v>201</v>
      </c>
      <c r="R93">
        <v>0.16600000000000001</v>
      </c>
      <c r="S93" t="s">
        <v>199</v>
      </c>
    </row>
    <row r="94" spans="16:19" x14ac:dyDescent="0.45">
      <c r="P94">
        <v>2042</v>
      </c>
      <c r="Q94" t="s">
        <v>202</v>
      </c>
      <c r="R94">
        <v>0.17159999999999997</v>
      </c>
      <c r="S94" t="s">
        <v>199</v>
      </c>
    </row>
    <row r="95" spans="16:19" x14ac:dyDescent="0.45">
      <c r="P95">
        <v>2043</v>
      </c>
      <c r="Q95" t="s">
        <v>198</v>
      </c>
      <c r="R95">
        <v>0.62736666666666663</v>
      </c>
      <c r="S95" t="s">
        <v>199</v>
      </c>
    </row>
    <row r="96" spans="16:19" x14ac:dyDescent="0.45">
      <c r="P96">
        <v>2043</v>
      </c>
      <c r="Q96" t="s">
        <v>200</v>
      </c>
      <c r="R96">
        <v>0.62333333333333341</v>
      </c>
      <c r="S96" t="s">
        <v>199</v>
      </c>
    </row>
    <row r="97" spans="16:19" x14ac:dyDescent="0.45">
      <c r="P97">
        <v>2043</v>
      </c>
      <c r="Q97" t="s">
        <v>201</v>
      </c>
      <c r="R97">
        <v>0.19136666666666668</v>
      </c>
      <c r="S97" t="s">
        <v>199</v>
      </c>
    </row>
    <row r="98" spans="16:19" x14ac:dyDescent="0.45">
      <c r="P98">
        <v>2043</v>
      </c>
      <c r="Q98" t="s">
        <v>202</v>
      </c>
      <c r="R98">
        <v>0.23683333333333331</v>
      </c>
      <c r="S98" t="s">
        <v>199</v>
      </c>
    </row>
    <row r="99" spans="16:19" x14ac:dyDescent="0.45">
      <c r="P99">
        <v>2044</v>
      </c>
      <c r="Q99" t="s">
        <v>198</v>
      </c>
      <c r="R99">
        <v>0.5197666666666666</v>
      </c>
      <c r="S99" t="s">
        <v>199</v>
      </c>
    </row>
    <row r="100" spans="16:19" x14ac:dyDescent="0.45">
      <c r="P100">
        <v>2044</v>
      </c>
      <c r="Q100" t="s">
        <v>200</v>
      </c>
      <c r="R100">
        <v>0.42730000000000001</v>
      </c>
      <c r="S100" t="s">
        <v>199</v>
      </c>
    </row>
    <row r="101" spans="16:19" x14ac:dyDescent="0.45">
      <c r="P101">
        <v>2044</v>
      </c>
      <c r="Q101" t="s">
        <v>201</v>
      </c>
      <c r="R101">
        <v>0.19833333333333333</v>
      </c>
      <c r="S101" t="s">
        <v>199</v>
      </c>
    </row>
    <row r="102" spans="16:19" x14ac:dyDescent="0.45">
      <c r="P102">
        <v>2044</v>
      </c>
      <c r="Q102" t="s">
        <v>202</v>
      </c>
      <c r="R102">
        <v>0.2016</v>
      </c>
      <c r="S102" t="s">
        <v>199</v>
      </c>
    </row>
    <row r="103" spans="16:19" x14ac:dyDescent="0.45">
      <c r="P103">
        <v>2045</v>
      </c>
      <c r="Q103" t="s">
        <v>198</v>
      </c>
      <c r="R103">
        <v>0.45986666666666665</v>
      </c>
      <c r="S103" t="s">
        <v>199</v>
      </c>
    </row>
    <row r="104" spans="16:19" x14ac:dyDescent="0.45">
      <c r="P104">
        <v>2045</v>
      </c>
      <c r="Q104" t="s">
        <v>200</v>
      </c>
      <c r="R104">
        <v>0.48883333333333329</v>
      </c>
      <c r="S104" t="s">
        <v>199</v>
      </c>
    </row>
    <row r="105" spans="16:19" x14ac:dyDescent="0.45">
      <c r="P105">
        <v>2045</v>
      </c>
      <c r="Q105" t="s">
        <v>201</v>
      </c>
      <c r="R105">
        <v>0.14533333333333334</v>
      </c>
      <c r="S105" t="s">
        <v>199</v>
      </c>
    </row>
    <row r="106" spans="16:19" x14ac:dyDescent="0.45">
      <c r="P106">
        <v>2045</v>
      </c>
      <c r="Q106" t="s">
        <v>202</v>
      </c>
      <c r="R106">
        <v>0.22896666666666668</v>
      </c>
      <c r="S106" t="s">
        <v>199</v>
      </c>
    </row>
    <row r="107" spans="16:19" x14ac:dyDescent="0.45">
      <c r="P107">
        <v>2046</v>
      </c>
      <c r="Q107" t="s">
        <v>198</v>
      </c>
      <c r="R107">
        <v>0.48580000000000001</v>
      </c>
      <c r="S107" t="s">
        <v>199</v>
      </c>
    </row>
    <row r="108" spans="16:19" x14ac:dyDescent="0.45">
      <c r="P108">
        <v>2046</v>
      </c>
      <c r="Q108" t="s">
        <v>200</v>
      </c>
      <c r="R108">
        <v>0.5282</v>
      </c>
      <c r="S108" t="s">
        <v>199</v>
      </c>
    </row>
    <row r="109" spans="16:19" x14ac:dyDescent="0.45">
      <c r="P109">
        <v>2046</v>
      </c>
      <c r="Q109" t="s">
        <v>201</v>
      </c>
      <c r="R109">
        <v>0.11020000000000001</v>
      </c>
      <c r="S109" t="s">
        <v>199</v>
      </c>
    </row>
    <row r="110" spans="16:19" x14ac:dyDescent="0.45">
      <c r="P110">
        <v>2046</v>
      </c>
      <c r="Q110" t="s">
        <v>202</v>
      </c>
      <c r="R110">
        <v>0.21153333333333335</v>
      </c>
      <c r="S110" t="s">
        <v>199</v>
      </c>
    </row>
    <row r="111" spans="16:19" x14ac:dyDescent="0.45">
      <c r="P111">
        <v>2047</v>
      </c>
      <c r="Q111" t="s">
        <v>198</v>
      </c>
      <c r="R111">
        <v>0.54680000000000006</v>
      </c>
      <c r="S111" t="s">
        <v>199</v>
      </c>
    </row>
    <row r="112" spans="16:19" x14ac:dyDescent="0.45">
      <c r="P112">
        <v>2047</v>
      </c>
      <c r="Q112" t="s">
        <v>200</v>
      </c>
      <c r="R112">
        <v>0.58323333333333327</v>
      </c>
      <c r="S112" t="s">
        <v>199</v>
      </c>
    </row>
    <row r="113" spans="16:19" x14ac:dyDescent="0.45">
      <c r="P113">
        <v>2047</v>
      </c>
      <c r="Q113" t="s">
        <v>201</v>
      </c>
      <c r="R113">
        <v>0.18200000000000002</v>
      </c>
      <c r="S113" t="s">
        <v>199</v>
      </c>
    </row>
    <row r="114" spans="16:19" x14ac:dyDescent="0.45">
      <c r="P114">
        <v>2047</v>
      </c>
      <c r="Q114" t="s">
        <v>202</v>
      </c>
      <c r="R114">
        <v>0.2185</v>
      </c>
      <c r="S114" t="s">
        <v>199</v>
      </c>
    </row>
    <row r="115" spans="16:19" x14ac:dyDescent="0.45">
      <c r="P115">
        <v>2048</v>
      </c>
      <c r="Q115" t="s">
        <v>198</v>
      </c>
      <c r="R115">
        <v>0.55003333333333337</v>
      </c>
      <c r="S115" t="s">
        <v>199</v>
      </c>
    </row>
    <row r="116" spans="16:19" x14ac:dyDescent="0.45">
      <c r="P116">
        <v>2048</v>
      </c>
      <c r="Q116" t="s">
        <v>200</v>
      </c>
      <c r="R116">
        <v>0.45459999999999995</v>
      </c>
      <c r="S116" t="s">
        <v>199</v>
      </c>
    </row>
    <row r="117" spans="16:19" x14ac:dyDescent="0.45">
      <c r="P117">
        <v>2048</v>
      </c>
      <c r="Q117" t="s">
        <v>201</v>
      </c>
      <c r="R117">
        <v>0.16300000000000001</v>
      </c>
      <c r="S117" t="s">
        <v>199</v>
      </c>
    </row>
    <row r="118" spans="16:19" x14ac:dyDescent="0.45">
      <c r="P118">
        <v>2048</v>
      </c>
      <c r="Q118" t="s">
        <v>202</v>
      </c>
      <c r="R118">
        <v>0.2031333333333333</v>
      </c>
      <c r="S118" t="s">
        <v>199</v>
      </c>
    </row>
    <row r="119" spans="16:19" x14ac:dyDescent="0.45">
      <c r="P119">
        <v>2049</v>
      </c>
      <c r="Q119" t="s">
        <v>198</v>
      </c>
      <c r="R119">
        <v>0.43813333333333332</v>
      </c>
      <c r="S119" t="s">
        <v>199</v>
      </c>
    </row>
    <row r="120" spans="16:19" x14ac:dyDescent="0.45">
      <c r="P120">
        <v>2049</v>
      </c>
      <c r="Q120" t="s">
        <v>200</v>
      </c>
      <c r="R120">
        <v>0.41220000000000007</v>
      </c>
      <c r="S120" t="s">
        <v>199</v>
      </c>
    </row>
    <row r="121" spans="16:19" x14ac:dyDescent="0.45">
      <c r="P121">
        <v>2049</v>
      </c>
      <c r="Q121" t="s">
        <v>201</v>
      </c>
      <c r="R121">
        <v>0.15743333333333334</v>
      </c>
      <c r="S121" t="s">
        <v>199</v>
      </c>
    </row>
    <row r="122" spans="16:19" x14ac:dyDescent="0.45">
      <c r="P122">
        <v>2049</v>
      </c>
      <c r="Q122" t="s">
        <v>202</v>
      </c>
      <c r="R122">
        <v>0.12086666666666668</v>
      </c>
      <c r="S122" t="s">
        <v>199</v>
      </c>
    </row>
    <row r="123" spans="16:19" x14ac:dyDescent="0.45">
      <c r="P123">
        <v>2050</v>
      </c>
      <c r="Q123" t="s">
        <v>198</v>
      </c>
      <c r="R123">
        <v>0.5013333333333333</v>
      </c>
      <c r="S123" t="s">
        <v>199</v>
      </c>
    </row>
    <row r="124" spans="16:19" x14ac:dyDescent="0.45">
      <c r="P124">
        <v>2050</v>
      </c>
      <c r="Q124" t="s">
        <v>200</v>
      </c>
      <c r="R124">
        <v>0.41686666666666666</v>
      </c>
      <c r="S124" t="s">
        <v>199</v>
      </c>
    </row>
    <row r="125" spans="16:19" x14ac:dyDescent="0.45">
      <c r="P125">
        <v>2050</v>
      </c>
      <c r="Q125" t="s">
        <v>201</v>
      </c>
      <c r="R125">
        <v>9.4866666666666669E-2</v>
      </c>
      <c r="S125" t="s">
        <v>199</v>
      </c>
    </row>
    <row r="126" spans="16:19" x14ac:dyDescent="0.45">
      <c r="P126">
        <v>2050</v>
      </c>
      <c r="Q126" t="s">
        <v>202</v>
      </c>
      <c r="R126">
        <v>0.17269999999999999</v>
      </c>
      <c r="S126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5EAB8-0729-447B-BCD5-61A34CCE3EF9}">
  <dimension ref="B9:O562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region=DEU")</f>
        <v>~TFM_DINS-AT: region=DEU</v>
      </c>
      <c r="G9" t="str">
        <f>IF(A11="x","DeActivated","~TFM_DINS-AT: region=DEU")</f>
        <v>~TFM_DINS-AT: region=DEU</v>
      </c>
      <c r="L9" t="str">
        <f>IF(A11="x","DeActivated","~TFM_DINS-AT: region=DEU")</f>
        <v>~TFM_DINS-AT: region=DEU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396</v>
      </c>
      <c r="C11" t="s">
        <v>5</v>
      </c>
      <c r="D11">
        <v>0</v>
      </c>
      <c r="E11" t="s">
        <v>6</v>
      </c>
      <c r="G11" t="s">
        <v>397</v>
      </c>
      <c r="H11" t="s">
        <v>5</v>
      </c>
      <c r="I11">
        <v>0.12503231723612473</v>
      </c>
      <c r="J11" t="s">
        <v>6</v>
      </c>
      <c r="L11" t="s">
        <v>398</v>
      </c>
      <c r="M11" t="s">
        <v>5</v>
      </c>
      <c r="N11">
        <v>9.3797355544822006E-2</v>
      </c>
      <c r="O11" t="s">
        <v>6</v>
      </c>
    </row>
    <row r="12" spans="2:15" x14ac:dyDescent="0.45">
      <c r="B12" t="s">
        <v>396</v>
      </c>
      <c r="C12" t="s">
        <v>9</v>
      </c>
      <c r="D12">
        <v>2.1446612337592643E-5</v>
      </c>
      <c r="E12" t="s">
        <v>6</v>
      </c>
      <c r="G12" t="s">
        <v>397</v>
      </c>
      <c r="H12" t="s">
        <v>9</v>
      </c>
      <c r="I12">
        <v>5.7888105312835447E-2</v>
      </c>
      <c r="J12" t="s">
        <v>6</v>
      </c>
      <c r="L12" t="s">
        <v>398</v>
      </c>
      <c r="M12" t="s">
        <v>9</v>
      </c>
      <c r="N12">
        <v>4.6021066022214452E-2</v>
      </c>
      <c r="O12" t="s">
        <v>6</v>
      </c>
    </row>
    <row r="13" spans="2:15" x14ac:dyDescent="0.45">
      <c r="B13" t="s">
        <v>396</v>
      </c>
      <c r="C13" t="s">
        <v>10</v>
      </c>
      <c r="D13">
        <v>2.3206777301420123E-2</v>
      </c>
      <c r="E13" t="s">
        <v>6</v>
      </c>
      <c r="G13" t="s">
        <v>397</v>
      </c>
      <c r="H13" t="s">
        <v>10</v>
      </c>
      <c r="I13">
        <v>3.6922275334936222E-2</v>
      </c>
      <c r="J13" t="s">
        <v>6</v>
      </c>
      <c r="L13" t="s">
        <v>398</v>
      </c>
      <c r="M13" t="s">
        <v>10</v>
      </c>
      <c r="N13">
        <v>3.4709794031489563E-2</v>
      </c>
      <c r="O13" t="s">
        <v>6</v>
      </c>
    </row>
    <row r="14" spans="2:15" x14ac:dyDescent="0.45">
      <c r="B14" t="s">
        <v>396</v>
      </c>
      <c r="C14" t="s">
        <v>11</v>
      </c>
      <c r="D14">
        <v>5.1877805137501211E-2</v>
      </c>
      <c r="E14" t="s">
        <v>6</v>
      </c>
      <c r="G14" t="s">
        <v>397</v>
      </c>
      <c r="H14" t="s">
        <v>11</v>
      </c>
      <c r="I14">
        <v>3.4872637116328334E-2</v>
      </c>
      <c r="J14" t="s">
        <v>6</v>
      </c>
      <c r="L14" t="s">
        <v>398</v>
      </c>
      <c r="M14" t="s">
        <v>11</v>
      </c>
      <c r="N14">
        <v>3.4888625131290089E-2</v>
      </c>
      <c r="O14" t="s">
        <v>6</v>
      </c>
    </row>
    <row r="15" spans="2:15" x14ac:dyDescent="0.45">
      <c r="B15" t="s">
        <v>396</v>
      </c>
      <c r="C15" t="s">
        <v>12</v>
      </c>
      <c r="D15">
        <v>2.1970106578686064E-2</v>
      </c>
      <c r="E15" t="s">
        <v>6</v>
      </c>
      <c r="G15" t="s">
        <v>397</v>
      </c>
      <c r="H15" t="s">
        <v>12</v>
      </c>
      <c r="I15">
        <v>4.2577218321837189E-2</v>
      </c>
      <c r="J15" t="s">
        <v>6</v>
      </c>
      <c r="L15" t="s">
        <v>398</v>
      </c>
      <c r="M15" t="s">
        <v>12</v>
      </c>
      <c r="N15">
        <v>3.5058581156651988E-2</v>
      </c>
      <c r="O15" t="s">
        <v>6</v>
      </c>
    </row>
    <row r="16" spans="2:15" x14ac:dyDescent="0.45">
      <c r="B16" t="s">
        <v>396</v>
      </c>
      <c r="C16" t="s">
        <v>13</v>
      </c>
      <c r="D16">
        <v>1.0915839156459372E-4</v>
      </c>
      <c r="E16" t="s">
        <v>6</v>
      </c>
      <c r="G16" t="s">
        <v>397</v>
      </c>
      <c r="H16" t="s">
        <v>13</v>
      </c>
      <c r="I16">
        <v>4.614156424459636E-2</v>
      </c>
      <c r="J16" t="s">
        <v>6</v>
      </c>
      <c r="L16" t="s">
        <v>398</v>
      </c>
      <c r="M16" t="s">
        <v>13</v>
      </c>
      <c r="N16">
        <v>3.5267294045462319E-2</v>
      </c>
      <c r="O16" t="s">
        <v>6</v>
      </c>
    </row>
    <row r="17" spans="2:15" x14ac:dyDescent="0.45">
      <c r="B17" t="s">
        <v>396</v>
      </c>
      <c r="C17" t="s">
        <v>14</v>
      </c>
      <c r="D17">
        <v>0</v>
      </c>
      <c r="E17" t="s">
        <v>6</v>
      </c>
      <c r="G17" t="s">
        <v>397</v>
      </c>
      <c r="H17" t="s">
        <v>14</v>
      </c>
      <c r="I17">
        <v>8.4890626956631451E-2</v>
      </c>
      <c r="J17" t="s">
        <v>6</v>
      </c>
      <c r="L17" t="s">
        <v>398</v>
      </c>
      <c r="M17" t="s">
        <v>14</v>
      </c>
      <c r="N17">
        <v>8.6410393472803562E-2</v>
      </c>
      <c r="O17" t="s">
        <v>6</v>
      </c>
    </row>
    <row r="18" spans="2:15" x14ac:dyDescent="0.45">
      <c r="B18" t="s">
        <v>396</v>
      </c>
      <c r="C18" t="s">
        <v>15</v>
      </c>
      <c r="D18">
        <v>1.5875337909503118E-2</v>
      </c>
      <c r="E18" t="s">
        <v>6</v>
      </c>
      <c r="G18" t="s">
        <v>397</v>
      </c>
      <c r="H18" t="s">
        <v>15</v>
      </c>
      <c r="I18">
        <v>4.0756032430388382E-2</v>
      </c>
      <c r="J18" t="s">
        <v>6</v>
      </c>
      <c r="L18" t="s">
        <v>398</v>
      </c>
      <c r="M18" t="s">
        <v>15</v>
      </c>
      <c r="N18">
        <v>4.0704586859620716E-2</v>
      </c>
      <c r="O18" t="s">
        <v>6</v>
      </c>
    </row>
    <row r="19" spans="2:15" x14ac:dyDescent="0.45">
      <c r="B19" t="s">
        <v>396</v>
      </c>
      <c r="C19" t="s">
        <v>16</v>
      </c>
      <c r="D19">
        <v>9.1655835032565136E-2</v>
      </c>
      <c r="E19" t="s">
        <v>6</v>
      </c>
      <c r="G19" t="s">
        <v>397</v>
      </c>
      <c r="H19" t="s">
        <v>16</v>
      </c>
      <c r="I19">
        <v>2.7305425241099829E-2</v>
      </c>
      <c r="J19" t="s">
        <v>6</v>
      </c>
      <c r="L19" t="s">
        <v>398</v>
      </c>
      <c r="M19" t="s">
        <v>16</v>
      </c>
      <c r="N19">
        <v>3.062498824450418E-2</v>
      </c>
      <c r="O19" t="s">
        <v>6</v>
      </c>
    </row>
    <row r="20" spans="2:15" x14ac:dyDescent="0.45">
      <c r="B20" t="s">
        <v>396</v>
      </c>
      <c r="C20" t="s">
        <v>17</v>
      </c>
      <c r="D20">
        <v>0.12385894407216497</v>
      </c>
      <c r="E20" t="s">
        <v>6</v>
      </c>
      <c r="G20" t="s">
        <v>397</v>
      </c>
      <c r="H20" t="s">
        <v>17</v>
      </c>
      <c r="I20">
        <v>2.9254899219143576E-2</v>
      </c>
      <c r="J20" t="s">
        <v>6</v>
      </c>
      <c r="L20" t="s">
        <v>398</v>
      </c>
      <c r="M20" t="s">
        <v>17</v>
      </c>
      <c r="N20">
        <v>3.1428794749967862E-2</v>
      </c>
      <c r="O20" t="s">
        <v>6</v>
      </c>
    </row>
    <row r="21" spans="2:15" x14ac:dyDescent="0.45">
      <c r="B21" t="s">
        <v>396</v>
      </c>
      <c r="C21" t="s">
        <v>18</v>
      </c>
      <c r="D21">
        <v>7.5462131006755098E-2</v>
      </c>
      <c r="E21" t="s">
        <v>6</v>
      </c>
      <c r="G21" t="s">
        <v>397</v>
      </c>
      <c r="H21" t="s">
        <v>18</v>
      </c>
      <c r="I21">
        <v>3.2621477433870651E-2</v>
      </c>
      <c r="J21" t="s">
        <v>6</v>
      </c>
      <c r="L21" t="s">
        <v>398</v>
      </c>
      <c r="M21" t="s">
        <v>18</v>
      </c>
      <c r="N21">
        <v>3.2855636595945641E-2</v>
      </c>
      <c r="O21" t="s">
        <v>6</v>
      </c>
    </row>
    <row r="22" spans="2:15" x14ac:dyDescent="0.45">
      <c r="B22" t="s">
        <v>396</v>
      </c>
      <c r="C22" t="s">
        <v>19</v>
      </c>
      <c r="D22">
        <v>9.2286946298601735E-3</v>
      </c>
      <c r="E22" t="s">
        <v>6</v>
      </c>
      <c r="G22" t="s">
        <v>397</v>
      </c>
      <c r="H22" t="s">
        <v>19</v>
      </c>
      <c r="I22">
        <v>3.2815579269675182E-2</v>
      </c>
      <c r="J22" t="s">
        <v>6</v>
      </c>
      <c r="L22" t="s">
        <v>398</v>
      </c>
      <c r="M22" t="s">
        <v>19</v>
      </c>
      <c r="N22">
        <v>3.3386963464141182E-2</v>
      </c>
      <c r="O22" t="s">
        <v>6</v>
      </c>
    </row>
    <row r="23" spans="2:15" x14ac:dyDescent="0.45">
      <c r="B23" t="s">
        <v>396</v>
      </c>
      <c r="C23" t="s">
        <v>20</v>
      </c>
      <c r="D23">
        <v>4.4614979349151146E-7</v>
      </c>
      <c r="E23" t="s">
        <v>6</v>
      </c>
      <c r="G23" t="s">
        <v>397</v>
      </c>
      <c r="H23" t="s">
        <v>20</v>
      </c>
      <c r="I23">
        <v>6.2631068881245547E-2</v>
      </c>
      <c r="J23" t="s">
        <v>6</v>
      </c>
      <c r="L23" t="s">
        <v>398</v>
      </c>
      <c r="M23" t="s">
        <v>20</v>
      </c>
      <c r="N23">
        <v>6.1264614860711657E-2</v>
      </c>
      <c r="O23" t="s">
        <v>6</v>
      </c>
    </row>
    <row r="24" spans="2:15" x14ac:dyDescent="0.45">
      <c r="B24" t="s">
        <v>396</v>
      </c>
      <c r="C24" t="s">
        <v>21</v>
      </c>
      <c r="D24">
        <v>2.7226792271582069E-2</v>
      </c>
      <c r="E24" t="s">
        <v>6</v>
      </c>
      <c r="G24" t="s">
        <v>397</v>
      </c>
      <c r="H24" t="s">
        <v>21</v>
      </c>
      <c r="I24">
        <v>2.0691028558628945E-2</v>
      </c>
      <c r="J24" t="s">
        <v>6</v>
      </c>
      <c r="L24" t="s">
        <v>398</v>
      </c>
      <c r="M24" t="s">
        <v>21</v>
      </c>
      <c r="N24">
        <v>3.2429791994413946E-2</v>
      </c>
      <c r="O24" t="s">
        <v>6</v>
      </c>
    </row>
    <row r="25" spans="2:15" x14ac:dyDescent="0.45">
      <c r="B25" t="s">
        <v>396</v>
      </c>
      <c r="C25" t="s">
        <v>22</v>
      </c>
      <c r="D25">
        <v>0.11539950744563332</v>
      </c>
      <c r="E25" t="s">
        <v>6</v>
      </c>
      <c r="G25" t="s">
        <v>397</v>
      </c>
      <c r="H25" t="s">
        <v>22</v>
      </c>
      <c r="I25">
        <v>1.3954796460149729E-2</v>
      </c>
      <c r="J25" t="s">
        <v>6</v>
      </c>
      <c r="L25" t="s">
        <v>398</v>
      </c>
      <c r="M25" t="s">
        <v>22</v>
      </c>
      <c r="N25">
        <v>2.4383057733007134E-2</v>
      </c>
      <c r="O25" t="s">
        <v>6</v>
      </c>
    </row>
    <row r="26" spans="2:15" x14ac:dyDescent="0.45">
      <c r="B26" t="s">
        <v>396</v>
      </c>
      <c r="C26" t="s">
        <v>23</v>
      </c>
      <c r="D26">
        <v>0.14607366149098278</v>
      </c>
      <c r="E26" t="s">
        <v>6</v>
      </c>
      <c r="G26" t="s">
        <v>397</v>
      </c>
      <c r="H26" t="s">
        <v>23</v>
      </c>
      <c r="I26">
        <v>1.8552605352633585E-2</v>
      </c>
      <c r="J26" t="s">
        <v>6</v>
      </c>
      <c r="L26" t="s">
        <v>398</v>
      </c>
      <c r="M26" t="s">
        <v>23</v>
      </c>
      <c r="N26">
        <v>2.395347290789265E-2</v>
      </c>
      <c r="O26" t="s">
        <v>6</v>
      </c>
    </row>
    <row r="27" spans="2:15" x14ac:dyDescent="0.45">
      <c r="B27" t="s">
        <v>396</v>
      </c>
      <c r="C27" t="s">
        <v>24</v>
      </c>
      <c r="D27">
        <v>9.5642728307063829E-2</v>
      </c>
      <c r="E27" t="s">
        <v>6</v>
      </c>
      <c r="G27" t="s">
        <v>397</v>
      </c>
      <c r="H27" t="s">
        <v>24</v>
      </c>
      <c r="I27">
        <v>2.216333442111415E-2</v>
      </c>
      <c r="J27" t="s">
        <v>6</v>
      </c>
      <c r="L27" t="s">
        <v>398</v>
      </c>
      <c r="M27" t="s">
        <v>24</v>
      </c>
      <c r="N27">
        <v>2.4887363135821957E-2</v>
      </c>
      <c r="O27" t="s">
        <v>6</v>
      </c>
    </row>
    <row r="28" spans="2:15" x14ac:dyDescent="0.45">
      <c r="B28" t="s">
        <v>396</v>
      </c>
      <c r="C28" t="s">
        <v>25</v>
      </c>
      <c r="D28">
        <v>1.8243213581357123E-2</v>
      </c>
      <c r="E28" t="s">
        <v>6</v>
      </c>
      <c r="G28" t="s">
        <v>397</v>
      </c>
      <c r="H28" t="s">
        <v>25</v>
      </c>
      <c r="I28">
        <v>2.3396370307576166E-2</v>
      </c>
      <c r="J28" t="s">
        <v>6</v>
      </c>
      <c r="L28" t="s">
        <v>398</v>
      </c>
      <c r="M28" t="s">
        <v>25</v>
      </c>
      <c r="N28">
        <v>2.4352624816288183E-2</v>
      </c>
      <c r="O28" t="s">
        <v>6</v>
      </c>
    </row>
    <row r="29" spans="2:15" x14ac:dyDescent="0.45">
      <c r="B29" t="s">
        <v>396</v>
      </c>
      <c r="C29" t="s">
        <v>26</v>
      </c>
      <c r="D29">
        <v>0</v>
      </c>
      <c r="E29" t="s">
        <v>6</v>
      </c>
      <c r="G29" t="s">
        <v>397</v>
      </c>
      <c r="H29" t="s">
        <v>26</v>
      </c>
      <c r="I29">
        <v>9.0172070661390727E-2</v>
      </c>
      <c r="J29" t="s">
        <v>6</v>
      </c>
      <c r="L29" t="s">
        <v>398</v>
      </c>
      <c r="M29" t="s">
        <v>26</v>
      </c>
      <c r="N29">
        <v>9.1951918693870108E-2</v>
      </c>
      <c r="O29" t="s">
        <v>6</v>
      </c>
    </row>
    <row r="30" spans="2:15" x14ac:dyDescent="0.45">
      <c r="B30" t="s">
        <v>396</v>
      </c>
      <c r="C30" t="s">
        <v>27</v>
      </c>
      <c r="D30">
        <v>3.8772593830813753E-3</v>
      </c>
      <c r="E30" t="s">
        <v>6</v>
      </c>
      <c r="G30" t="s">
        <v>397</v>
      </c>
      <c r="H30" t="s">
        <v>27</v>
      </c>
      <c r="I30">
        <v>4.4545116721257702E-2</v>
      </c>
      <c r="J30" t="s">
        <v>6</v>
      </c>
      <c r="L30" t="s">
        <v>398</v>
      </c>
      <c r="M30" t="s">
        <v>27</v>
      </c>
      <c r="N30">
        <v>4.4989340792760381E-2</v>
      </c>
      <c r="O30" t="s">
        <v>6</v>
      </c>
    </row>
    <row r="31" spans="2:15" x14ac:dyDescent="0.45">
      <c r="B31" t="s">
        <v>396</v>
      </c>
      <c r="C31" t="s">
        <v>28</v>
      </c>
      <c r="D31">
        <v>5.4441037091386341E-2</v>
      </c>
      <c r="E31" t="s">
        <v>6</v>
      </c>
      <c r="G31" t="s">
        <v>397</v>
      </c>
      <c r="H31" t="s">
        <v>28</v>
      </c>
      <c r="I31">
        <v>2.6530602174636347E-2</v>
      </c>
      <c r="J31" t="s">
        <v>6</v>
      </c>
      <c r="L31" t="s">
        <v>398</v>
      </c>
      <c r="M31" t="s">
        <v>28</v>
      </c>
      <c r="N31">
        <v>3.3548340256669869E-2</v>
      </c>
      <c r="O31" t="s">
        <v>6</v>
      </c>
    </row>
    <row r="32" spans="2:15" x14ac:dyDescent="0.45">
      <c r="B32" t="s">
        <v>396</v>
      </c>
      <c r="C32" t="s">
        <v>29</v>
      </c>
      <c r="D32">
        <v>8.4642155413250861E-2</v>
      </c>
      <c r="E32" t="s">
        <v>6</v>
      </c>
      <c r="G32" t="s">
        <v>397</v>
      </c>
      <c r="H32" t="s">
        <v>29</v>
      </c>
      <c r="I32">
        <v>2.6151686183831711E-2</v>
      </c>
      <c r="J32" t="s">
        <v>6</v>
      </c>
      <c r="L32" t="s">
        <v>398</v>
      </c>
      <c r="M32" t="s">
        <v>29</v>
      </c>
      <c r="N32">
        <v>3.3640441993162011E-2</v>
      </c>
      <c r="O32" t="s">
        <v>6</v>
      </c>
    </row>
    <row r="33" spans="2:15" x14ac:dyDescent="0.45">
      <c r="B33" t="s">
        <v>396</v>
      </c>
      <c r="C33" t="s">
        <v>30</v>
      </c>
      <c r="D33">
        <v>3.980011527458855E-2</v>
      </c>
      <c r="E33" t="s">
        <v>6</v>
      </c>
      <c r="G33" t="s">
        <v>397</v>
      </c>
      <c r="H33" t="s">
        <v>30</v>
      </c>
      <c r="I33">
        <v>2.918902747816287E-2</v>
      </c>
      <c r="J33" t="s">
        <v>6</v>
      </c>
      <c r="L33" t="s">
        <v>398</v>
      </c>
      <c r="M33" t="s">
        <v>30</v>
      </c>
      <c r="N33">
        <v>3.4325047670679683E-2</v>
      </c>
      <c r="O33" t="s">
        <v>6</v>
      </c>
    </row>
    <row r="34" spans="2:15" x14ac:dyDescent="0.45">
      <c r="B34" t="s">
        <v>396</v>
      </c>
      <c r="C34" t="s">
        <v>31</v>
      </c>
      <c r="D34">
        <v>1.3868469189229763E-3</v>
      </c>
      <c r="E34" t="s">
        <v>6</v>
      </c>
      <c r="G34" t="s">
        <v>397</v>
      </c>
      <c r="H34" t="s">
        <v>31</v>
      </c>
      <c r="I34">
        <v>3.0944134681904441E-2</v>
      </c>
      <c r="J34" t="s">
        <v>6</v>
      </c>
      <c r="L34" t="s">
        <v>398</v>
      </c>
      <c r="M34" t="s">
        <v>31</v>
      </c>
      <c r="N34">
        <v>3.5119905825806916E-2</v>
      </c>
      <c r="O34" t="s">
        <v>6</v>
      </c>
    </row>
    <row r="35" spans="2:15" x14ac:dyDescent="0.45">
      <c r="B35" t="s">
        <v>399</v>
      </c>
      <c r="C35" t="s">
        <v>5</v>
      </c>
      <c r="D35">
        <v>0</v>
      </c>
      <c r="E35" t="s">
        <v>6</v>
      </c>
      <c r="G35" t="s">
        <v>400</v>
      </c>
      <c r="H35" t="s">
        <v>5</v>
      </c>
      <c r="I35">
        <v>0.11222453578301859</v>
      </c>
      <c r="J35" t="s">
        <v>6</v>
      </c>
      <c r="L35" t="s">
        <v>401</v>
      </c>
      <c r="M35" t="s">
        <v>5</v>
      </c>
      <c r="N35">
        <v>9.4214636409706926E-2</v>
      </c>
      <c r="O35" t="s">
        <v>6</v>
      </c>
    </row>
    <row r="36" spans="2:15" x14ac:dyDescent="0.45">
      <c r="B36" t="s">
        <v>399</v>
      </c>
      <c r="C36" t="s">
        <v>9</v>
      </c>
      <c r="D36">
        <v>8.1445789240288822E-5</v>
      </c>
      <c r="E36" t="s">
        <v>6</v>
      </c>
      <c r="G36" t="s">
        <v>400</v>
      </c>
      <c r="H36" t="s">
        <v>9</v>
      </c>
      <c r="I36">
        <v>5.5502250754933376E-2</v>
      </c>
      <c r="J36" t="s">
        <v>6</v>
      </c>
      <c r="L36" t="s">
        <v>401</v>
      </c>
      <c r="M36" t="s">
        <v>9</v>
      </c>
      <c r="N36">
        <v>4.6570817031128184E-2</v>
      </c>
      <c r="O36" t="s">
        <v>6</v>
      </c>
    </row>
    <row r="37" spans="2:15" x14ac:dyDescent="0.45">
      <c r="B37" t="s">
        <v>399</v>
      </c>
      <c r="C37" t="s">
        <v>10</v>
      </c>
      <c r="D37">
        <v>2.5741085037981989E-2</v>
      </c>
      <c r="E37" t="s">
        <v>6</v>
      </c>
      <c r="G37" t="s">
        <v>400</v>
      </c>
      <c r="H37" t="s">
        <v>10</v>
      </c>
      <c r="I37">
        <v>3.5939626157844275E-2</v>
      </c>
      <c r="J37" t="s">
        <v>6</v>
      </c>
      <c r="L37" t="s">
        <v>401</v>
      </c>
      <c r="M37" t="s">
        <v>10</v>
      </c>
      <c r="N37">
        <v>3.4958872540561937E-2</v>
      </c>
      <c r="O37" t="s">
        <v>6</v>
      </c>
    </row>
    <row r="38" spans="2:15" x14ac:dyDescent="0.45">
      <c r="B38" t="s">
        <v>399</v>
      </c>
      <c r="C38" t="s">
        <v>11</v>
      </c>
      <c r="D38">
        <v>5.0385748325851021E-2</v>
      </c>
      <c r="E38" t="s">
        <v>6</v>
      </c>
      <c r="G38" t="s">
        <v>400</v>
      </c>
      <c r="H38" t="s">
        <v>11</v>
      </c>
      <c r="I38">
        <v>3.4661759036730667E-2</v>
      </c>
      <c r="J38" t="s">
        <v>6</v>
      </c>
      <c r="L38" t="s">
        <v>401</v>
      </c>
      <c r="M38" t="s">
        <v>11</v>
      </c>
      <c r="N38">
        <v>3.5026353006660925E-2</v>
      </c>
      <c r="O38" t="s">
        <v>6</v>
      </c>
    </row>
    <row r="39" spans="2:15" x14ac:dyDescent="0.45">
      <c r="B39" t="s">
        <v>399</v>
      </c>
      <c r="C39" t="s">
        <v>12</v>
      </c>
      <c r="D39">
        <v>1.8156324711048128E-2</v>
      </c>
      <c r="E39" t="s">
        <v>6</v>
      </c>
      <c r="G39" t="s">
        <v>400</v>
      </c>
      <c r="H39" t="s">
        <v>12</v>
      </c>
      <c r="I39">
        <v>3.9087423324337164E-2</v>
      </c>
      <c r="J39" t="s">
        <v>6</v>
      </c>
      <c r="L39" t="s">
        <v>401</v>
      </c>
      <c r="M39" t="s">
        <v>12</v>
      </c>
      <c r="N39">
        <v>3.5064560477542764E-2</v>
      </c>
      <c r="O39" t="s">
        <v>6</v>
      </c>
    </row>
    <row r="40" spans="2:15" x14ac:dyDescent="0.45">
      <c r="B40" t="s">
        <v>399</v>
      </c>
      <c r="C40" t="s">
        <v>13</v>
      </c>
      <c r="D40">
        <v>4.108872919019758E-5</v>
      </c>
      <c r="E40" t="s">
        <v>6</v>
      </c>
      <c r="G40" t="s">
        <v>400</v>
      </c>
      <c r="H40" t="s">
        <v>13</v>
      </c>
      <c r="I40">
        <v>4.2302396233027832E-2</v>
      </c>
      <c r="J40" t="s">
        <v>6</v>
      </c>
      <c r="L40" t="s">
        <v>401</v>
      </c>
      <c r="M40" t="s">
        <v>13</v>
      </c>
      <c r="N40">
        <v>3.5559760457564357E-2</v>
      </c>
      <c r="O40" t="s">
        <v>6</v>
      </c>
    </row>
    <row r="41" spans="2:15" x14ac:dyDescent="0.45">
      <c r="B41" t="s">
        <v>399</v>
      </c>
      <c r="C41" t="s">
        <v>14</v>
      </c>
      <c r="D41">
        <v>0</v>
      </c>
      <c r="E41" t="s">
        <v>6</v>
      </c>
      <c r="G41" t="s">
        <v>400</v>
      </c>
      <c r="H41" t="s">
        <v>14</v>
      </c>
      <c r="I41">
        <v>8.5013366247528005E-2</v>
      </c>
      <c r="J41" t="s">
        <v>6</v>
      </c>
      <c r="L41" t="s">
        <v>401</v>
      </c>
      <c r="M41" t="s">
        <v>14</v>
      </c>
      <c r="N41">
        <v>8.4970065443366244E-2</v>
      </c>
      <c r="O41" t="s">
        <v>6</v>
      </c>
    </row>
    <row r="42" spans="2:15" x14ac:dyDescent="0.45">
      <c r="B42" t="s">
        <v>399</v>
      </c>
      <c r="C42" t="s">
        <v>15</v>
      </c>
      <c r="D42">
        <v>1.9869970475217789E-2</v>
      </c>
      <c r="E42" t="s">
        <v>6</v>
      </c>
      <c r="G42" t="s">
        <v>400</v>
      </c>
      <c r="H42" t="s">
        <v>15</v>
      </c>
      <c r="I42">
        <v>4.264444570134953E-2</v>
      </c>
      <c r="J42" t="s">
        <v>6</v>
      </c>
      <c r="L42" t="s">
        <v>401</v>
      </c>
      <c r="M42" t="s">
        <v>15</v>
      </c>
      <c r="N42">
        <v>4.0053765401123077E-2</v>
      </c>
      <c r="O42" t="s">
        <v>6</v>
      </c>
    </row>
    <row r="43" spans="2:15" x14ac:dyDescent="0.45">
      <c r="B43" t="s">
        <v>399</v>
      </c>
      <c r="C43" t="s">
        <v>16</v>
      </c>
      <c r="D43">
        <v>0.1008731177384999</v>
      </c>
      <c r="E43" t="s">
        <v>6</v>
      </c>
      <c r="G43" t="s">
        <v>400</v>
      </c>
      <c r="H43" t="s">
        <v>16</v>
      </c>
      <c r="I43">
        <v>3.1146470328726163E-2</v>
      </c>
      <c r="J43" t="s">
        <v>6</v>
      </c>
      <c r="L43" t="s">
        <v>401</v>
      </c>
      <c r="M43" t="s">
        <v>16</v>
      </c>
      <c r="N43">
        <v>2.9848779160922895E-2</v>
      </c>
      <c r="O43" t="s">
        <v>6</v>
      </c>
    </row>
    <row r="44" spans="2:15" x14ac:dyDescent="0.45">
      <c r="B44" t="s">
        <v>399</v>
      </c>
      <c r="C44" t="s">
        <v>17</v>
      </c>
      <c r="D44">
        <v>0.12443434172573188</v>
      </c>
      <c r="E44" t="s">
        <v>6</v>
      </c>
      <c r="G44" t="s">
        <v>400</v>
      </c>
      <c r="H44" t="s">
        <v>17</v>
      </c>
      <c r="I44">
        <v>2.9354181185096903E-2</v>
      </c>
      <c r="J44" t="s">
        <v>6</v>
      </c>
      <c r="L44" t="s">
        <v>401</v>
      </c>
      <c r="M44" t="s">
        <v>17</v>
      </c>
      <c r="N44">
        <v>3.0190848919860479E-2</v>
      </c>
      <c r="O44" t="s">
        <v>6</v>
      </c>
    </row>
    <row r="45" spans="2:15" x14ac:dyDescent="0.45">
      <c r="B45" t="s">
        <v>399</v>
      </c>
      <c r="C45" t="s">
        <v>18</v>
      </c>
      <c r="D45">
        <v>7.1910106978736635E-2</v>
      </c>
      <c r="E45" t="s">
        <v>6</v>
      </c>
      <c r="G45" t="s">
        <v>400</v>
      </c>
      <c r="H45" t="s">
        <v>18</v>
      </c>
      <c r="I45">
        <v>3.1718872311515336E-2</v>
      </c>
      <c r="J45" t="s">
        <v>6</v>
      </c>
      <c r="L45" t="s">
        <v>401</v>
      </c>
      <c r="M45" t="s">
        <v>18</v>
      </c>
      <c r="N45">
        <v>3.1298759539840931E-2</v>
      </c>
      <c r="O45" t="s">
        <v>6</v>
      </c>
    </row>
    <row r="46" spans="2:15" x14ac:dyDescent="0.45">
      <c r="B46" t="s">
        <v>399</v>
      </c>
      <c r="C46" t="s">
        <v>19</v>
      </c>
      <c r="D46">
        <v>8.1966723566239651E-3</v>
      </c>
      <c r="E46" t="s">
        <v>6</v>
      </c>
      <c r="G46" t="s">
        <v>400</v>
      </c>
      <c r="H46" t="s">
        <v>19</v>
      </c>
      <c r="I46">
        <v>3.4525697036210348E-2</v>
      </c>
      <c r="J46" t="s">
        <v>6</v>
      </c>
      <c r="L46" t="s">
        <v>401</v>
      </c>
      <c r="M46" t="s">
        <v>19</v>
      </c>
      <c r="N46">
        <v>3.207403762343828E-2</v>
      </c>
      <c r="O46" t="s">
        <v>6</v>
      </c>
    </row>
    <row r="47" spans="2:15" x14ac:dyDescent="0.45">
      <c r="B47" t="s">
        <v>399</v>
      </c>
      <c r="C47" t="s">
        <v>20</v>
      </c>
      <c r="D47">
        <v>0</v>
      </c>
      <c r="E47" t="s">
        <v>6</v>
      </c>
      <c r="G47" t="s">
        <v>400</v>
      </c>
      <c r="H47" t="s">
        <v>20</v>
      </c>
      <c r="I47">
        <v>5.6711134452034073E-2</v>
      </c>
      <c r="J47" t="s">
        <v>6</v>
      </c>
      <c r="L47" t="s">
        <v>401</v>
      </c>
      <c r="M47" t="s">
        <v>20</v>
      </c>
      <c r="N47">
        <v>6.3507656820284669E-2</v>
      </c>
      <c r="O47" t="s">
        <v>6</v>
      </c>
    </row>
    <row r="48" spans="2:15" x14ac:dyDescent="0.45">
      <c r="B48" t="s">
        <v>399</v>
      </c>
      <c r="C48" t="s">
        <v>21</v>
      </c>
      <c r="D48">
        <v>2.9855575109588091E-2</v>
      </c>
      <c r="E48" t="s">
        <v>6</v>
      </c>
      <c r="G48" t="s">
        <v>400</v>
      </c>
      <c r="H48" t="s">
        <v>21</v>
      </c>
      <c r="I48">
        <v>2.088860149555E-2</v>
      </c>
      <c r="J48" t="s">
        <v>6</v>
      </c>
      <c r="L48" t="s">
        <v>401</v>
      </c>
      <c r="M48" t="s">
        <v>21</v>
      </c>
      <c r="N48">
        <v>3.2117131469478956E-2</v>
      </c>
      <c r="O48" t="s">
        <v>6</v>
      </c>
    </row>
    <row r="49" spans="2:15" x14ac:dyDescent="0.45">
      <c r="B49" t="s">
        <v>399</v>
      </c>
      <c r="C49" t="s">
        <v>22</v>
      </c>
      <c r="D49">
        <v>0.11790028258987999</v>
      </c>
      <c r="E49" t="s">
        <v>6</v>
      </c>
      <c r="G49" t="s">
        <v>400</v>
      </c>
      <c r="H49" t="s">
        <v>22</v>
      </c>
      <c r="I49">
        <v>1.3226893669689552E-2</v>
      </c>
      <c r="J49" t="s">
        <v>6</v>
      </c>
      <c r="L49" t="s">
        <v>401</v>
      </c>
      <c r="M49" t="s">
        <v>22</v>
      </c>
      <c r="N49">
        <v>2.4951686144828351E-2</v>
      </c>
      <c r="O49" t="s">
        <v>6</v>
      </c>
    </row>
    <row r="50" spans="2:15" x14ac:dyDescent="0.45">
      <c r="B50" t="s">
        <v>399</v>
      </c>
      <c r="C50" t="s">
        <v>23</v>
      </c>
      <c r="D50">
        <v>0.14564947392665806</v>
      </c>
      <c r="E50" t="s">
        <v>6</v>
      </c>
      <c r="G50" t="s">
        <v>400</v>
      </c>
      <c r="H50" t="s">
        <v>23</v>
      </c>
      <c r="I50">
        <v>1.4661238219326977E-2</v>
      </c>
      <c r="J50" t="s">
        <v>6</v>
      </c>
      <c r="L50" t="s">
        <v>401</v>
      </c>
      <c r="M50" t="s">
        <v>23</v>
      </c>
      <c r="N50">
        <v>2.491815498653056E-2</v>
      </c>
      <c r="O50" t="s">
        <v>6</v>
      </c>
    </row>
    <row r="51" spans="2:15" x14ac:dyDescent="0.45">
      <c r="B51" t="s">
        <v>399</v>
      </c>
      <c r="C51" t="s">
        <v>24</v>
      </c>
      <c r="D51">
        <v>9.2341374630311307E-2</v>
      </c>
      <c r="E51" t="s">
        <v>6</v>
      </c>
      <c r="G51" t="s">
        <v>400</v>
      </c>
      <c r="H51" t="s">
        <v>24</v>
      </c>
      <c r="I51">
        <v>1.8432451552452666E-2</v>
      </c>
      <c r="J51" t="s">
        <v>6</v>
      </c>
      <c r="L51" t="s">
        <v>401</v>
      </c>
      <c r="M51" t="s">
        <v>24</v>
      </c>
      <c r="N51">
        <v>2.5397091139242021E-2</v>
      </c>
      <c r="O51" t="s">
        <v>6</v>
      </c>
    </row>
    <row r="52" spans="2:15" x14ac:dyDescent="0.45">
      <c r="B52" t="s">
        <v>399</v>
      </c>
      <c r="C52" t="s">
        <v>25</v>
      </c>
      <c r="D52">
        <v>1.6009495769808792E-2</v>
      </c>
      <c r="E52" t="s">
        <v>6</v>
      </c>
      <c r="G52" t="s">
        <v>400</v>
      </c>
      <c r="H52" t="s">
        <v>25</v>
      </c>
      <c r="I52">
        <v>2.0812889909022511E-2</v>
      </c>
      <c r="J52" t="s">
        <v>6</v>
      </c>
      <c r="L52" t="s">
        <v>401</v>
      </c>
      <c r="M52" t="s">
        <v>25</v>
      </c>
      <c r="N52">
        <v>2.5254940066956728E-2</v>
      </c>
      <c r="O52" t="s">
        <v>6</v>
      </c>
    </row>
    <row r="53" spans="2:15" x14ac:dyDescent="0.45">
      <c r="B53" t="s">
        <v>399</v>
      </c>
      <c r="C53" t="s">
        <v>26</v>
      </c>
      <c r="D53">
        <v>0</v>
      </c>
      <c r="E53" t="s">
        <v>6</v>
      </c>
      <c r="G53" t="s">
        <v>400</v>
      </c>
      <c r="H53" t="s">
        <v>26</v>
      </c>
      <c r="I53">
        <v>9.5965123553773596E-2</v>
      </c>
      <c r="J53" t="s">
        <v>6</v>
      </c>
      <c r="L53" t="s">
        <v>401</v>
      </c>
      <c r="M53" t="s">
        <v>26</v>
      </c>
      <c r="N53">
        <v>9.3490168414625041E-2</v>
      </c>
      <c r="O53" t="s">
        <v>6</v>
      </c>
    </row>
    <row r="54" spans="2:15" x14ac:dyDescent="0.45">
      <c r="B54" t="s">
        <v>399</v>
      </c>
      <c r="C54" t="s">
        <v>27</v>
      </c>
      <c r="D54">
        <v>4.8680062681396071E-3</v>
      </c>
      <c r="E54" t="s">
        <v>6</v>
      </c>
      <c r="G54" t="s">
        <v>400</v>
      </c>
      <c r="H54" t="s">
        <v>27</v>
      </c>
      <c r="I54">
        <v>5.094599819187192E-2</v>
      </c>
      <c r="J54" t="s">
        <v>6</v>
      </c>
      <c r="L54" t="s">
        <v>401</v>
      </c>
      <c r="M54" t="s">
        <v>27</v>
      </c>
      <c r="N54">
        <v>4.5249749692170008E-2</v>
      </c>
      <c r="O54" t="s">
        <v>6</v>
      </c>
    </row>
    <row r="55" spans="2:15" x14ac:dyDescent="0.45">
      <c r="B55" t="s">
        <v>399</v>
      </c>
      <c r="C55" t="s">
        <v>28</v>
      </c>
      <c r="D55">
        <v>5.3448980291507901E-2</v>
      </c>
      <c r="E55" t="s">
        <v>6</v>
      </c>
      <c r="G55" t="s">
        <v>400</v>
      </c>
      <c r="H55" t="s">
        <v>28</v>
      </c>
      <c r="I55">
        <v>3.5002270011033391E-2</v>
      </c>
      <c r="J55" t="s">
        <v>6</v>
      </c>
      <c r="L55" t="s">
        <v>401</v>
      </c>
      <c r="M55" t="s">
        <v>28</v>
      </c>
      <c r="N55">
        <v>3.3303428835673311E-2</v>
      </c>
      <c r="O55" t="s">
        <v>6</v>
      </c>
    </row>
    <row r="56" spans="2:15" x14ac:dyDescent="0.45">
      <c r="B56" t="s">
        <v>399</v>
      </c>
      <c r="C56" t="s">
        <v>29</v>
      </c>
      <c r="D56">
        <v>8.220966551373067E-2</v>
      </c>
      <c r="E56" t="s">
        <v>6</v>
      </c>
      <c r="G56" t="s">
        <v>400</v>
      </c>
      <c r="H56" t="s">
        <v>29</v>
      </c>
      <c r="I56">
        <v>3.3318692693530133E-2</v>
      </c>
      <c r="J56" t="s">
        <v>6</v>
      </c>
      <c r="L56" t="s">
        <v>401</v>
      </c>
      <c r="M56" t="s">
        <v>29</v>
      </c>
      <c r="N56">
        <v>3.3355937973623372E-2</v>
      </c>
      <c r="O56" t="s">
        <v>6</v>
      </c>
    </row>
    <row r="57" spans="2:15" x14ac:dyDescent="0.45">
      <c r="B57" t="s">
        <v>399</v>
      </c>
      <c r="C57" t="s">
        <v>30</v>
      </c>
      <c r="D57">
        <v>3.692874409116486E-2</v>
      </c>
      <c r="E57" t="s">
        <v>6</v>
      </c>
      <c r="G57" t="s">
        <v>400</v>
      </c>
      <c r="H57" t="s">
        <v>30</v>
      </c>
      <c r="I57">
        <v>3.1707820828210088E-2</v>
      </c>
      <c r="J57" t="s">
        <v>6</v>
      </c>
      <c r="L57" t="s">
        <v>401</v>
      </c>
      <c r="M57" t="s">
        <v>30</v>
      </c>
      <c r="N57">
        <v>3.4021627260853324E-2</v>
      </c>
      <c r="O57" t="s">
        <v>6</v>
      </c>
    </row>
    <row r="58" spans="2:15" x14ac:dyDescent="0.45">
      <c r="B58" t="s">
        <v>399</v>
      </c>
      <c r="C58" t="s">
        <v>31</v>
      </c>
      <c r="D58">
        <v>1.098499941087791E-3</v>
      </c>
      <c r="E58" t="s">
        <v>6</v>
      </c>
      <c r="G58" t="s">
        <v>400</v>
      </c>
      <c r="H58" t="s">
        <v>31</v>
      </c>
      <c r="I58">
        <v>3.4205861323180965E-2</v>
      </c>
      <c r="J58" t="s">
        <v>6</v>
      </c>
      <c r="L58" t="s">
        <v>401</v>
      </c>
      <c r="M58" t="s">
        <v>31</v>
      </c>
      <c r="N58">
        <v>3.4601171184013527E-2</v>
      </c>
      <c r="O58" t="s">
        <v>6</v>
      </c>
    </row>
    <row r="59" spans="2:15" x14ac:dyDescent="0.45">
      <c r="B59" t="s">
        <v>402</v>
      </c>
      <c r="C59" t="s">
        <v>5</v>
      </c>
      <c r="D59">
        <v>0</v>
      </c>
      <c r="E59" t="s">
        <v>6</v>
      </c>
      <c r="G59" t="s">
        <v>403</v>
      </c>
      <c r="H59" t="s">
        <v>5</v>
      </c>
      <c r="I59">
        <v>0.12177637201250165</v>
      </c>
      <c r="J59" t="s">
        <v>6</v>
      </c>
      <c r="L59" t="s">
        <v>404</v>
      </c>
      <c r="M59" t="s">
        <v>5</v>
      </c>
      <c r="N59">
        <v>9.5859407098289814E-2</v>
      </c>
      <c r="O59" t="s">
        <v>6</v>
      </c>
    </row>
    <row r="60" spans="2:15" x14ac:dyDescent="0.45">
      <c r="B60" t="s">
        <v>402</v>
      </c>
      <c r="C60" t="s">
        <v>9</v>
      </c>
      <c r="D60">
        <v>1.2440723095422755E-4</v>
      </c>
      <c r="E60" t="s">
        <v>6</v>
      </c>
      <c r="G60" t="s">
        <v>403</v>
      </c>
      <c r="H60" t="s">
        <v>9</v>
      </c>
      <c r="I60">
        <v>5.6729648724336446E-2</v>
      </c>
      <c r="J60" t="s">
        <v>6</v>
      </c>
      <c r="L60" t="s">
        <v>404</v>
      </c>
      <c r="M60" t="s">
        <v>9</v>
      </c>
      <c r="N60">
        <v>4.7951069363865104E-2</v>
      </c>
      <c r="O60" t="s">
        <v>6</v>
      </c>
    </row>
    <row r="61" spans="2:15" x14ac:dyDescent="0.45">
      <c r="B61" t="s">
        <v>402</v>
      </c>
      <c r="C61" t="s">
        <v>10</v>
      </c>
      <c r="D61">
        <v>3.0051230859259506E-2</v>
      </c>
      <c r="E61" t="s">
        <v>6</v>
      </c>
      <c r="G61" t="s">
        <v>403</v>
      </c>
      <c r="H61" t="s">
        <v>10</v>
      </c>
      <c r="I61">
        <v>3.6031793778501194E-2</v>
      </c>
      <c r="J61" t="s">
        <v>6</v>
      </c>
      <c r="L61" t="s">
        <v>404</v>
      </c>
      <c r="M61" t="s">
        <v>10</v>
      </c>
      <c r="N61">
        <v>3.619318781086555E-2</v>
      </c>
      <c r="O61" t="s">
        <v>6</v>
      </c>
    </row>
    <row r="62" spans="2:15" x14ac:dyDescent="0.45">
      <c r="B62" t="s">
        <v>402</v>
      </c>
      <c r="C62" t="s">
        <v>11</v>
      </c>
      <c r="D62">
        <v>5.5371049426735153E-2</v>
      </c>
      <c r="E62" t="s">
        <v>6</v>
      </c>
      <c r="G62" t="s">
        <v>403</v>
      </c>
      <c r="H62" t="s">
        <v>11</v>
      </c>
      <c r="I62">
        <v>3.2471595397285578E-2</v>
      </c>
      <c r="J62" t="s">
        <v>6</v>
      </c>
      <c r="L62" t="s">
        <v>404</v>
      </c>
      <c r="M62" t="s">
        <v>11</v>
      </c>
      <c r="N62">
        <v>3.6013939639702106E-2</v>
      </c>
      <c r="O62" t="s">
        <v>6</v>
      </c>
    </row>
    <row r="63" spans="2:15" x14ac:dyDescent="0.45">
      <c r="B63" t="s">
        <v>402</v>
      </c>
      <c r="C63" t="s">
        <v>12</v>
      </c>
      <c r="D63">
        <v>1.7733065230271666E-2</v>
      </c>
      <c r="E63" t="s">
        <v>6</v>
      </c>
      <c r="G63" t="s">
        <v>403</v>
      </c>
      <c r="H63" t="s">
        <v>12</v>
      </c>
      <c r="I63">
        <v>3.7695027158770107E-2</v>
      </c>
      <c r="J63" t="s">
        <v>6</v>
      </c>
      <c r="L63" t="s">
        <v>404</v>
      </c>
      <c r="M63" t="s">
        <v>12</v>
      </c>
      <c r="N63">
        <v>3.6169201079540837E-2</v>
      </c>
      <c r="O63" t="s">
        <v>6</v>
      </c>
    </row>
    <row r="64" spans="2:15" x14ac:dyDescent="0.45">
      <c r="B64" t="s">
        <v>402</v>
      </c>
      <c r="C64" t="s">
        <v>13</v>
      </c>
      <c r="D64">
        <v>4.4346766129693118E-6</v>
      </c>
      <c r="E64" t="s">
        <v>6</v>
      </c>
      <c r="G64" t="s">
        <v>403</v>
      </c>
      <c r="H64" t="s">
        <v>13</v>
      </c>
      <c r="I64">
        <v>4.4729711249900279E-2</v>
      </c>
      <c r="J64" t="s">
        <v>6</v>
      </c>
      <c r="L64" t="s">
        <v>404</v>
      </c>
      <c r="M64" t="s">
        <v>13</v>
      </c>
      <c r="N64">
        <v>3.6711470011988961E-2</v>
      </c>
      <c r="O64" t="s">
        <v>6</v>
      </c>
    </row>
    <row r="65" spans="2:15" x14ac:dyDescent="0.45">
      <c r="B65" t="s">
        <v>402</v>
      </c>
      <c r="C65" t="s">
        <v>14</v>
      </c>
      <c r="D65">
        <v>0</v>
      </c>
      <c r="E65" t="s">
        <v>6</v>
      </c>
      <c r="G65" t="s">
        <v>403</v>
      </c>
      <c r="H65" t="s">
        <v>14</v>
      </c>
      <c r="I65">
        <v>9.0173234666706251E-2</v>
      </c>
      <c r="J65" t="s">
        <v>6</v>
      </c>
      <c r="L65" t="s">
        <v>404</v>
      </c>
      <c r="M65" t="s">
        <v>14</v>
      </c>
      <c r="N65">
        <v>8.3531073021244046E-2</v>
      </c>
      <c r="O65" t="s">
        <v>6</v>
      </c>
    </row>
    <row r="66" spans="2:15" x14ac:dyDescent="0.45">
      <c r="B66" t="s">
        <v>402</v>
      </c>
      <c r="C66" t="s">
        <v>15</v>
      </c>
      <c r="D66">
        <v>2.1251715768024419E-2</v>
      </c>
      <c r="E66" t="s">
        <v>6</v>
      </c>
      <c r="G66" t="s">
        <v>403</v>
      </c>
      <c r="H66" t="s">
        <v>15</v>
      </c>
      <c r="I66">
        <v>4.4061023300704522E-2</v>
      </c>
      <c r="J66" t="s">
        <v>6</v>
      </c>
      <c r="L66" t="s">
        <v>404</v>
      </c>
      <c r="M66" t="s">
        <v>15</v>
      </c>
      <c r="N66">
        <v>4.0052133242685105E-2</v>
      </c>
      <c r="O66" t="s">
        <v>6</v>
      </c>
    </row>
    <row r="67" spans="2:15" x14ac:dyDescent="0.45">
      <c r="B67" t="s">
        <v>402</v>
      </c>
      <c r="C67" t="s">
        <v>16</v>
      </c>
      <c r="D67">
        <v>0.10094200923555829</v>
      </c>
      <c r="E67" t="s">
        <v>6</v>
      </c>
      <c r="G67" t="s">
        <v>403</v>
      </c>
      <c r="H67" t="s">
        <v>16</v>
      </c>
      <c r="I67">
        <v>2.6424096621276944E-2</v>
      </c>
      <c r="J67" t="s">
        <v>6</v>
      </c>
      <c r="L67" t="s">
        <v>404</v>
      </c>
      <c r="M67" t="s">
        <v>16</v>
      </c>
      <c r="N67">
        <v>2.8997126420599616E-2</v>
      </c>
      <c r="O67" t="s">
        <v>6</v>
      </c>
    </row>
    <row r="68" spans="2:15" x14ac:dyDescent="0.45">
      <c r="B68" t="s">
        <v>402</v>
      </c>
      <c r="C68" t="s">
        <v>17</v>
      </c>
      <c r="D68">
        <v>0.12102251001127697</v>
      </c>
      <c r="E68" t="s">
        <v>6</v>
      </c>
      <c r="G68" t="s">
        <v>403</v>
      </c>
      <c r="H68" t="s">
        <v>17</v>
      </c>
      <c r="I68">
        <v>2.3713239785077372E-2</v>
      </c>
      <c r="J68" t="s">
        <v>6</v>
      </c>
      <c r="L68" t="s">
        <v>404</v>
      </c>
      <c r="M68" t="s">
        <v>17</v>
      </c>
      <c r="N68">
        <v>2.8580224063470012E-2</v>
      </c>
      <c r="O68" t="s">
        <v>6</v>
      </c>
    </row>
    <row r="69" spans="2:15" x14ac:dyDescent="0.45">
      <c r="B69" t="s">
        <v>402</v>
      </c>
      <c r="C69" t="s">
        <v>18</v>
      </c>
      <c r="D69">
        <v>6.8111641829845249E-2</v>
      </c>
      <c r="E69" t="s">
        <v>6</v>
      </c>
      <c r="G69" t="s">
        <v>403</v>
      </c>
      <c r="H69" t="s">
        <v>18</v>
      </c>
      <c r="I69">
        <v>2.6862380369003087E-2</v>
      </c>
      <c r="J69" t="s">
        <v>6</v>
      </c>
      <c r="L69" t="s">
        <v>404</v>
      </c>
      <c r="M69" t="s">
        <v>18</v>
      </c>
      <c r="N69">
        <v>2.9891817067587704E-2</v>
      </c>
      <c r="O69" t="s">
        <v>6</v>
      </c>
    </row>
    <row r="70" spans="2:15" x14ac:dyDescent="0.45">
      <c r="B70" t="s">
        <v>402</v>
      </c>
      <c r="C70" t="s">
        <v>19</v>
      </c>
      <c r="D70">
        <v>6.6427848379671381E-3</v>
      </c>
      <c r="E70" t="s">
        <v>6</v>
      </c>
      <c r="G70" t="s">
        <v>403</v>
      </c>
      <c r="H70" t="s">
        <v>19</v>
      </c>
      <c r="I70">
        <v>3.2253782538320779E-2</v>
      </c>
      <c r="J70" t="s">
        <v>6</v>
      </c>
      <c r="L70" t="s">
        <v>404</v>
      </c>
      <c r="M70" t="s">
        <v>19</v>
      </c>
      <c r="N70">
        <v>3.0815326803191379E-2</v>
      </c>
      <c r="O70" t="s">
        <v>6</v>
      </c>
    </row>
    <row r="71" spans="2:15" x14ac:dyDescent="0.45">
      <c r="B71" t="s">
        <v>402</v>
      </c>
      <c r="C71" t="s">
        <v>20</v>
      </c>
      <c r="D71">
        <v>0</v>
      </c>
      <c r="E71" t="s">
        <v>6</v>
      </c>
      <c r="G71" t="s">
        <v>403</v>
      </c>
      <c r="H71" t="s">
        <v>20</v>
      </c>
      <c r="I71">
        <v>6.76937366923899E-2</v>
      </c>
      <c r="J71" t="s">
        <v>6</v>
      </c>
      <c r="L71" t="s">
        <v>404</v>
      </c>
      <c r="M71" t="s">
        <v>20</v>
      </c>
      <c r="N71">
        <v>6.5877476318535591E-2</v>
      </c>
      <c r="O71" t="s">
        <v>6</v>
      </c>
    </row>
    <row r="72" spans="2:15" x14ac:dyDescent="0.45">
      <c r="B72" t="s">
        <v>402</v>
      </c>
      <c r="C72" t="s">
        <v>21</v>
      </c>
      <c r="D72">
        <v>3.1710854407712243E-2</v>
      </c>
      <c r="E72" t="s">
        <v>6</v>
      </c>
      <c r="G72" t="s">
        <v>403</v>
      </c>
      <c r="H72" t="s">
        <v>21</v>
      </c>
      <c r="I72">
        <v>2.1762957554738779E-2</v>
      </c>
      <c r="J72" t="s">
        <v>6</v>
      </c>
      <c r="L72" t="s">
        <v>404</v>
      </c>
      <c r="M72" t="s">
        <v>21</v>
      </c>
      <c r="N72">
        <v>3.2170126701985359E-2</v>
      </c>
      <c r="O72" t="s">
        <v>6</v>
      </c>
    </row>
    <row r="73" spans="2:15" x14ac:dyDescent="0.45">
      <c r="B73" t="s">
        <v>402</v>
      </c>
      <c r="C73" t="s">
        <v>22</v>
      </c>
      <c r="D73">
        <v>0.1204219368627189</v>
      </c>
      <c r="E73" t="s">
        <v>6</v>
      </c>
      <c r="G73" t="s">
        <v>403</v>
      </c>
      <c r="H73" t="s">
        <v>22</v>
      </c>
      <c r="I73">
        <v>1.1719974369696675E-2</v>
      </c>
      <c r="J73" t="s">
        <v>6</v>
      </c>
      <c r="L73" t="s">
        <v>404</v>
      </c>
      <c r="M73" t="s">
        <v>22</v>
      </c>
      <c r="N73">
        <v>2.5153369004019051E-2</v>
      </c>
      <c r="O73" t="s">
        <v>6</v>
      </c>
    </row>
    <row r="74" spans="2:15" x14ac:dyDescent="0.45">
      <c r="B74" t="s">
        <v>402</v>
      </c>
      <c r="C74" t="s">
        <v>23</v>
      </c>
      <c r="D74">
        <v>0.1396644228724048</v>
      </c>
      <c r="E74" t="s">
        <v>6</v>
      </c>
      <c r="G74" t="s">
        <v>403</v>
      </c>
      <c r="H74" t="s">
        <v>23</v>
      </c>
      <c r="I74">
        <v>1.3045316081467933E-2</v>
      </c>
      <c r="J74" t="s">
        <v>6</v>
      </c>
      <c r="L74" t="s">
        <v>404</v>
      </c>
      <c r="M74" t="s">
        <v>23</v>
      </c>
      <c r="N74">
        <v>2.5266029925701955E-2</v>
      </c>
      <c r="O74" t="s">
        <v>6</v>
      </c>
    </row>
    <row r="75" spans="2:15" x14ac:dyDescent="0.45">
      <c r="B75" t="s">
        <v>402</v>
      </c>
      <c r="C75" t="s">
        <v>24</v>
      </c>
      <c r="D75">
        <v>8.7512574807146026E-2</v>
      </c>
      <c r="E75" t="s">
        <v>6</v>
      </c>
      <c r="G75" t="s">
        <v>403</v>
      </c>
      <c r="H75" t="s">
        <v>24</v>
      </c>
      <c r="I75">
        <v>1.5889118888240197E-2</v>
      </c>
      <c r="J75" t="s">
        <v>6</v>
      </c>
      <c r="L75" t="s">
        <v>404</v>
      </c>
      <c r="M75" t="s">
        <v>24</v>
      </c>
      <c r="N75">
        <v>2.533994122366506E-2</v>
      </c>
      <c r="O75" t="s">
        <v>6</v>
      </c>
    </row>
    <row r="76" spans="2:15" x14ac:dyDescent="0.45">
      <c r="B76" t="s">
        <v>402</v>
      </c>
      <c r="C76" t="s">
        <v>25</v>
      </c>
      <c r="D76">
        <v>1.3817514657906276E-2</v>
      </c>
      <c r="E76" t="s">
        <v>6</v>
      </c>
      <c r="G76" t="s">
        <v>403</v>
      </c>
      <c r="H76" t="s">
        <v>25</v>
      </c>
      <c r="I76">
        <v>1.9783177278498067E-2</v>
      </c>
      <c r="J76" t="s">
        <v>6</v>
      </c>
      <c r="L76" t="s">
        <v>404</v>
      </c>
      <c r="M76" t="s">
        <v>25</v>
      </c>
      <c r="N76">
        <v>2.5548495777820059E-2</v>
      </c>
      <c r="O76" t="s">
        <v>6</v>
      </c>
    </row>
    <row r="77" spans="2:15" x14ac:dyDescent="0.45">
      <c r="B77" t="s">
        <v>402</v>
      </c>
      <c r="C77" t="s">
        <v>26</v>
      </c>
      <c r="D77">
        <v>0</v>
      </c>
      <c r="E77" t="s">
        <v>6</v>
      </c>
      <c r="G77" t="s">
        <v>403</v>
      </c>
      <c r="H77" t="s">
        <v>26</v>
      </c>
      <c r="I77">
        <v>0.10466233736832098</v>
      </c>
      <c r="J77" t="s">
        <v>6</v>
      </c>
      <c r="L77" t="s">
        <v>404</v>
      </c>
      <c r="M77" t="s">
        <v>26</v>
      </c>
      <c r="N77">
        <v>9.2535239890231435E-2</v>
      </c>
      <c r="O77" t="s">
        <v>6</v>
      </c>
    </row>
    <row r="78" spans="2:15" x14ac:dyDescent="0.45">
      <c r="B78" t="s">
        <v>402</v>
      </c>
      <c r="C78" t="s">
        <v>27</v>
      </c>
      <c r="D78">
        <v>6.6042577612004634E-3</v>
      </c>
      <c r="E78" t="s">
        <v>6</v>
      </c>
      <c r="G78" t="s">
        <v>403</v>
      </c>
      <c r="H78" t="s">
        <v>27</v>
      </c>
      <c r="I78">
        <v>5.1010382667890215E-2</v>
      </c>
      <c r="J78" t="s">
        <v>6</v>
      </c>
      <c r="L78" t="s">
        <v>404</v>
      </c>
      <c r="M78" t="s">
        <v>27</v>
      </c>
      <c r="N78">
        <v>4.5327258405872844E-2</v>
      </c>
      <c r="O78" t="s">
        <v>6</v>
      </c>
    </row>
    <row r="79" spans="2:15" x14ac:dyDescent="0.45">
      <c r="B79" t="s">
        <v>402</v>
      </c>
      <c r="C79" t="s">
        <v>28</v>
      </c>
      <c r="D79">
        <v>5.979954284241322E-2</v>
      </c>
      <c r="E79" t="s">
        <v>6</v>
      </c>
      <c r="G79" t="s">
        <v>403</v>
      </c>
      <c r="H79" t="s">
        <v>28</v>
      </c>
      <c r="I79">
        <v>3.0931747971701656E-2</v>
      </c>
      <c r="J79" t="s">
        <v>6</v>
      </c>
      <c r="L79" t="s">
        <v>404</v>
      </c>
      <c r="M79" t="s">
        <v>28</v>
      </c>
      <c r="N79">
        <v>3.2843091050044251E-2</v>
      </c>
      <c r="O79" t="s">
        <v>6</v>
      </c>
    </row>
    <row r="80" spans="2:15" x14ac:dyDescent="0.45">
      <c r="B80" t="s">
        <v>402</v>
      </c>
      <c r="C80" t="s">
        <v>29</v>
      </c>
      <c r="D80">
        <v>8.3661859807956998E-2</v>
      </c>
      <c r="E80" t="s">
        <v>6</v>
      </c>
      <c r="G80" t="s">
        <v>403</v>
      </c>
      <c r="H80" t="s">
        <v>29</v>
      </c>
      <c r="I80">
        <v>2.7311360939115258E-2</v>
      </c>
      <c r="J80" t="s">
        <v>6</v>
      </c>
      <c r="L80" t="s">
        <v>404</v>
      </c>
      <c r="M80" t="s">
        <v>29</v>
      </c>
      <c r="N80">
        <v>3.214122884113025E-2</v>
      </c>
      <c r="O80" t="s">
        <v>6</v>
      </c>
    </row>
    <row r="81" spans="2:15" x14ac:dyDescent="0.45">
      <c r="B81" t="s">
        <v>402</v>
      </c>
      <c r="C81" t="s">
        <v>30</v>
      </c>
      <c r="D81">
        <v>3.4778407981292246E-2</v>
      </c>
      <c r="E81" t="s">
        <v>6</v>
      </c>
      <c r="G81" t="s">
        <v>403</v>
      </c>
      <c r="H81" t="s">
        <v>30</v>
      </c>
      <c r="I81">
        <v>2.8552080548297842E-2</v>
      </c>
      <c r="J81" t="s">
        <v>6</v>
      </c>
      <c r="L81" t="s">
        <v>404</v>
      </c>
      <c r="M81" t="s">
        <v>30</v>
      </c>
      <c r="N81">
        <v>3.3130582527957607E-2</v>
      </c>
      <c r="O81" t="s">
        <v>6</v>
      </c>
    </row>
    <row r="82" spans="2:15" x14ac:dyDescent="0.45">
      <c r="B82" t="s">
        <v>402</v>
      </c>
      <c r="C82" t="s">
        <v>31</v>
      </c>
      <c r="D82">
        <v>7.7377889274099271E-4</v>
      </c>
      <c r="E82" t="s">
        <v>6</v>
      </c>
      <c r="G82" t="s">
        <v>403</v>
      </c>
      <c r="H82" t="s">
        <v>31</v>
      </c>
      <c r="I82">
        <v>3.4715904037261096E-2</v>
      </c>
      <c r="J82" t="s">
        <v>6</v>
      </c>
      <c r="L82" t="s">
        <v>404</v>
      </c>
      <c r="M82" t="s">
        <v>31</v>
      </c>
      <c r="N82">
        <v>3.3901184710003064E-2</v>
      </c>
      <c r="O82" t="s">
        <v>6</v>
      </c>
    </row>
    <row r="83" spans="2:15" x14ac:dyDescent="0.45">
      <c r="B83" t="s">
        <v>405</v>
      </c>
      <c r="C83" t="s">
        <v>5</v>
      </c>
      <c r="D83">
        <v>0</v>
      </c>
      <c r="E83" t="s">
        <v>6</v>
      </c>
      <c r="G83" t="s">
        <v>406</v>
      </c>
      <c r="H83" t="s">
        <v>5</v>
      </c>
      <c r="I83">
        <v>0.11371816282114888</v>
      </c>
      <c r="J83" t="s">
        <v>6</v>
      </c>
      <c r="L83" t="s">
        <v>407</v>
      </c>
      <c r="M83" t="s">
        <v>5</v>
      </c>
      <c r="N83">
        <v>9.6225846626113262E-2</v>
      </c>
      <c r="O83" t="s">
        <v>6</v>
      </c>
    </row>
    <row r="84" spans="2:15" x14ac:dyDescent="0.45">
      <c r="B84" t="s">
        <v>405</v>
      </c>
      <c r="C84" t="s">
        <v>9</v>
      </c>
      <c r="D84">
        <v>4.5478394098230355E-5</v>
      </c>
      <c r="E84" t="s">
        <v>6</v>
      </c>
      <c r="G84" t="s">
        <v>406</v>
      </c>
      <c r="H84" t="s">
        <v>9</v>
      </c>
      <c r="I84">
        <v>5.6189605023392632E-2</v>
      </c>
      <c r="J84" t="s">
        <v>6</v>
      </c>
      <c r="L84" t="s">
        <v>407</v>
      </c>
      <c r="M84" t="s">
        <v>9</v>
      </c>
      <c r="N84">
        <v>4.8137732031787388E-2</v>
      </c>
      <c r="O84" t="s">
        <v>6</v>
      </c>
    </row>
    <row r="85" spans="2:15" x14ac:dyDescent="0.45">
      <c r="B85" t="s">
        <v>405</v>
      </c>
      <c r="C85" t="s">
        <v>10</v>
      </c>
      <c r="D85">
        <v>2.6906037591941604E-2</v>
      </c>
      <c r="E85" t="s">
        <v>6</v>
      </c>
      <c r="G85" t="s">
        <v>406</v>
      </c>
      <c r="H85" t="s">
        <v>10</v>
      </c>
      <c r="I85">
        <v>3.8164483285317637E-2</v>
      </c>
      <c r="J85" t="s">
        <v>6</v>
      </c>
      <c r="L85" t="s">
        <v>407</v>
      </c>
      <c r="M85" t="s">
        <v>10</v>
      </c>
      <c r="N85">
        <v>3.5903046549844261E-2</v>
      </c>
      <c r="O85" t="s">
        <v>6</v>
      </c>
    </row>
    <row r="86" spans="2:15" x14ac:dyDescent="0.45">
      <c r="B86" t="s">
        <v>405</v>
      </c>
      <c r="C86" t="s">
        <v>11</v>
      </c>
      <c r="D86">
        <v>5.6765562081550223E-2</v>
      </c>
      <c r="E86" t="s">
        <v>6</v>
      </c>
      <c r="G86" t="s">
        <v>406</v>
      </c>
      <c r="H86" t="s">
        <v>11</v>
      </c>
      <c r="I86">
        <v>3.6224536865513551E-2</v>
      </c>
      <c r="J86" t="s">
        <v>6</v>
      </c>
      <c r="L86" t="s">
        <v>407</v>
      </c>
      <c r="M86" t="s">
        <v>11</v>
      </c>
      <c r="N86">
        <v>3.5554656205956707E-2</v>
      </c>
      <c r="O86" t="s">
        <v>6</v>
      </c>
    </row>
    <row r="87" spans="2:15" x14ac:dyDescent="0.45">
      <c r="B87" t="s">
        <v>405</v>
      </c>
      <c r="C87" t="s">
        <v>12</v>
      </c>
      <c r="D87">
        <v>2.3041451816390262E-2</v>
      </c>
      <c r="E87" t="s">
        <v>6</v>
      </c>
      <c r="G87" t="s">
        <v>406</v>
      </c>
      <c r="H87" t="s">
        <v>12</v>
      </c>
      <c r="I87">
        <v>3.8513442223109547E-2</v>
      </c>
      <c r="J87" t="s">
        <v>6</v>
      </c>
      <c r="L87" t="s">
        <v>407</v>
      </c>
      <c r="M87" t="s">
        <v>12</v>
      </c>
      <c r="N87">
        <v>3.5833921809893025E-2</v>
      </c>
      <c r="O87" t="s">
        <v>6</v>
      </c>
    </row>
    <row r="88" spans="2:15" x14ac:dyDescent="0.45">
      <c r="B88" t="s">
        <v>405</v>
      </c>
      <c r="C88" t="s">
        <v>13</v>
      </c>
      <c r="D88">
        <v>5.6470673833985429E-5</v>
      </c>
      <c r="E88" t="s">
        <v>6</v>
      </c>
      <c r="G88" t="s">
        <v>406</v>
      </c>
      <c r="H88" t="s">
        <v>13</v>
      </c>
      <c r="I88">
        <v>4.3225513767578827E-2</v>
      </c>
      <c r="J88" t="s">
        <v>6</v>
      </c>
      <c r="L88" t="s">
        <v>407</v>
      </c>
      <c r="M88" t="s">
        <v>13</v>
      </c>
      <c r="N88">
        <v>3.6076097427039391E-2</v>
      </c>
      <c r="O88" t="s">
        <v>6</v>
      </c>
    </row>
    <row r="89" spans="2:15" x14ac:dyDescent="0.45">
      <c r="B89" t="s">
        <v>405</v>
      </c>
      <c r="C89" t="s">
        <v>14</v>
      </c>
      <c r="D89">
        <v>0</v>
      </c>
      <c r="E89" t="s">
        <v>6</v>
      </c>
      <c r="G89" t="s">
        <v>406</v>
      </c>
      <c r="H89" t="s">
        <v>14</v>
      </c>
      <c r="I89">
        <v>8.4344638013987047E-2</v>
      </c>
      <c r="J89" t="s">
        <v>6</v>
      </c>
      <c r="L89" t="s">
        <v>407</v>
      </c>
      <c r="M89" t="s">
        <v>14</v>
      </c>
      <c r="N89">
        <v>8.5155997834454628E-2</v>
      </c>
      <c r="O89" t="s">
        <v>6</v>
      </c>
    </row>
    <row r="90" spans="2:15" x14ac:dyDescent="0.45">
      <c r="B90" t="s">
        <v>405</v>
      </c>
      <c r="C90" t="s">
        <v>15</v>
      </c>
      <c r="D90">
        <v>1.6345439094709466E-2</v>
      </c>
      <c r="E90" t="s">
        <v>6</v>
      </c>
      <c r="G90" t="s">
        <v>406</v>
      </c>
      <c r="H90" t="s">
        <v>15</v>
      </c>
      <c r="I90">
        <v>4.2876697346523066E-2</v>
      </c>
      <c r="J90" t="s">
        <v>6</v>
      </c>
      <c r="L90" t="s">
        <v>407</v>
      </c>
      <c r="M90" t="s">
        <v>15</v>
      </c>
      <c r="N90">
        <v>4.0484285078390296E-2</v>
      </c>
      <c r="O90" t="s">
        <v>6</v>
      </c>
    </row>
    <row r="91" spans="2:15" x14ac:dyDescent="0.45">
      <c r="B91" t="s">
        <v>405</v>
      </c>
      <c r="C91" t="s">
        <v>16</v>
      </c>
      <c r="D91">
        <v>9.0414903217221065E-2</v>
      </c>
      <c r="E91" t="s">
        <v>6</v>
      </c>
      <c r="G91" t="s">
        <v>406</v>
      </c>
      <c r="H91" t="s">
        <v>16</v>
      </c>
      <c r="I91">
        <v>2.8078965009091982E-2</v>
      </c>
      <c r="J91" t="s">
        <v>6</v>
      </c>
      <c r="L91" t="s">
        <v>407</v>
      </c>
      <c r="M91" t="s">
        <v>16</v>
      </c>
      <c r="N91">
        <v>2.9401789987453467E-2</v>
      </c>
      <c r="O91" t="s">
        <v>6</v>
      </c>
    </row>
    <row r="92" spans="2:15" x14ac:dyDescent="0.45">
      <c r="B92" t="s">
        <v>405</v>
      </c>
      <c r="C92" t="s">
        <v>17</v>
      </c>
      <c r="D92">
        <v>0.12120104979505342</v>
      </c>
      <c r="E92" t="s">
        <v>6</v>
      </c>
      <c r="G92" t="s">
        <v>406</v>
      </c>
      <c r="H92" t="s">
        <v>17</v>
      </c>
      <c r="I92">
        <v>2.6111092065325567E-2</v>
      </c>
      <c r="J92" t="s">
        <v>6</v>
      </c>
      <c r="L92" t="s">
        <v>407</v>
      </c>
      <c r="M92" t="s">
        <v>17</v>
      </c>
      <c r="N92">
        <v>2.9189190928631877E-2</v>
      </c>
      <c r="O92" t="s">
        <v>6</v>
      </c>
    </row>
    <row r="93" spans="2:15" x14ac:dyDescent="0.45">
      <c r="B93" t="s">
        <v>405</v>
      </c>
      <c r="C93" t="s">
        <v>18</v>
      </c>
      <c r="D93">
        <v>7.2628511504291934E-2</v>
      </c>
      <c r="E93" t="s">
        <v>6</v>
      </c>
      <c r="G93" t="s">
        <v>406</v>
      </c>
      <c r="H93" t="s">
        <v>18</v>
      </c>
      <c r="I93">
        <v>2.8519413784717326E-2</v>
      </c>
      <c r="J93" t="s">
        <v>6</v>
      </c>
      <c r="L93" t="s">
        <v>407</v>
      </c>
      <c r="M93" t="s">
        <v>18</v>
      </c>
      <c r="N93">
        <v>3.0651515873767163E-2</v>
      </c>
      <c r="O93" t="s">
        <v>6</v>
      </c>
    </row>
    <row r="94" spans="2:15" x14ac:dyDescent="0.45">
      <c r="B94" t="s">
        <v>405</v>
      </c>
      <c r="C94" t="s">
        <v>19</v>
      </c>
      <c r="D94">
        <v>8.1697909150965798E-3</v>
      </c>
      <c r="E94" t="s">
        <v>6</v>
      </c>
      <c r="G94" t="s">
        <v>406</v>
      </c>
      <c r="H94" t="s">
        <v>19</v>
      </c>
      <c r="I94">
        <v>3.3005380342594245E-2</v>
      </c>
      <c r="J94" t="s">
        <v>6</v>
      </c>
      <c r="L94" t="s">
        <v>407</v>
      </c>
      <c r="M94" t="s">
        <v>19</v>
      </c>
      <c r="N94">
        <v>3.2018082441443343E-2</v>
      </c>
      <c r="O94" t="s">
        <v>6</v>
      </c>
    </row>
    <row r="95" spans="2:15" x14ac:dyDescent="0.45">
      <c r="B95" t="s">
        <v>405</v>
      </c>
      <c r="C95" t="s">
        <v>20</v>
      </c>
      <c r="D95">
        <v>0</v>
      </c>
      <c r="E95" t="s">
        <v>6</v>
      </c>
      <c r="G95" t="s">
        <v>406</v>
      </c>
      <c r="H95" t="s">
        <v>20</v>
      </c>
      <c r="I95">
        <v>5.7536214388963842E-2</v>
      </c>
      <c r="J95" t="s">
        <v>6</v>
      </c>
      <c r="L95" t="s">
        <v>407</v>
      </c>
      <c r="M95" t="s">
        <v>20</v>
      </c>
      <c r="N95">
        <v>6.2632518246562796E-2</v>
      </c>
      <c r="O95" t="s">
        <v>6</v>
      </c>
    </row>
    <row r="96" spans="2:15" x14ac:dyDescent="0.45">
      <c r="B96" t="s">
        <v>405</v>
      </c>
      <c r="C96" t="s">
        <v>21</v>
      </c>
      <c r="D96">
        <v>2.8866421482067341E-2</v>
      </c>
      <c r="E96" t="s">
        <v>6</v>
      </c>
      <c r="G96" t="s">
        <v>406</v>
      </c>
      <c r="H96" t="s">
        <v>21</v>
      </c>
      <c r="I96">
        <v>2.0409051277034625E-2</v>
      </c>
      <c r="J96" t="s">
        <v>6</v>
      </c>
      <c r="L96" t="s">
        <v>407</v>
      </c>
      <c r="M96" t="s">
        <v>21</v>
      </c>
      <c r="N96">
        <v>3.2330685699191397E-2</v>
      </c>
      <c r="O96" t="s">
        <v>6</v>
      </c>
    </row>
    <row r="97" spans="2:15" x14ac:dyDescent="0.45">
      <c r="B97" t="s">
        <v>405</v>
      </c>
      <c r="C97" t="s">
        <v>22</v>
      </c>
      <c r="D97">
        <v>0.11765124204607072</v>
      </c>
      <c r="E97" t="s">
        <v>6</v>
      </c>
      <c r="G97" t="s">
        <v>406</v>
      </c>
      <c r="H97" t="s">
        <v>22</v>
      </c>
      <c r="I97">
        <v>1.2210883758915138E-2</v>
      </c>
      <c r="J97" t="s">
        <v>6</v>
      </c>
      <c r="L97" t="s">
        <v>407</v>
      </c>
      <c r="M97" t="s">
        <v>22</v>
      </c>
      <c r="N97">
        <v>2.3976228153108348E-2</v>
      </c>
      <c r="O97" t="s">
        <v>6</v>
      </c>
    </row>
    <row r="98" spans="2:15" x14ac:dyDescent="0.45">
      <c r="B98" t="s">
        <v>405</v>
      </c>
      <c r="C98" t="s">
        <v>23</v>
      </c>
      <c r="D98">
        <v>0.14408305392655818</v>
      </c>
      <c r="E98" t="s">
        <v>6</v>
      </c>
      <c r="G98" t="s">
        <v>406</v>
      </c>
      <c r="H98" t="s">
        <v>23</v>
      </c>
      <c r="I98">
        <v>1.3984393185932264E-2</v>
      </c>
      <c r="J98" t="s">
        <v>6</v>
      </c>
      <c r="L98" t="s">
        <v>407</v>
      </c>
      <c r="M98" t="s">
        <v>23</v>
      </c>
      <c r="N98">
        <v>2.3545753212370946E-2</v>
      </c>
      <c r="O98" t="s">
        <v>6</v>
      </c>
    </row>
    <row r="99" spans="2:15" x14ac:dyDescent="0.45">
      <c r="B99" t="s">
        <v>405</v>
      </c>
      <c r="C99" t="s">
        <v>24</v>
      </c>
      <c r="D99">
        <v>9.3105012180426494E-2</v>
      </c>
      <c r="E99" t="s">
        <v>6</v>
      </c>
      <c r="G99" t="s">
        <v>406</v>
      </c>
      <c r="H99" t="s">
        <v>24</v>
      </c>
      <c r="I99">
        <v>1.6631045200408704E-2</v>
      </c>
      <c r="J99" t="s">
        <v>6</v>
      </c>
      <c r="L99" t="s">
        <v>407</v>
      </c>
      <c r="M99" t="s">
        <v>24</v>
      </c>
      <c r="N99">
        <v>2.4366223191188318E-2</v>
      </c>
      <c r="O99" t="s">
        <v>6</v>
      </c>
    </row>
    <row r="100" spans="2:15" x14ac:dyDescent="0.45">
      <c r="B100" t="s">
        <v>405</v>
      </c>
      <c r="C100" t="s">
        <v>25</v>
      </c>
      <c r="D100">
        <v>1.656226544553796E-2</v>
      </c>
      <c r="E100" t="s">
        <v>6</v>
      </c>
      <c r="G100" t="s">
        <v>406</v>
      </c>
      <c r="H100" t="s">
        <v>25</v>
      </c>
      <c r="I100">
        <v>1.9617950687823956E-2</v>
      </c>
      <c r="J100" t="s">
        <v>6</v>
      </c>
      <c r="L100" t="s">
        <v>407</v>
      </c>
      <c r="M100" t="s">
        <v>25</v>
      </c>
      <c r="N100">
        <v>2.4379343837203665E-2</v>
      </c>
      <c r="O100" t="s">
        <v>6</v>
      </c>
    </row>
    <row r="101" spans="2:15" x14ac:dyDescent="0.45">
      <c r="B101" t="s">
        <v>405</v>
      </c>
      <c r="C101" t="s">
        <v>26</v>
      </c>
      <c r="D101">
        <v>0</v>
      </c>
      <c r="E101" t="s">
        <v>6</v>
      </c>
      <c r="G101" t="s">
        <v>406</v>
      </c>
      <c r="H101" t="s">
        <v>26</v>
      </c>
      <c r="I101">
        <v>0.10101614417121756</v>
      </c>
      <c r="J101" t="s">
        <v>6</v>
      </c>
      <c r="L101" t="s">
        <v>407</v>
      </c>
      <c r="M101" t="s">
        <v>26</v>
      </c>
      <c r="N101">
        <v>9.3361436793916411E-2</v>
      </c>
      <c r="O101" t="s">
        <v>6</v>
      </c>
    </row>
    <row r="102" spans="2:15" x14ac:dyDescent="0.45">
      <c r="B102" t="s">
        <v>405</v>
      </c>
      <c r="C102" t="s">
        <v>27</v>
      </c>
      <c r="D102">
        <v>5.0759775834112123E-3</v>
      </c>
      <c r="E102" t="s">
        <v>6</v>
      </c>
      <c r="G102" t="s">
        <v>406</v>
      </c>
      <c r="H102" t="s">
        <v>27</v>
      </c>
      <c r="I102">
        <v>5.4506348978106633E-2</v>
      </c>
      <c r="J102" t="s">
        <v>6</v>
      </c>
      <c r="L102" t="s">
        <v>407</v>
      </c>
      <c r="M102" t="s">
        <v>27</v>
      </c>
      <c r="N102">
        <v>4.5682523504314961E-2</v>
      </c>
      <c r="O102" t="s">
        <v>6</v>
      </c>
    </row>
    <row r="103" spans="2:15" x14ac:dyDescent="0.45">
      <c r="B103" t="s">
        <v>405</v>
      </c>
      <c r="C103" t="s">
        <v>28</v>
      </c>
      <c r="D103">
        <v>5.6735415797587611E-2</v>
      </c>
      <c r="E103" t="s">
        <v>6</v>
      </c>
      <c r="G103" t="s">
        <v>406</v>
      </c>
      <c r="H103" t="s">
        <v>28</v>
      </c>
      <c r="I103">
        <v>3.5998626662349563E-2</v>
      </c>
      <c r="J103" t="s">
        <v>6</v>
      </c>
      <c r="L103" t="s">
        <v>407</v>
      </c>
      <c r="M103" t="s">
        <v>28</v>
      </c>
      <c r="N103">
        <v>3.3579925044874691E-2</v>
      </c>
      <c r="O103" t="s">
        <v>6</v>
      </c>
    </row>
    <row r="104" spans="2:15" x14ac:dyDescent="0.45">
      <c r="B104" t="s">
        <v>405</v>
      </c>
      <c r="C104" t="s">
        <v>29</v>
      </c>
      <c r="D104">
        <v>8.306318707312596E-2</v>
      </c>
      <c r="E104" t="s">
        <v>6</v>
      </c>
      <c r="G104" t="s">
        <v>406</v>
      </c>
      <c r="H104" t="s">
        <v>29</v>
      </c>
      <c r="I104">
        <v>3.1671987495313712E-2</v>
      </c>
      <c r="J104" t="s">
        <v>6</v>
      </c>
      <c r="L104" t="s">
        <v>407</v>
      </c>
      <c r="M104" t="s">
        <v>29</v>
      </c>
      <c r="N104">
        <v>3.3076175768317478E-2</v>
      </c>
      <c r="O104" t="s">
        <v>6</v>
      </c>
    </row>
    <row r="105" spans="2:15" x14ac:dyDescent="0.45">
      <c r="B105" t="s">
        <v>405</v>
      </c>
      <c r="C105" t="s">
        <v>30</v>
      </c>
      <c r="D105">
        <v>3.8028395843089285E-2</v>
      </c>
      <c r="E105" t="s">
        <v>6</v>
      </c>
      <c r="G105" t="s">
        <v>406</v>
      </c>
      <c r="H105" t="s">
        <v>30</v>
      </c>
      <c r="I105">
        <v>3.1575851886521858E-2</v>
      </c>
      <c r="J105" t="s">
        <v>6</v>
      </c>
      <c r="L105" t="s">
        <v>407</v>
      </c>
      <c r="M105" t="s">
        <v>30</v>
      </c>
      <c r="N105">
        <v>3.39616543828897E-2</v>
      </c>
      <c r="O105" t="s">
        <v>6</v>
      </c>
    </row>
    <row r="106" spans="2:15" x14ac:dyDescent="0.45">
      <c r="B106" t="s">
        <v>405</v>
      </c>
      <c r="C106" t="s">
        <v>31</v>
      </c>
      <c r="D106">
        <v>1.2543335379400402E-3</v>
      </c>
      <c r="E106" t="s">
        <v>6</v>
      </c>
      <c r="G106" t="s">
        <v>406</v>
      </c>
      <c r="H106" t="s">
        <v>31</v>
      </c>
      <c r="I106">
        <v>3.5869571759109348E-2</v>
      </c>
      <c r="J106" t="s">
        <v>6</v>
      </c>
      <c r="L106" t="s">
        <v>407</v>
      </c>
      <c r="M106" t="s">
        <v>31</v>
      </c>
      <c r="N106">
        <v>3.4475369371286958E-2</v>
      </c>
      <c r="O106" t="s">
        <v>6</v>
      </c>
    </row>
    <row r="107" spans="2:15" x14ac:dyDescent="0.45">
      <c r="B107" t="s">
        <v>408</v>
      </c>
      <c r="C107" t="s">
        <v>5</v>
      </c>
      <c r="D107">
        <v>0</v>
      </c>
      <c r="E107" t="s">
        <v>6</v>
      </c>
      <c r="G107" t="s">
        <v>409</v>
      </c>
      <c r="H107" t="s">
        <v>5</v>
      </c>
      <c r="I107">
        <v>0.11454737761268671</v>
      </c>
      <c r="J107" t="s">
        <v>6</v>
      </c>
      <c r="L107" t="s">
        <v>410</v>
      </c>
      <c r="M107" t="s">
        <v>5</v>
      </c>
      <c r="N107">
        <v>0.10086751705518733</v>
      </c>
      <c r="O107" t="s">
        <v>6</v>
      </c>
    </row>
    <row r="108" spans="2:15" x14ac:dyDescent="0.45">
      <c r="B108" t="s">
        <v>408</v>
      </c>
      <c r="C108" t="s">
        <v>9</v>
      </c>
      <c r="D108">
        <v>8.0758179686693843E-5</v>
      </c>
      <c r="E108" t="s">
        <v>6</v>
      </c>
      <c r="G108" t="s">
        <v>409</v>
      </c>
      <c r="H108" t="s">
        <v>9</v>
      </c>
      <c r="I108">
        <v>5.4866378346726634E-2</v>
      </c>
      <c r="J108" t="s">
        <v>6</v>
      </c>
      <c r="L108" t="s">
        <v>410</v>
      </c>
      <c r="M108" t="s">
        <v>9</v>
      </c>
      <c r="N108">
        <v>5.1152956596518369E-2</v>
      </c>
      <c r="O108" t="s">
        <v>6</v>
      </c>
    </row>
    <row r="109" spans="2:15" x14ac:dyDescent="0.45">
      <c r="B109" t="s">
        <v>408</v>
      </c>
      <c r="C109" t="s">
        <v>10</v>
      </c>
      <c r="D109">
        <v>3.0579175762312998E-2</v>
      </c>
      <c r="E109" t="s">
        <v>6</v>
      </c>
      <c r="G109" t="s">
        <v>409</v>
      </c>
      <c r="H109" t="s">
        <v>10</v>
      </c>
      <c r="I109">
        <v>3.8834721876110756E-2</v>
      </c>
      <c r="J109" t="s">
        <v>6</v>
      </c>
      <c r="L109" t="s">
        <v>410</v>
      </c>
      <c r="M109" t="s">
        <v>10</v>
      </c>
      <c r="N109">
        <v>3.8365586961434599E-2</v>
      </c>
      <c r="O109" t="s">
        <v>6</v>
      </c>
    </row>
    <row r="110" spans="2:15" x14ac:dyDescent="0.45">
      <c r="B110" t="s">
        <v>408</v>
      </c>
      <c r="C110" t="s">
        <v>11</v>
      </c>
      <c r="D110">
        <v>5.9886476083393911E-2</v>
      </c>
      <c r="E110" t="s">
        <v>6</v>
      </c>
      <c r="G110" t="s">
        <v>409</v>
      </c>
      <c r="H110" t="s">
        <v>11</v>
      </c>
      <c r="I110">
        <v>3.6750798591558997E-2</v>
      </c>
      <c r="J110" t="s">
        <v>6</v>
      </c>
      <c r="L110" t="s">
        <v>410</v>
      </c>
      <c r="M110" t="s">
        <v>11</v>
      </c>
      <c r="N110">
        <v>3.7737234114498724E-2</v>
      </c>
      <c r="O110" t="s">
        <v>6</v>
      </c>
    </row>
    <row r="111" spans="2:15" x14ac:dyDescent="0.45">
      <c r="B111" t="s">
        <v>408</v>
      </c>
      <c r="C111" t="s">
        <v>12</v>
      </c>
      <c r="D111">
        <v>2.2310977882914546E-2</v>
      </c>
      <c r="E111" t="s">
        <v>6</v>
      </c>
      <c r="G111" t="s">
        <v>409</v>
      </c>
      <c r="H111" t="s">
        <v>12</v>
      </c>
      <c r="I111">
        <v>4.0451412947500452E-2</v>
      </c>
      <c r="J111" t="s">
        <v>6</v>
      </c>
      <c r="L111" t="s">
        <v>410</v>
      </c>
      <c r="M111" t="s">
        <v>12</v>
      </c>
      <c r="N111">
        <v>3.773239299289808E-2</v>
      </c>
      <c r="O111" t="s">
        <v>6</v>
      </c>
    </row>
    <row r="112" spans="2:15" x14ac:dyDescent="0.45">
      <c r="B112" t="s">
        <v>408</v>
      </c>
      <c r="C112" t="s">
        <v>13</v>
      </c>
      <c r="D112">
        <v>1.956343287965301E-5</v>
      </c>
      <c r="E112" t="s">
        <v>6</v>
      </c>
      <c r="G112" t="s">
        <v>409</v>
      </c>
      <c r="H112" t="s">
        <v>13</v>
      </c>
      <c r="I112">
        <v>4.4467744881203225E-2</v>
      </c>
      <c r="J112" t="s">
        <v>6</v>
      </c>
      <c r="L112" t="s">
        <v>410</v>
      </c>
      <c r="M112" t="s">
        <v>13</v>
      </c>
      <c r="N112">
        <v>3.8458991254819393E-2</v>
      </c>
      <c r="O112" t="s">
        <v>6</v>
      </c>
    </row>
    <row r="113" spans="2:15" x14ac:dyDescent="0.45">
      <c r="B113" t="s">
        <v>408</v>
      </c>
      <c r="C113" t="s">
        <v>14</v>
      </c>
      <c r="D113">
        <v>0</v>
      </c>
      <c r="E113" t="s">
        <v>6</v>
      </c>
      <c r="G113" t="s">
        <v>409</v>
      </c>
      <c r="H113" t="s">
        <v>14</v>
      </c>
      <c r="I113">
        <v>7.9489891079204289E-2</v>
      </c>
      <c r="J113" t="s">
        <v>6</v>
      </c>
      <c r="L113" t="s">
        <v>410</v>
      </c>
      <c r="M113" t="s">
        <v>14</v>
      </c>
      <c r="N113">
        <v>8.299941742381832E-2</v>
      </c>
      <c r="O113" t="s">
        <v>6</v>
      </c>
    </row>
    <row r="114" spans="2:15" x14ac:dyDescent="0.45">
      <c r="B114" t="s">
        <v>408</v>
      </c>
      <c r="C114" t="s">
        <v>15</v>
      </c>
      <c r="D114">
        <v>1.7860302216994844E-2</v>
      </c>
      <c r="E114" t="s">
        <v>6</v>
      </c>
      <c r="G114" t="s">
        <v>409</v>
      </c>
      <c r="H114" t="s">
        <v>15</v>
      </c>
      <c r="I114">
        <v>3.9593702426103203E-2</v>
      </c>
      <c r="J114" t="s">
        <v>6</v>
      </c>
      <c r="L114" t="s">
        <v>410</v>
      </c>
      <c r="M114" t="s">
        <v>15</v>
      </c>
      <c r="N114">
        <v>4.0995979845434412E-2</v>
      </c>
      <c r="O114" t="s">
        <v>6</v>
      </c>
    </row>
    <row r="115" spans="2:15" x14ac:dyDescent="0.45">
      <c r="B115" t="s">
        <v>408</v>
      </c>
      <c r="C115" t="s">
        <v>16</v>
      </c>
      <c r="D115">
        <v>9.2008993442469267E-2</v>
      </c>
      <c r="E115" t="s">
        <v>6</v>
      </c>
      <c r="G115" t="s">
        <v>409</v>
      </c>
      <c r="H115" t="s">
        <v>16</v>
      </c>
      <c r="I115">
        <v>2.6431141402971408E-2</v>
      </c>
      <c r="J115" t="s">
        <v>6</v>
      </c>
      <c r="L115" t="s">
        <v>410</v>
      </c>
      <c r="M115" t="s">
        <v>16</v>
      </c>
      <c r="N115">
        <v>2.8783089079037903E-2</v>
      </c>
      <c r="O115" t="s">
        <v>6</v>
      </c>
    </row>
    <row r="116" spans="2:15" x14ac:dyDescent="0.45">
      <c r="B116" t="s">
        <v>408</v>
      </c>
      <c r="C116" t="s">
        <v>17</v>
      </c>
      <c r="D116">
        <v>0.11838637853660261</v>
      </c>
      <c r="E116" t="s">
        <v>6</v>
      </c>
      <c r="G116" t="s">
        <v>409</v>
      </c>
      <c r="H116" t="s">
        <v>17</v>
      </c>
      <c r="I116">
        <v>2.4134905373080127E-2</v>
      </c>
      <c r="J116" t="s">
        <v>6</v>
      </c>
      <c r="L116" t="s">
        <v>410</v>
      </c>
      <c r="M116" t="s">
        <v>17</v>
      </c>
      <c r="N116">
        <v>2.8086925568265902E-2</v>
      </c>
      <c r="O116" t="s">
        <v>6</v>
      </c>
    </row>
    <row r="117" spans="2:15" x14ac:dyDescent="0.45">
      <c r="B117" t="s">
        <v>408</v>
      </c>
      <c r="C117" t="s">
        <v>18</v>
      </c>
      <c r="D117">
        <v>6.9628761396461514E-2</v>
      </c>
      <c r="E117" t="s">
        <v>6</v>
      </c>
      <c r="G117" t="s">
        <v>409</v>
      </c>
      <c r="H117" t="s">
        <v>18</v>
      </c>
      <c r="I117">
        <v>2.7511329455603986E-2</v>
      </c>
      <c r="J117" t="s">
        <v>6</v>
      </c>
      <c r="L117" t="s">
        <v>410</v>
      </c>
      <c r="M117" t="s">
        <v>18</v>
      </c>
      <c r="N117">
        <v>2.8760576128445452E-2</v>
      </c>
      <c r="O117" t="s">
        <v>6</v>
      </c>
    </row>
    <row r="118" spans="2:15" x14ac:dyDescent="0.45">
      <c r="B118" t="s">
        <v>408</v>
      </c>
      <c r="C118" t="s">
        <v>19</v>
      </c>
      <c r="D118">
        <v>7.2456469217385055E-3</v>
      </c>
      <c r="E118" t="s">
        <v>6</v>
      </c>
      <c r="G118" t="s">
        <v>409</v>
      </c>
      <c r="H118" t="s">
        <v>19</v>
      </c>
      <c r="I118">
        <v>2.9098066655355994E-2</v>
      </c>
      <c r="J118" t="s">
        <v>6</v>
      </c>
      <c r="L118" t="s">
        <v>410</v>
      </c>
      <c r="M118" t="s">
        <v>19</v>
      </c>
      <c r="N118">
        <v>3.0416584885296489E-2</v>
      </c>
      <c r="O118" t="s">
        <v>6</v>
      </c>
    </row>
    <row r="119" spans="2:15" x14ac:dyDescent="0.45">
      <c r="B119" t="s">
        <v>408</v>
      </c>
      <c r="C119" t="s">
        <v>20</v>
      </c>
      <c r="D119">
        <v>0</v>
      </c>
      <c r="E119" t="s">
        <v>6</v>
      </c>
      <c r="G119" t="s">
        <v>409</v>
      </c>
      <c r="H119" t="s">
        <v>20</v>
      </c>
      <c r="I119">
        <v>5.3979025741351563E-2</v>
      </c>
      <c r="J119" t="s">
        <v>6</v>
      </c>
      <c r="L119" t="s">
        <v>410</v>
      </c>
      <c r="M119" t="s">
        <v>20</v>
      </c>
      <c r="N119">
        <v>6.2561302610709885E-2</v>
      </c>
      <c r="O119" t="s">
        <v>6</v>
      </c>
    </row>
    <row r="120" spans="2:15" x14ac:dyDescent="0.45">
      <c r="B120" t="s">
        <v>408</v>
      </c>
      <c r="C120" t="s">
        <v>21</v>
      </c>
      <c r="D120">
        <v>2.9792145144755967E-2</v>
      </c>
      <c r="E120" t="s">
        <v>6</v>
      </c>
      <c r="G120" t="s">
        <v>409</v>
      </c>
      <c r="H120" t="s">
        <v>21</v>
      </c>
      <c r="I120">
        <v>1.836533764256466E-2</v>
      </c>
      <c r="J120" t="s">
        <v>6</v>
      </c>
      <c r="L120" t="s">
        <v>410</v>
      </c>
      <c r="M120" t="s">
        <v>21</v>
      </c>
      <c r="N120">
        <v>3.0654913977261639E-2</v>
      </c>
      <c r="O120" t="s">
        <v>6</v>
      </c>
    </row>
    <row r="121" spans="2:15" x14ac:dyDescent="0.45">
      <c r="B121" t="s">
        <v>408</v>
      </c>
      <c r="C121" t="s">
        <v>22</v>
      </c>
      <c r="D121">
        <v>0.11833600236311818</v>
      </c>
      <c r="E121" t="s">
        <v>6</v>
      </c>
      <c r="G121" t="s">
        <v>409</v>
      </c>
      <c r="H121" t="s">
        <v>22</v>
      </c>
      <c r="I121">
        <v>1.2999373343300129E-2</v>
      </c>
      <c r="J121" t="s">
        <v>6</v>
      </c>
      <c r="L121" t="s">
        <v>410</v>
      </c>
      <c r="M121" t="s">
        <v>22</v>
      </c>
      <c r="N121">
        <v>2.2608372228863291E-2</v>
      </c>
      <c r="O121" t="s">
        <v>6</v>
      </c>
    </row>
    <row r="122" spans="2:15" x14ac:dyDescent="0.45">
      <c r="B122" t="s">
        <v>408</v>
      </c>
      <c r="C122" t="s">
        <v>23</v>
      </c>
      <c r="D122">
        <v>0.14074246349251748</v>
      </c>
      <c r="E122" t="s">
        <v>6</v>
      </c>
      <c r="G122" t="s">
        <v>409</v>
      </c>
      <c r="H122" t="s">
        <v>23</v>
      </c>
      <c r="I122">
        <v>1.5036631387810532E-2</v>
      </c>
      <c r="J122" t="s">
        <v>6</v>
      </c>
      <c r="L122" t="s">
        <v>410</v>
      </c>
      <c r="M122" t="s">
        <v>23</v>
      </c>
      <c r="N122">
        <v>2.2847796834419384E-2</v>
      </c>
      <c r="O122" t="s">
        <v>6</v>
      </c>
    </row>
    <row r="123" spans="2:15" x14ac:dyDescent="0.45">
      <c r="B123" t="s">
        <v>408</v>
      </c>
      <c r="C123" t="s">
        <v>24</v>
      </c>
      <c r="D123">
        <v>8.8679708007982458E-2</v>
      </c>
      <c r="E123" t="s">
        <v>6</v>
      </c>
      <c r="G123" t="s">
        <v>409</v>
      </c>
      <c r="H123" t="s">
        <v>24</v>
      </c>
      <c r="I123">
        <v>1.8281859865082285E-2</v>
      </c>
      <c r="J123" t="s">
        <v>6</v>
      </c>
      <c r="L123" t="s">
        <v>410</v>
      </c>
      <c r="M123" t="s">
        <v>24</v>
      </c>
      <c r="N123">
        <v>2.3017504148916061E-2</v>
      </c>
      <c r="O123" t="s">
        <v>6</v>
      </c>
    </row>
    <row r="124" spans="2:15" x14ac:dyDescent="0.45">
      <c r="B124" t="s">
        <v>408</v>
      </c>
      <c r="C124" t="s">
        <v>25</v>
      </c>
      <c r="D124">
        <v>1.4858781241089847E-2</v>
      </c>
      <c r="E124" t="s">
        <v>6</v>
      </c>
      <c r="G124" t="s">
        <v>409</v>
      </c>
      <c r="H124" t="s">
        <v>25</v>
      </c>
      <c r="I124">
        <v>1.9493197201530373E-2</v>
      </c>
      <c r="J124" t="s">
        <v>6</v>
      </c>
      <c r="L124" t="s">
        <v>410</v>
      </c>
      <c r="M124" t="s">
        <v>25</v>
      </c>
      <c r="N124">
        <v>2.3616841689820565E-2</v>
      </c>
      <c r="O124" t="s">
        <v>6</v>
      </c>
    </row>
    <row r="125" spans="2:15" x14ac:dyDescent="0.45">
      <c r="B125" t="s">
        <v>408</v>
      </c>
      <c r="C125" t="s">
        <v>26</v>
      </c>
      <c r="D125">
        <v>0</v>
      </c>
      <c r="E125" t="s">
        <v>6</v>
      </c>
      <c r="G125" t="s">
        <v>409</v>
      </c>
      <c r="H125" t="s">
        <v>26</v>
      </c>
      <c r="I125">
        <v>0.10739542157474755</v>
      </c>
      <c r="J125" t="s">
        <v>6</v>
      </c>
      <c r="L125" t="s">
        <v>410</v>
      </c>
      <c r="M125" t="s">
        <v>26</v>
      </c>
      <c r="N125">
        <v>9.0970254117607757E-2</v>
      </c>
      <c r="O125" t="s">
        <v>6</v>
      </c>
    </row>
    <row r="126" spans="2:15" x14ac:dyDescent="0.45">
      <c r="B126" t="s">
        <v>408</v>
      </c>
      <c r="C126" t="s">
        <v>27</v>
      </c>
      <c r="D126">
        <v>5.8607669568965541E-3</v>
      </c>
      <c r="E126" t="s">
        <v>6</v>
      </c>
      <c r="G126" t="s">
        <v>409</v>
      </c>
      <c r="H126" t="s">
        <v>27</v>
      </c>
      <c r="I126">
        <v>5.3622321288291884E-2</v>
      </c>
      <c r="J126" t="s">
        <v>6</v>
      </c>
      <c r="L126" t="s">
        <v>410</v>
      </c>
      <c r="M126" t="s">
        <v>27</v>
      </c>
      <c r="N126">
        <v>4.6283622231100212E-2</v>
      </c>
      <c r="O126" t="s">
        <v>6</v>
      </c>
    </row>
    <row r="127" spans="2:15" x14ac:dyDescent="0.45">
      <c r="B127" t="s">
        <v>408</v>
      </c>
      <c r="C127" t="s">
        <v>28</v>
      </c>
      <c r="D127">
        <v>5.9144029459070518E-2</v>
      </c>
      <c r="E127" t="s">
        <v>6</v>
      </c>
      <c r="G127" t="s">
        <v>409</v>
      </c>
      <c r="H127" t="s">
        <v>28</v>
      </c>
      <c r="I127">
        <v>3.3731623138724333E-2</v>
      </c>
      <c r="J127" t="s">
        <v>6</v>
      </c>
      <c r="L127" t="s">
        <v>410</v>
      </c>
      <c r="M127" t="s">
        <v>28</v>
      </c>
      <c r="N127">
        <v>3.3328783536882484E-2</v>
      </c>
      <c r="O127" t="s">
        <v>6</v>
      </c>
    </row>
    <row r="128" spans="2:15" x14ac:dyDescent="0.45">
      <c r="B128" t="s">
        <v>408</v>
      </c>
      <c r="C128" t="s">
        <v>29</v>
      </c>
      <c r="D128">
        <v>8.5691681522637675E-2</v>
      </c>
      <c r="E128" t="s">
        <v>6</v>
      </c>
      <c r="G128" t="s">
        <v>409</v>
      </c>
      <c r="H128" t="s">
        <v>29</v>
      </c>
      <c r="I128">
        <v>3.4273117345562196E-2</v>
      </c>
      <c r="J128" t="s">
        <v>6</v>
      </c>
      <c r="L128" t="s">
        <v>410</v>
      </c>
      <c r="M128" t="s">
        <v>29</v>
      </c>
      <c r="N128">
        <v>3.2922966591381157E-2</v>
      </c>
      <c r="O128" t="s">
        <v>6</v>
      </c>
    </row>
    <row r="129" spans="2:15" x14ac:dyDescent="0.45">
      <c r="B129" t="s">
        <v>408</v>
      </c>
      <c r="C129" t="s">
        <v>30</v>
      </c>
      <c r="D129">
        <v>3.7853128563524192E-2</v>
      </c>
      <c r="E129" t="s">
        <v>6</v>
      </c>
      <c r="G129" t="s">
        <v>409</v>
      </c>
      <c r="H129" t="s">
        <v>30</v>
      </c>
      <c r="I129">
        <v>3.7277843799862008E-2</v>
      </c>
      <c r="J129" t="s">
        <v>6</v>
      </c>
      <c r="L129" t="s">
        <v>410</v>
      </c>
      <c r="M129" t="s">
        <v>30</v>
      </c>
      <c r="N129">
        <v>3.3268856292713339E-2</v>
      </c>
      <c r="O129" t="s">
        <v>6</v>
      </c>
    </row>
    <row r="130" spans="2:15" x14ac:dyDescent="0.45">
      <c r="B130" t="s">
        <v>408</v>
      </c>
      <c r="C130" t="s">
        <v>31</v>
      </c>
      <c r="D130">
        <v>1.0342593929538577E-3</v>
      </c>
      <c r="E130" t="s">
        <v>6</v>
      </c>
      <c r="G130" t="s">
        <v>409</v>
      </c>
      <c r="H130" t="s">
        <v>31</v>
      </c>
      <c r="I130">
        <v>3.9366777023064847E-2</v>
      </c>
      <c r="J130" t="s">
        <v>6</v>
      </c>
      <c r="L130" t="s">
        <v>410</v>
      </c>
      <c r="M130" t="s">
        <v>31</v>
      </c>
      <c r="N130">
        <v>3.3561533834671774E-2</v>
      </c>
      <c r="O130" t="s">
        <v>6</v>
      </c>
    </row>
    <row r="131" spans="2:15" x14ac:dyDescent="0.45">
      <c r="B131" t="s">
        <v>411</v>
      </c>
      <c r="C131" t="s">
        <v>5</v>
      </c>
      <c r="D131">
        <v>0</v>
      </c>
      <c r="E131" t="s">
        <v>6</v>
      </c>
      <c r="G131" t="s">
        <v>412</v>
      </c>
      <c r="H131" t="s">
        <v>5</v>
      </c>
      <c r="I131">
        <v>0.11069317030011683</v>
      </c>
      <c r="J131" t="s">
        <v>6</v>
      </c>
      <c r="L131" t="s">
        <v>413</v>
      </c>
      <c r="M131" t="s">
        <v>5</v>
      </c>
      <c r="N131">
        <v>9.7070481498941319E-2</v>
      </c>
      <c r="O131" t="s">
        <v>6</v>
      </c>
    </row>
    <row r="132" spans="2:15" x14ac:dyDescent="0.45">
      <c r="B132" t="s">
        <v>411</v>
      </c>
      <c r="C132" t="s">
        <v>9</v>
      </c>
      <c r="D132">
        <v>1.5951118368022851E-4</v>
      </c>
      <c r="E132" t="s">
        <v>6</v>
      </c>
      <c r="G132" t="s">
        <v>412</v>
      </c>
      <c r="H132" t="s">
        <v>9</v>
      </c>
      <c r="I132">
        <v>4.8285804711786062E-2</v>
      </c>
      <c r="J132" t="s">
        <v>6</v>
      </c>
      <c r="L132" t="s">
        <v>413</v>
      </c>
      <c r="M132" t="s">
        <v>9</v>
      </c>
      <c r="N132">
        <v>4.7995968508489847E-2</v>
      </c>
      <c r="O132" t="s">
        <v>6</v>
      </c>
    </row>
    <row r="133" spans="2:15" x14ac:dyDescent="0.45">
      <c r="B133" t="s">
        <v>411</v>
      </c>
      <c r="C133" t="s">
        <v>10</v>
      </c>
      <c r="D133">
        <v>2.6014332203954375E-2</v>
      </c>
      <c r="E133" t="s">
        <v>6</v>
      </c>
      <c r="G133" t="s">
        <v>412</v>
      </c>
      <c r="H133" t="s">
        <v>10</v>
      </c>
      <c r="I133">
        <v>3.4023078362666603E-2</v>
      </c>
      <c r="J133" t="s">
        <v>6</v>
      </c>
      <c r="L133" t="s">
        <v>413</v>
      </c>
      <c r="M133" t="s">
        <v>10</v>
      </c>
      <c r="N133">
        <v>3.666352439534501E-2</v>
      </c>
      <c r="O133" t="s">
        <v>6</v>
      </c>
    </row>
    <row r="134" spans="2:15" x14ac:dyDescent="0.45">
      <c r="B134" t="s">
        <v>411</v>
      </c>
      <c r="C134" t="s">
        <v>11</v>
      </c>
      <c r="D134">
        <v>4.8267965706219128E-2</v>
      </c>
      <c r="E134" t="s">
        <v>6</v>
      </c>
      <c r="G134" t="s">
        <v>412</v>
      </c>
      <c r="H134" t="s">
        <v>11</v>
      </c>
      <c r="I134">
        <v>3.4344081800184785E-2</v>
      </c>
      <c r="J134" t="s">
        <v>6</v>
      </c>
      <c r="L134" t="s">
        <v>413</v>
      </c>
      <c r="M134" t="s">
        <v>11</v>
      </c>
      <c r="N134">
        <v>3.7604017579361049E-2</v>
      </c>
      <c r="O134" t="s">
        <v>6</v>
      </c>
    </row>
    <row r="135" spans="2:15" x14ac:dyDescent="0.45">
      <c r="B135" t="s">
        <v>411</v>
      </c>
      <c r="C135" t="s">
        <v>12</v>
      </c>
      <c r="D135">
        <v>1.506678872409771E-2</v>
      </c>
      <c r="E135" t="s">
        <v>6</v>
      </c>
      <c r="G135" t="s">
        <v>412</v>
      </c>
      <c r="H135" t="s">
        <v>12</v>
      </c>
      <c r="I135">
        <v>3.9397881671945197E-2</v>
      </c>
      <c r="J135" t="s">
        <v>6</v>
      </c>
      <c r="L135" t="s">
        <v>413</v>
      </c>
      <c r="M135" t="s">
        <v>12</v>
      </c>
      <c r="N135">
        <v>3.786123379486693E-2</v>
      </c>
      <c r="O135" t="s">
        <v>6</v>
      </c>
    </row>
    <row r="136" spans="2:15" x14ac:dyDescent="0.45">
      <c r="B136" t="s">
        <v>411</v>
      </c>
      <c r="C136" t="s">
        <v>13</v>
      </c>
      <c r="D136">
        <v>5.6019481695531754E-6</v>
      </c>
      <c r="E136" t="s">
        <v>6</v>
      </c>
      <c r="G136" t="s">
        <v>412</v>
      </c>
      <c r="H136" t="s">
        <v>13</v>
      </c>
      <c r="I136">
        <v>4.285972931241535E-2</v>
      </c>
      <c r="J136" t="s">
        <v>6</v>
      </c>
      <c r="L136" t="s">
        <v>413</v>
      </c>
      <c r="M136" t="s">
        <v>13</v>
      </c>
      <c r="N136">
        <v>3.8960379079413528E-2</v>
      </c>
      <c r="O136" t="s">
        <v>6</v>
      </c>
    </row>
    <row r="137" spans="2:15" x14ac:dyDescent="0.45">
      <c r="B137" t="s">
        <v>411</v>
      </c>
      <c r="C137" t="s">
        <v>14</v>
      </c>
      <c r="D137">
        <v>0</v>
      </c>
      <c r="E137" t="s">
        <v>6</v>
      </c>
      <c r="G137" t="s">
        <v>412</v>
      </c>
      <c r="H137" t="s">
        <v>14</v>
      </c>
      <c r="I137">
        <v>8.3359729843280855E-2</v>
      </c>
      <c r="J137" t="s">
        <v>6</v>
      </c>
      <c r="L137" t="s">
        <v>413</v>
      </c>
      <c r="M137" t="s">
        <v>14</v>
      </c>
      <c r="N137">
        <v>9.0084633267578568E-2</v>
      </c>
      <c r="O137" t="s">
        <v>6</v>
      </c>
    </row>
    <row r="138" spans="2:15" x14ac:dyDescent="0.45">
      <c r="B138" t="s">
        <v>411</v>
      </c>
      <c r="C138" t="s">
        <v>15</v>
      </c>
      <c r="D138">
        <v>2.33914885993558E-2</v>
      </c>
      <c r="E138" t="s">
        <v>6</v>
      </c>
      <c r="G138" t="s">
        <v>412</v>
      </c>
      <c r="H138" t="s">
        <v>15</v>
      </c>
      <c r="I138">
        <v>3.5340347637026114E-2</v>
      </c>
      <c r="J138" t="s">
        <v>6</v>
      </c>
      <c r="L138" t="s">
        <v>413</v>
      </c>
      <c r="M138" t="s">
        <v>15</v>
      </c>
      <c r="N138">
        <v>4.1469773352841598E-2</v>
      </c>
      <c r="O138" t="s">
        <v>6</v>
      </c>
    </row>
    <row r="139" spans="2:15" x14ac:dyDescent="0.45">
      <c r="B139" t="s">
        <v>411</v>
      </c>
      <c r="C139" t="s">
        <v>16</v>
      </c>
      <c r="D139">
        <v>0.10964272445286689</v>
      </c>
      <c r="E139" t="s">
        <v>6</v>
      </c>
      <c r="G139" t="s">
        <v>412</v>
      </c>
      <c r="H139" t="s">
        <v>16</v>
      </c>
      <c r="I139">
        <v>2.5305876953508211E-2</v>
      </c>
      <c r="J139" t="s">
        <v>6</v>
      </c>
      <c r="L139" t="s">
        <v>413</v>
      </c>
      <c r="M139" t="s">
        <v>16</v>
      </c>
      <c r="N139">
        <v>3.0361795053689487E-2</v>
      </c>
      <c r="O139" t="s">
        <v>6</v>
      </c>
    </row>
    <row r="140" spans="2:15" x14ac:dyDescent="0.45">
      <c r="B140" t="s">
        <v>411</v>
      </c>
      <c r="C140" t="s">
        <v>17</v>
      </c>
      <c r="D140">
        <v>0.13221209459850131</v>
      </c>
      <c r="E140" t="s">
        <v>6</v>
      </c>
      <c r="G140" t="s">
        <v>412</v>
      </c>
      <c r="H140" t="s">
        <v>17</v>
      </c>
      <c r="I140">
        <v>2.8806005948538372E-2</v>
      </c>
      <c r="J140" t="s">
        <v>6</v>
      </c>
      <c r="L140" t="s">
        <v>413</v>
      </c>
      <c r="M140" t="s">
        <v>17</v>
      </c>
      <c r="N140">
        <v>3.0196009448993279E-2</v>
      </c>
      <c r="O140" t="s">
        <v>6</v>
      </c>
    </row>
    <row r="141" spans="2:15" x14ac:dyDescent="0.45">
      <c r="B141" t="s">
        <v>411</v>
      </c>
      <c r="C141" t="s">
        <v>18</v>
      </c>
      <c r="D141">
        <v>7.4947809500823137E-2</v>
      </c>
      <c r="E141" t="s">
        <v>6</v>
      </c>
      <c r="G141" t="s">
        <v>412</v>
      </c>
      <c r="H141" t="s">
        <v>18</v>
      </c>
      <c r="I141">
        <v>3.31198978170648E-2</v>
      </c>
      <c r="J141" t="s">
        <v>6</v>
      </c>
      <c r="L141" t="s">
        <v>413</v>
      </c>
      <c r="M141" t="s">
        <v>18</v>
      </c>
      <c r="N141">
        <v>3.2461039623618355E-2</v>
      </c>
      <c r="O141" t="s">
        <v>6</v>
      </c>
    </row>
    <row r="142" spans="2:15" x14ac:dyDescent="0.45">
      <c r="B142" t="s">
        <v>411</v>
      </c>
      <c r="C142" t="s">
        <v>19</v>
      </c>
      <c r="D142">
        <v>7.3437116159877878E-3</v>
      </c>
      <c r="E142" t="s">
        <v>6</v>
      </c>
      <c r="G142" t="s">
        <v>412</v>
      </c>
      <c r="H142" t="s">
        <v>19</v>
      </c>
      <c r="I142">
        <v>3.275757093379051E-2</v>
      </c>
      <c r="J142" t="s">
        <v>6</v>
      </c>
      <c r="L142" t="s">
        <v>413</v>
      </c>
      <c r="M142" t="s">
        <v>19</v>
      </c>
      <c r="N142">
        <v>3.4384721321775051E-2</v>
      </c>
      <c r="O142" t="s">
        <v>6</v>
      </c>
    </row>
    <row r="143" spans="2:15" x14ac:dyDescent="0.45">
      <c r="B143" t="s">
        <v>411</v>
      </c>
      <c r="C143" t="s">
        <v>20</v>
      </c>
      <c r="D143">
        <v>0</v>
      </c>
      <c r="E143" t="s">
        <v>6</v>
      </c>
      <c r="G143" t="s">
        <v>412</v>
      </c>
      <c r="H143" t="s">
        <v>20</v>
      </c>
      <c r="I143">
        <v>5.9696149543828736E-2</v>
      </c>
      <c r="J143" t="s">
        <v>6</v>
      </c>
      <c r="L143" t="s">
        <v>413</v>
      </c>
      <c r="M143" t="s">
        <v>20</v>
      </c>
      <c r="N143">
        <v>6.3499024831367684E-2</v>
      </c>
      <c r="O143" t="s">
        <v>6</v>
      </c>
    </row>
    <row r="144" spans="2:15" x14ac:dyDescent="0.45">
      <c r="B144" t="s">
        <v>411</v>
      </c>
      <c r="C144" t="s">
        <v>21</v>
      </c>
      <c r="D144">
        <v>3.1608488251884885E-2</v>
      </c>
      <c r="E144" t="s">
        <v>6</v>
      </c>
      <c r="G144" t="s">
        <v>412</v>
      </c>
      <c r="H144" t="s">
        <v>21</v>
      </c>
      <c r="I144">
        <v>1.8902233319328141E-2</v>
      </c>
      <c r="J144" t="s">
        <v>6</v>
      </c>
      <c r="L144" t="s">
        <v>413</v>
      </c>
      <c r="M144" t="s">
        <v>21</v>
      </c>
      <c r="N144">
        <v>2.944580748534013E-2</v>
      </c>
      <c r="O144" t="s">
        <v>6</v>
      </c>
    </row>
    <row r="145" spans="2:15" x14ac:dyDescent="0.45">
      <c r="B145" t="s">
        <v>411</v>
      </c>
      <c r="C145" t="s">
        <v>22</v>
      </c>
      <c r="D145">
        <v>0.11527486214432425</v>
      </c>
      <c r="E145" t="s">
        <v>6</v>
      </c>
      <c r="G145" t="s">
        <v>412</v>
      </c>
      <c r="H145" t="s">
        <v>22</v>
      </c>
      <c r="I145">
        <v>1.4035424182113359E-2</v>
      </c>
      <c r="J145" t="s">
        <v>6</v>
      </c>
      <c r="L145" t="s">
        <v>413</v>
      </c>
      <c r="M145" t="s">
        <v>22</v>
      </c>
      <c r="N145">
        <v>2.0541506394443611E-2</v>
      </c>
      <c r="O145" t="s">
        <v>6</v>
      </c>
    </row>
    <row r="146" spans="2:15" x14ac:dyDescent="0.45">
      <c r="B146" t="s">
        <v>411</v>
      </c>
      <c r="C146" t="s">
        <v>23</v>
      </c>
      <c r="D146">
        <v>0.14075188074644646</v>
      </c>
      <c r="E146" t="s">
        <v>6</v>
      </c>
      <c r="G146" t="s">
        <v>412</v>
      </c>
      <c r="H146" t="s">
        <v>23</v>
      </c>
      <c r="I146">
        <v>2.0348950301098571E-2</v>
      </c>
      <c r="J146" t="s">
        <v>6</v>
      </c>
      <c r="L146" t="s">
        <v>413</v>
      </c>
      <c r="M146" t="s">
        <v>23</v>
      </c>
      <c r="N146">
        <v>1.9447219397699594E-2</v>
      </c>
      <c r="O146" t="s">
        <v>6</v>
      </c>
    </row>
    <row r="147" spans="2:15" x14ac:dyDescent="0.45">
      <c r="B147" t="s">
        <v>411</v>
      </c>
      <c r="C147" t="s">
        <v>24</v>
      </c>
      <c r="D147">
        <v>8.795467462168742E-2</v>
      </c>
      <c r="E147" t="s">
        <v>6</v>
      </c>
      <c r="G147" t="s">
        <v>412</v>
      </c>
      <c r="H147" t="s">
        <v>24</v>
      </c>
      <c r="I147">
        <v>2.3991751174127225E-2</v>
      </c>
      <c r="J147" t="s">
        <v>6</v>
      </c>
      <c r="L147" t="s">
        <v>413</v>
      </c>
      <c r="M147" t="s">
        <v>24</v>
      </c>
      <c r="N147">
        <v>2.2746045040046708E-2</v>
      </c>
      <c r="O147" t="s">
        <v>6</v>
      </c>
    </row>
    <row r="148" spans="2:15" x14ac:dyDescent="0.45">
      <c r="B148" t="s">
        <v>411</v>
      </c>
      <c r="C148" t="s">
        <v>25</v>
      </c>
      <c r="D148">
        <v>1.4385879425166292E-2</v>
      </c>
      <c r="E148" t="s">
        <v>6</v>
      </c>
      <c r="G148" t="s">
        <v>412</v>
      </c>
      <c r="H148" t="s">
        <v>25</v>
      </c>
      <c r="I148">
        <v>2.0830194524603565E-2</v>
      </c>
      <c r="J148" t="s">
        <v>6</v>
      </c>
      <c r="L148" t="s">
        <v>413</v>
      </c>
      <c r="M148" t="s">
        <v>25</v>
      </c>
      <c r="N148">
        <v>2.4897242455112708E-2</v>
      </c>
      <c r="O148" t="s">
        <v>6</v>
      </c>
    </row>
    <row r="149" spans="2:15" x14ac:dyDescent="0.45">
      <c r="B149" t="s">
        <v>411</v>
      </c>
      <c r="C149" t="s">
        <v>26</v>
      </c>
      <c r="D149">
        <v>0</v>
      </c>
      <c r="E149" t="s">
        <v>6</v>
      </c>
      <c r="G149" t="s">
        <v>412</v>
      </c>
      <c r="H149" t="s">
        <v>26</v>
      </c>
      <c r="I149">
        <v>9.6365005995782016E-2</v>
      </c>
      <c r="J149" t="s">
        <v>6</v>
      </c>
      <c r="L149" t="s">
        <v>413</v>
      </c>
      <c r="M149" t="s">
        <v>26</v>
      </c>
      <c r="N149">
        <v>8.8577479593216629E-2</v>
      </c>
      <c r="O149" t="s">
        <v>6</v>
      </c>
    </row>
    <row r="150" spans="2:15" x14ac:dyDescent="0.45">
      <c r="B150" t="s">
        <v>411</v>
      </c>
      <c r="C150" t="s">
        <v>27</v>
      </c>
      <c r="D150">
        <v>6.0092439544979746E-3</v>
      </c>
      <c r="E150" t="s">
        <v>6</v>
      </c>
      <c r="G150" t="s">
        <v>412</v>
      </c>
      <c r="H150" t="s">
        <v>27</v>
      </c>
      <c r="I150">
        <v>4.6021784624701086E-2</v>
      </c>
      <c r="J150" t="s">
        <v>6</v>
      </c>
      <c r="L150" t="s">
        <v>413</v>
      </c>
      <c r="M150" t="s">
        <v>27</v>
      </c>
      <c r="N150">
        <v>4.3068413874142578E-2</v>
      </c>
      <c r="O150" t="s">
        <v>6</v>
      </c>
    </row>
    <row r="151" spans="2:15" x14ac:dyDescent="0.45">
      <c r="B151" t="s">
        <v>411</v>
      </c>
      <c r="C151" t="s">
        <v>28</v>
      </c>
      <c r="D151">
        <v>5.6108386166880006E-2</v>
      </c>
      <c r="E151" t="s">
        <v>6</v>
      </c>
      <c r="G151" t="s">
        <v>412</v>
      </c>
      <c r="H151" t="s">
        <v>28</v>
      </c>
      <c r="I151">
        <v>3.1665787782994462E-2</v>
      </c>
      <c r="J151" t="s">
        <v>6</v>
      </c>
      <c r="L151" t="s">
        <v>413</v>
      </c>
      <c r="M151" t="s">
        <v>28</v>
      </c>
      <c r="N151">
        <v>3.3147898416803975E-2</v>
      </c>
      <c r="O151" t="s">
        <v>6</v>
      </c>
    </row>
    <row r="152" spans="2:15" x14ac:dyDescent="0.45">
      <c r="B152" t="s">
        <v>411</v>
      </c>
      <c r="C152" t="s">
        <v>29</v>
      </c>
      <c r="D152">
        <v>7.7400795904063971E-2</v>
      </c>
      <c r="E152" t="s">
        <v>6</v>
      </c>
      <c r="G152" t="s">
        <v>412</v>
      </c>
      <c r="H152" t="s">
        <v>29</v>
      </c>
      <c r="I152">
        <v>3.8326069140401799E-2</v>
      </c>
      <c r="J152" t="s">
        <v>6</v>
      </c>
      <c r="L152" t="s">
        <v>413</v>
      </c>
      <c r="M152" t="s">
        <v>29</v>
      </c>
      <c r="N152">
        <v>3.1492324482361368E-2</v>
      </c>
      <c r="O152" t="s">
        <v>6</v>
      </c>
    </row>
    <row r="153" spans="2:15" x14ac:dyDescent="0.45">
      <c r="B153" t="s">
        <v>411</v>
      </c>
      <c r="C153" t="s">
        <v>30</v>
      </c>
      <c r="D153">
        <v>3.2704903681551274E-2</v>
      </c>
      <c r="E153" t="s">
        <v>6</v>
      </c>
      <c r="G153" t="s">
        <v>412</v>
      </c>
      <c r="H153" t="s">
        <v>30</v>
      </c>
      <c r="I153">
        <v>4.1042259024231545E-2</v>
      </c>
      <c r="J153" t="s">
        <v>6</v>
      </c>
      <c r="L153" t="s">
        <v>413</v>
      </c>
      <c r="M153" t="s">
        <v>30</v>
      </c>
      <c r="N153">
        <v>3.3037242150023405E-2</v>
      </c>
      <c r="O153" t="s">
        <v>6</v>
      </c>
    </row>
    <row r="154" spans="2:15" x14ac:dyDescent="0.45">
      <c r="B154" t="s">
        <v>411</v>
      </c>
      <c r="C154" t="s">
        <v>31</v>
      </c>
      <c r="D154">
        <v>7.4885656984149897E-4</v>
      </c>
      <c r="E154" t="s">
        <v>6</v>
      </c>
      <c r="G154" t="s">
        <v>412</v>
      </c>
      <c r="H154" t="s">
        <v>31</v>
      </c>
      <c r="I154">
        <v>4.0481215094467046E-2</v>
      </c>
      <c r="J154" t="s">
        <v>6</v>
      </c>
      <c r="L154" t="s">
        <v>413</v>
      </c>
      <c r="M154" t="s">
        <v>31</v>
      </c>
      <c r="N154">
        <v>3.4986218954528289E-2</v>
      </c>
      <c r="O154" t="s">
        <v>6</v>
      </c>
    </row>
    <row r="155" spans="2:15" x14ac:dyDescent="0.45">
      <c r="B155" t="s">
        <v>414</v>
      </c>
      <c r="C155" t="s">
        <v>5</v>
      </c>
      <c r="D155">
        <v>0</v>
      </c>
      <c r="E155" t="s">
        <v>6</v>
      </c>
      <c r="G155" t="s">
        <v>415</v>
      </c>
      <c r="H155" t="s">
        <v>5</v>
      </c>
      <c r="I155">
        <v>0.11699769169680421</v>
      </c>
      <c r="J155" t="s">
        <v>6</v>
      </c>
      <c r="L155" t="s">
        <v>416</v>
      </c>
      <c r="M155" t="s">
        <v>5</v>
      </c>
      <c r="N155">
        <v>0.10444841083109105</v>
      </c>
      <c r="O155" t="s">
        <v>6</v>
      </c>
    </row>
    <row r="156" spans="2:15" x14ac:dyDescent="0.45">
      <c r="B156" t="s">
        <v>414</v>
      </c>
      <c r="C156" t="s">
        <v>9</v>
      </c>
      <c r="D156">
        <v>8.0512285122396807E-5</v>
      </c>
      <c r="E156" t="s">
        <v>6</v>
      </c>
      <c r="G156" t="s">
        <v>415</v>
      </c>
      <c r="H156" t="s">
        <v>9</v>
      </c>
      <c r="I156">
        <v>5.4591121150698106E-2</v>
      </c>
      <c r="J156" t="s">
        <v>6</v>
      </c>
      <c r="L156" t="s">
        <v>416</v>
      </c>
      <c r="M156" t="s">
        <v>9</v>
      </c>
      <c r="N156">
        <v>5.3458304548035331E-2</v>
      </c>
      <c r="O156" t="s">
        <v>6</v>
      </c>
    </row>
    <row r="157" spans="2:15" x14ac:dyDescent="0.45">
      <c r="B157" t="s">
        <v>414</v>
      </c>
      <c r="C157" t="s">
        <v>10</v>
      </c>
      <c r="D157">
        <v>2.2808340760379849E-2</v>
      </c>
      <c r="E157" t="s">
        <v>6</v>
      </c>
      <c r="G157" t="s">
        <v>415</v>
      </c>
      <c r="H157" t="s">
        <v>10</v>
      </c>
      <c r="I157">
        <v>3.5117438476719304E-2</v>
      </c>
      <c r="J157" t="s">
        <v>6</v>
      </c>
      <c r="L157" t="s">
        <v>416</v>
      </c>
      <c r="M157" t="s">
        <v>10</v>
      </c>
      <c r="N157">
        <v>4.0290216767826265E-2</v>
      </c>
      <c r="O157" t="s">
        <v>6</v>
      </c>
    </row>
    <row r="158" spans="2:15" x14ac:dyDescent="0.45">
      <c r="B158" t="s">
        <v>414</v>
      </c>
      <c r="C158" t="s">
        <v>11</v>
      </c>
      <c r="D158">
        <v>4.8713685715501102E-2</v>
      </c>
      <c r="E158" t="s">
        <v>6</v>
      </c>
      <c r="G158" t="s">
        <v>415</v>
      </c>
      <c r="H158" t="s">
        <v>11</v>
      </c>
      <c r="I158">
        <v>3.2827884772612496E-2</v>
      </c>
      <c r="J158" t="s">
        <v>6</v>
      </c>
      <c r="L158" t="s">
        <v>416</v>
      </c>
      <c r="M158" t="s">
        <v>11</v>
      </c>
      <c r="N158">
        <v>3.8926786752494981E-2</v>
      </c>
      <c r="O158" t="s">
        <v>6</v>
      </c>
    </row>
    <row r="159" spans="2:15" x14ac:dyDescent="0.45">
      <c r="B159" t="s">
        <v>414</v>
      </c>
      <c r="C159" t="s">
        <v>12</v>
      </c>
      <c r="D159">
        <v>1.8185192215573395E-2</v>
      </c>
      <c r="E159" t="s">
        <v>6</v>
      </c>
      <c r="G159" t="s">
        <v>415</v>
      </c>
      <c r="H159" t="s">
        <v>12</v>
      </c>
      <c r="I159">
        <v>3.7750921544111395E-2</v>
      </c>
      <c r="J159" t="s">
        <v>6</v>
      </c>
      <c r="L159" t="s">
        <v>416</v>
      </c>
      <c r="M159" t="s">
        <v>12</v>
      </c>
      <c r="N159">
        <v>3.9694882725299807E-2</v>
      </c>
      <c r="O159" t="s">
        <v>6</v>
      </c>
    </row>
    <row r="160" spans="2:15" x14ac:dyDescent="0.45">
      <c r="B160" t="s">
        <v>414</v>
      </c>
      <c r="C160" t="s">
        <v>13</v>
      </c>
      <c r="D160">
        <v>3.5869709367073171E-5</v>
      </c>
      <c r="E160" t="s">
        <v>6</v>
      </c>
      <c r="G160" t="s">
        <v>415</v>
      </c>
      <c r="H160" t="s">
        <v>13</v>
      </c>
      <c r="I160">
        <v>4.2904155488718489E-2</v>
      </c>
      <c r="J160" t="s">
        <v>6</v>
      </c>
      <c r="L160" t="s">
        <v>416</v>
      </c>
      <c r="M160" t="s">
        <v>13</v>
      </c>
      <c r="N160">
        <v>4.1599960066234905E-2</v>
      </c>
      <c r="O160" t="s">
        <v>6</v>
      </c>
    </row>
    <row r="161" spans="2:15" x14ac:dyDescent="0.45">
      <c r="B161" t="s">
        <v>414</v>
      </c>
      <c r="C161" t="s">
        <v>14</v>
      </c>
      <c r="D161">
        <v>0</v>
      </c>
      <c r="E161" t="s">
        <v>6</v>
      </c>
      <c r="G161" t="s">
        <v>415</v>
      </c>
      <c r="H161" t="s">
        <v>14</v>
      </c>
      <c r="I161">
        <v>9.0111524798530962E-2</v>
      </c>
      <c r="J161" t="s">
        <v>6</v>
      </c>
      <c r="L161" t="s">
        <v>416</v>
      </c>
      <c r="M161" t="s">
        <v>14</v>
      </c>
      <c r="N161">
        <v>8.5679290845304137E-2</v>
      </c>
      <c r="O161" t="s">
        <v>6</v>
      </c>
    </row>
    <row r="162" spans="2:15" x14ac:dyDescent="0.45">
      <c r="B162" t="s">
        <v>414</v>
      </c>
      <c r="C162" t="s">
        <v>15</v>
      </c>
      <c r="D162">
        <v>2.0105453944296858E-2</v>
      </c>
      <c r="E162" t="s">
        <v>6</v>
      </c>
      <c r="G162" t="s">
        <v>415</v>
      </c>
      <c r="H162" t="s">
        <v>15</v>
      </c>
      <c r="I162">
        <v>4.3390857805454729E-2</v>
      </c>
      <c r="J162" t="s">
        <v>6</v>
      </c>
      <c r="L162" t="s">
        <v>416</v>
      </c>
      <c r="M162" t="s">
        <v>15</v>
      </c>
      <c r="N162">
        <v>3.6732958128928121E-2</v>
      </c>
      <c r="O162" t="s">
        <v>6</v>
      </c>
    </row>
    <row r="163" spans="2:15" x14ac:dyDescent="0.45">
      <c r="B163" t="s">
        <v>414</v>
      </c>
      <c r="C163" t="s">
        <v>16</v>
      </c>
      <c r="D163">
        <v>0.10383857961669031</v>
      </c>
      <c r="E163" t="s">
        <v>6</v>
      </c>
      <c r="G163" t="s">
        <v>415</v>
      </c>
      <c r="H163" t="s">
        <v>16</v>
      </c>
      <c r="I163">
        <v>2.7400538629522037E-2</v>
      </c>
      <c r="J163" t="s">
        <v>6</v>
      </c>
      <c r="L163" t="s">
        <v>416</v>
      </c>
      <c r="M163" t="s">
        <v>16</v>
      </c>
      <c r="N163">
        <v>2.3338029773202564E-2</v>
      </c>
      <c r="O163" t="s">
        <v>6</v>
      </c>
    </row>
    <row r="164" spans="2:15" x14ac:dyDescent="0.45">
      <c r="B164" t="s">
        <v>414</v>
      </c>
      <c r="C164" t="s">
        <v>17</v>
      </c>
      <c r="D164">
        <v>0.13064112548479059</v>
      </c>
      <c r="E164" t="s">
        <v>6</v>
      </c>
      <c r="G164" t="s">
        <v>415</v>
      </c>
      <c r="H164" t="s">
        <v>17</v>
      </c>
      <c r="I164">
        <v>2.5532729862768284E-2</v>
      </c>
      <c r="J164" t="s">
        <v>6</v>
      </c>
      <c r="L164" t="s">
        <v>416</v>
      </c>
      <c r="M164" t="s">
        <v>17</v>
      </c>
      <c r="N164">
        <v>2.5458628867860062E-2</v>
      </c>
      <c r="O164" t="s">
        <v>6</v>
      </c>
    </row>
    <row r="165" spans="2:15" x14ac:dyDescent="0.45">
      <c r="B165" t="s">
        <v>414</v>
      </c>
      <c r="C165" t="s">
        <v>18</v>
      </c>
      <c r="D165">
        <v>7.7973147701702869E-2</v>
      </c>
      <c r="E165" t="s">
        <v>6</v>
      </c>
      <c r="G165" t="s">
        <v>415</v>
      </c>
      <c r="H165" t="s">
        <v>18</v>
      </c>
      <c r="I165">
        <v>2.6428057834617043E-2</v>
      </c>
      <c r="J165" t="s">
        <v>6</v>
      </c>
      <c r="L165" t="s">
        <v>416</v>
      </c>
      <c r="M165" t="s">
        <v>18</v>
      </c>
      <c r="N165">
        <v>2.7503066572489639E-2</v>
      </c>
      <c r="O165" t="s">
        <v>6</v>
      </c>
    </row>
    <row r="166" spans="2:15" x14ac:dyDescent="0.45">
      <c r="B166" t="s">
        <v>414</v>
      </c>
      <c r="C166" t="s">
        <v>19</v>
      </c>
      <c r="D166">
        <v>8.9616674197052337E-3</v>
      </c>
      <c r="E166" t="s">
        <v>6</v>
      </c>
      <c r="G166" t="s">
        <v>415</v>
      </c>
      <c r="H166" t="s">
        <v>19</v>
      </c>
      <c r="I166">
        <v>3.0805324233119637E-2</v>
      </c>
      <c r="J166" t="s">
        <v>6</v>
      </c>
      <c r="L166" t="s">
        <v>416</v>
      </c>
      <c r="M166" t="s">
        <v>19</v>
      </c>
      <c r="N166">
        <v>3.1212780932658904E-2</v>
      </c>
      <c r="O166" t="s">
        <v>6</v>
      </c>
    </row>
    <row r="167" spans="2:15" x14ac:dyDescent="0.45">
      <c r="B167" t="s">
        <v>414</v>
      </c>
      <c r="C167" t="s">
        <v>20</v>
      </c>
      <c r="D167">
        <v>3.4196326086991126E-6</v>
      </c>
      <c r="E167" t="s">
        <v>6</v>
      </c>
      <c r="G167" t="s">
        <v>415</v>
      </c>
      <c r="H167" t="s">
        <v>20</v>
      </c>
      <c r="I167">
        <v>6.4862772016303277E-2</v>
      </c>
      <c r="J167" t="s">
        <v>6</v>
      </c>
      <c r="L167" t="s">
        <v>416</v>
      </c>
      <c r="M167" t="s">
        <v>20</v>
      </c>
      <c r="N167">
        <v>5.7945962316683211E-2</v>
      </c>
      <c r="O167" t="s">
        <v>6</v>
      </c>
    </row>
    <row r="168" spans="2:15" x14ac:dyDescent="0.45">
      <c r="B168" t="s">
        <v>414</v>
      </c>
      <c r="C168" t="s">
        <v>21</v>
      </c>
      <c r="D168">
        <v>2.9026152955034256E-2</v>
      </c>
      <c r="E168" t="s">
        <v>6</v>
      </c>
      <c r="G168" t="s">
        <v>415</v>
      </c>
      <c r="H168" t="s">
        <v>21</v>
      </c>
      <c r="I168">
        <v>2.1983396452972807E-2</v>
      </c>
      <c r="J168" t="s">
        <v>6</v>
      </c>
      <c r="L168" t="s">
        <v>416</v>
      </c>
      <c r="M168" t="s">
        <v>21</v>
      </c>
      <c r="N168">
        <v>2.7740963448136369E-2</v>
      </c>
      <c r="O168" t="s">
        <v>6</v>
      </c>
    </row>
    <row r="169" spans="2:15" x14ac:dyDescent="0.45">
      <c r="B169" t="s">
        <v>414</v>
      </c>
      <c r="C169" t="s">
        <v>22</v>
      </c>
      <c r="D169">
        <v>0.11265280305088878</v>
      </c>
      <c r="E169" t="s">
        <v>6</v>
      </c>
      <c r="G169" t="s">
        <v>415</v>
      </c>
      <c r="H169" t="s">
        <v>22</v>
      </c>
      <c r="I169">
        <v>1.4614713196285958E-2</v>
      </c>
      <c r="J169" t="s">
        <v>6</v>
      </c>
      <c r="L169" t="s">
        <v>416</v>
      </c>
      <c r="M169" t="s">
        <v>22</v>
      </c>
      <c r="N169">
        <v>2.0074558728432494E-2</v>
      </c>
      <c r="O169" t="s">
        <v>6</v>
      </c>
    </row>
    <row r="170" spans="2:15" x14ac:dyDescent="0.45">
      <c r="B170" t="s">
        <v>414</v>
      </c>
      <c r="C170" t="s">
        <v>23</v>
      </c>
      <c r="D170">
        <v>0.14113928901394698</v>
      </c>
      <c r="E170" t="s">
        <v>6</v>
      </c>
      <c r="G170" t="s">
        <v>415</v>
      </c>
      <c r="H170" t="s">
        <v>23</v>
      </c>
      <c r="I170">
        <v>1.8105699326733019E-2</v>
      </c>
      <c r="J170" t="s">
        <v>6</v>
      </c>
      <c r="L170" t="s">
        <v>416</v>
      </c>
      <c r="M170" t="s">
        <v>23</v>
      </c>
      <c r="N170">
        <v>2.0843549758083252E-2</v>
      </c>
      <c r="O170" t="s">
        <v>6</v>
      </c>
    </row>
    <row r="171" spans="2:15" x14ac:dyDescent="0.45">
      <c r="B171" t="s">
        <v>414</v>
      </c>
      <c r="C171" t="s">
        <v>24</v>
      </c>
      <c r="D171">
        <v>9.2619619464745589E-2</v>
      </c>
      <c r="E171" t="s">
        <v>6</v>
      </c>
      <c r="G171" t="s">
        <v>415</v>
      </c>
      <c r="H171" t="s">
        <v>24</v>
      </c>
      <c r="I171">
        <v>1.8811122903705665E-2</v>
      </c>
      <c r="J171" t="s">
        <v>6</v>
      </c>
      <c r="L171" t="s">
        <v>416</v>
      </c>
      <c r="M171" t="s">
        <v>24</v>
      </c>
      <c r="N171">
        <v>2.0413947976737123E-2</v>
      </c>
      <c r="O171" t="s">
        <v>6</v>
      </c>
    </row>
    <row r="172" spans="2:15" x14ac:dyDescent="0.45">
      <c r="B172" t="s">
        <v>414</v>
      </c>
      <c r="C172" t="s">
        <v>25</v>
      </c>
      <c r="D172">
        <v>1.6611974294433743E-2</v>
      </c>
      <c r="E172" t="s">
        <v>6</v>
      </c>
      <c r="G172" t="s">
        <v>415</v>
      </c>
      <c r="H172" t="s">
        <v>25</v>
      </c>
      <c r="I172">
        <v>1.9764055998438924E-2</v>
      </c>
      <c r="J172" t="s">
        <v>6</v>
      </c>
      <c r="L172" t="s">
        <v>416</v>
      </c>
      <c r="M172" t="s">
        <v>25</v>
      </c>
      <c r="N172">
        <v>1.9489631140419017E-2</v>
      </c>
      <c r="O172" t="s">
        <v>6</v>
      </c>
    </row>
    <row r="173" spans="2:15" x14ac:dyDescent="0.45">
      <c r="B173" t="s">
        <v>414</v>
      </c>
      <c r="C173" t="s">
        <v>26</v>
      </c>
      <c r="D173">
        <v>0</v>
      </c>
      <c r="E173" t="s">
        <v>6</v>
      </c>
      <c r="G173" t="s">
        <v>415</v>
      </c>
      <c r="H173" t="s">
        <v>26</v>
      </c>
      <c r="I173">
        <v>0.10138356321557754</v>
      </c>
      <c r="J173" t="s">
        <v>6</v>
      </c>
      <c r="L173" t="s">
        <v>416</v>
      </c>
      <c r="M173" t="s">
        <v>26</v>
      </c>
      <c r="N173">
        <v>9.5502793607629671E-2</v>
      </c>
      <c r="O173" t="s">
        <v>6</v>
      </c>
    </row>
    <row r="174" spans="2:15" x14ac:dyDescent="0.45">
      <c r="B174" t="s">
        <v>414</v>
      </c>
      <c r="C174" t="s">
        <v>27</v>
      </c>
      <c r="D174">
        <v>4.7422784686863995E-3</v>
      </c>
      <c r="E174" t="s">
        <v>6</v>
      </c>
      <c r="G174" t="s">
        <v>415</v>
      </c>
      <c r="H174" t="s">
        <v>27</v>
      </c>
      <c r="I174">
        <v>4.6571760206127855E-2</v>
      </c>
      <c r="J174" t="s">
        <v>6</v>
      </c>
      <c r="L174" t="s">
        <v>416</v>
      </c>
      <c r="M174" t="s">
        <v>27</v>
      </c>
      <c r="N174">
        <v>4.6964793620724324E-2</v>
      </c>
      <c r="O174" t="s">
        <v>6</v>
      </c>
    </row>
    <row r="175" spans="2:15" x14ac:dyDescent="0.45">
      <c r="B175" t="s">
        <v>414</v>
      </c>
      <c r="C175" t="s">
        <v>28</v>
      </c>
      <c r="D175">
        <v>5.4074101987851599E-2</v>
      </c>
      <c r="E175" t="s">
        <v>6</v>
      </c>
      <c r="G175" t="s">
        <v>415</v>
      </c>
      <c r="H175" t="s">
        <v>28</v>
      </c>
      <c r="I175">
        <v>2.8756435741709691E-2</v>
      </c>
      <c r="J175" t="s">
        <v>6</v>
      </c>
      <c r="L175" t="s">
        <v>416</v>
      </c>
      <c r="M175" t="s">
        <v>28</v>
      </c>
      <c r="N175">
        <v>3.3827741639795066E-2</v>
      </c>
      <c r="O175" t="s">
        <v>6</v>
      </c>
    </row>
    <row r="176" spans="2:15" x14ac:dyDescent="0.45">
      <c r="B176" t="s">
        <v>414</v>
      </c>
      <c r="C176" t="s">
        <v>29</v>
      </c>
      <c r="D176">
        <v>8.0524714538214415E-2</v>
      </c>
      <c r="E176" t="s">
        <v>6</v>
      </c>
      <c r="G176" t="s">
        <v>415</v>
      </c>
      <c r="H176" t="s">
        <v>29</v>
      </c>
      <c r="I176">
        <v>2.8455888251913981E-2</v>
      </c>
      <c r="J176" t="s">
        <v>6</v>
      </c>
      <c r="L176" t="s">
        <v>416</v>
      </c>
      <c r="M176" t="s">
        <v>29</v>
      </c>
      <c r="N176">
        <v>3.4134629988242432E-2</v>
      </c>
      <c r="O176" t="s">
        <v>6</v>
      </c>
    </row>
    <row r="177" spans="2:15" x14ac:dyDescent="0.45">
      <c r="B177" t="s">
        <v>414</v>
      </c>
      <c r="C177" t="s">
        <v>30</v>
      </c>
      <c r="D177">
        <v>3.6126786875927915E-2</v>
      </c>
      <c r="E177" t="s">
        <v>6</v>
      </c>
      <c r="G177" t="s">
        <v>415</v>
      </c>
      <c r="H177" t="s">
        <v>30</v>
      </c>
      <c r="I177">
        <v>3.353415580111084E-2</v>
      </c>
      <c r="J177" t="s">
        <v>6</v>
      </c>
      <c r="L177" t="s">
        <v>416</v>
      </c>
      <c r="M177" t="s">
        <v>30</v>
      </c>
      <c r="N177">
        <v>3.600039851514835E-2</v>
      </c>
      <c r="O177" t="s">
        <v>6</v>
      </c>
    </row>
    <row r="178" spans="2:15" x14ac:dyDescent="0.45">
      <c r="B178" t="s">
        <v>414</v>
      </c>
      <c r="C178" t="s">
        <v>31</v>
      </c>
      <c r="D178">
        <v>1.1352848645301776E-3</v>
      </c>
      <c r="E178" t="s">
        <v>6</v>
      </c>
      <c r="G178" t="s">
        <v>415</v>
      </c>
      <c r="H178" t="s">
        <v>31</v>
      </c>
      <c r="I178">
        <v>3.9298190595441942E-2</v>
      </c>
      <c r="J178" t="s">
        <v>6</v>
      </c>
      <c r="L178" t="s">
        <v>416</v>
      </c>
      <c r="M178" t="s">
        <v>31</v>
      </c>
      <c r="N178">
        <v>3.8717712448542919E-2</v>
      </c>
      <c r="O178" t="s">
        <v>6</v>
      </c>
    </row>
    <row r="179" spans="2:15" x14ac:dyDescent="0.45">
      <c r="B179" t="s">
        <v>417</v>
      </c>
      <c r="C179" t="s">
        <v>5</v>
      </c>
      <c r="D179">
        <v>0</v>
      </c>
      <c r="E179" t="s">
        <v>6</v>
      </c>
      <c r="G179" t="s">
        <v>418</v>
      </c>
      <c r="H179" t="s">
        <v>5</v>
      </c>
      <c r="I179">
        <v>0.1105874250189107</v>
      </c>
      <c r="J179" t="s">
        <v>6</v>
      </c>
      <c r="L179" t="s">
        <v>419</v>
      </c>
      <c r="M179" t="s">
        <v>5</v>
      </c>
      <c r="N179">
        <v>0.10867445109787781</v>
      </c>
      <c r="O179" t="s">
        <v>6</v>
      </c>
    </row>
    <row r="180" spans="2:15" x14ac:dyDescent="0.45">
      <c r="B180" t="s">
        <v>417</v>
      </c>
      <c r="C180" t="s">
        <v>9</v>
      </c>
      <c r="D180">
        <v>1.0212940252591596E-4</v>
      </c>
      <c r="E180" t="s">
        <v>6</v>
      </c>
      <c r="G180" t="s">
        <v>418</v>
      </c>
      <c r="H180" t="s">
        <v>9</v>
      </c>
      <c r="I180">
        <v>5.5031080283846304E-2</v>
      </c>
      <c r="J180" t="s">
        <v>6</v>
      </c>
      <c r="L180" t="s">
        <v>419</v>
      </c>
      <c r="M180" t="s">
        <v>9</v>
      </c>
      <c r="N180">
        <v>5.5232935072150553E-2</v>
      </c>
      <c r="O180" t="s">
        <v>6</v>
      </c>
    </row>
    <row r="181" spans="2:15" x14ac:dyDescent="0.45">
      <c r="B181" t="s">
        <v>417</v>
      </c>
      <c r="C181" t="s">
        <v>10</v>
      </c>
      <c r="D181">
        <v>2.0772416456085761E-2</v>
      </c>
      <c r="E181" t="s">
        <v>6</v>
      </c>
      <c r="G181" t="s">
        <v>418</v>
      </c>
      <c r="H181" t="s">
        <v>10</v>
      </c>
      <c r="I181">
        <v>3.7239951191752545E-2</v>
      </c>
      <c r="J181" t="s">
        <v>6</v>
      </c>
      <c r="L181" t="s">
        <v>419</v>
      </c>
      <c r="M181" t="s">
        <v>10</v>
      </c>
      <c r="N181">
        <v>4.0145854073882173E-2</v>
      </c>
      <c r="O181" t="s">
        <v>6</v>
      </c>
    </row>
    <row r="182" spans="2:15" x14ac:dyDescent="0.45">
      <c r="B182" t="s">
        <v>417</v>
      </c>
      <c r="C182" t="s">
        <v>11</v>
      </c>
      <c r="D182">
        <v>4.7306004923402235E-2</v>
      </c>
      <c r="E182" t="s">
        <v>6</v>
      </c>
      <c r="G182" t="s">
        <v>418</v>
      </c>
      <c r="H182" t="s">
        <v>11</v>
      </c>
      <c r="I182">
        <v>3.4261578071498815E-2</v>
      </c>
      <c r="J182" t="s">
        <v>6</v>
      </c>
      <c r="L182" t="s">
        <v>419</v>
      </c>
      <c r="M182" t="s">
        <v>11</v>
      </c>
      <c r="N182">
        <v>3.9423447610158424E-2</v>
      </c>
      <c r="O182" t="s">
        <v>6</v>
      </c>
    </row>
    <row r="183" spans="2:15" x14ac:dyDescent="0.45">
      <c r="B183" t="s">
        <v>417</v>
      </c>
      <c r="C183" t="s">
        <v>12</v>
      </c>
      <c r="D183">
        <v>1.8758299832897417E-2</v>
      </c>
      <c r="E183" t="s">
        <v>6</v>
      </c>
      <c r="G183" t="s">
        <v>418</v>
      </c>
      <c r="H183" t="s">
        <v>12</v>
      </c>
      <c r="I183">
        <v>3.7571780673277454E-2</v>
      </c>
      <c r="J183" t="s">
        <v>6</v>
      </c>
      <c r="L183" t="s">
        <v>419</v>
      </c>
      <c r="M183" t="s">
        <v>12</v>
      </c>
      <c r="N183">
        <v>4.0356756607127828E-2</v>
      </c>
      <c r="O183" t="s">
        <v>6</v>
      </c>
    </row>
    <row r="184" spans="2:15" x14ac:dyDescent="0.45">
      <c r="B184" t="s">
        <v>417</v>
      </c>
      <c r="C184" t="s">
        <v>13</v>
      </c>
      <c r="D184">
        <v>2.6412787293011007E-5</v>
      </c>
      <c r="E184" t="s">
        <v>6</v>
      </c>
      <c r="G184" t="s">
        <v>418</v>
      </c>
      <c r="H184" t="s">
        <v>13</v>
      </c>
      <c r="I184">
        <v>4.1643497517229656E-2</v>
      </c>
      <c r="J184" t="s">
        <v>6</v>
      </c>
      <c r="L184" t="s">
        <v>419</v>
      </c>
      <c r="M184" t="s">
        <v>13</v>
      </c>
      <c r="N184">
        <v>4.1865969306880316E-2</v>
      </c>
      <c r="O184" t="s">
        <v>6</v>
      </c>
    </row>
    <row r="185" spans="2:15" x14ac:dyDescent="0.45">
      <c r="B185" t="s">
        <v>417</v>
      </c>
      <c r="C185" t="s">
        <v>14</v>
      </c>
      <c r="D185">
        <v>0</v>
      </c>
      <c r="E185" t="s">
        <v>6</v>
      </c>
      <c r="G185" t="s">
        <v>418</v>
      </c>
      <c r="H185" t="s">
        <v>14</v>
      </c>
      <c r="I185">
        <v>8.5813452561903439E-2</v>
      </c>
      <c r="J185" t="s">
        <v>6</v>
      </c>
      <c r="L185" t="s">
        <v>419</v>
      </c>
      <c r="M185" t="s">
        <v>14</v>
      </c>
      <c r="N185">
        <v>8.061285959168718E-2</v>
      </c>
      <c r="O185" t="s">
        <v>6</v>
      </c>
    </row>
    <row r="186" spans="2:15" x14ac:dyDescent="0.45">
      <c r="B186" t="s">
        <v>417</v>
      </c>
      <c r="C186" t="s">
        <v>15</v>
      </c>
      <c r="D186">
        <v>1.9822011553561586E-2</v>
      </c>
      <c r="E186" t="s">
        <v>6</v>
      </c>
      <c r="G186" t="s">
        <v>418</v>
      </c>
      <c r="H186" t="s">
        <v>15</v>
      </c>
      <c r="I186">
        <v>4.3277728642797837E-2</v>
      </c>
      <c r="J186" t="s">
        <v>6</v>
      </c>
      <c r="L186" t="s">
        <v>419</v>
      </c>
      <c r="M186" t="s">
        <v>15</v>
      </c>
      <c r="N186">
        <v>3.9120079464029837E-2</v>
      </c>
      <c r="O186" t="s">
        <v>6</v>
      </c>
    </row>
    <row r="187" spans="2:15" x14ac:dyDescent="0.45">
      <c r="B187" t="s">
        <v>417</v>
      </c>
      <c r="C187" t="s">
        <v>16</v>
      </c>
      <c r="D187">
        <v>0.10088677619491636</v>
      </c>
      <c r="E187" t="s">
        <v>6</v>
      </c>
      <c r="G187" t="s">
        <v>418</v>
      </c>
      <c r="H187" t="s">
        <v>16</v>
      </c>
      <c r="I187">
        <v>2.8502543346730202E-2</v>
      </c>
      <c r="J187" t="s">
        <v>6</v>
      </c>
      <c r="L187" t="s">
        <v>419</v>
      </c>
      <c r="M187" t="s">
        <v>16</v>
      </c>
      <c r="N187">
        <v>2.7588953537262761E-2</v>
      </c>
      <c r="O187" t="s">
        <v>6</v>
      </c>
    </row>
    <row r="188" spans="2:15" x14ac:dyDescent="0.45">
      <c r="B188" t="s">
        <v>417</v>
      </c>
      <c r="C188" t="s">
        <v>17</v>
      </c>
      <c r="D188">
        <v>0.13457575536875294</v>
      </c>
      <c r="E188" t="s">
        <v>6</v>
      </c>
      <c r="G188" t="s">
        <v>418</v>
      </c>
      <c r="H188" t="s">
        <v>17</v>
      </c>
      <c r="I188">
        <v>2.6895467301401757E-2</v>
      </c>
      <c r="J188" t="s">
        <v>6</v>
      </c>
      <c r="L188" t="s">
        <v>419</v>
      </c>
      <c r="M188" t="s">
        <v>17</v>
      </c>
      <c r="N188">
        <v>2.9252417301696459E-2</v>
      </c>
      <c r="O188" t="s">
        <v>6</v>
      </c>
    </row>
    <row r="189" spans="2:15" x14ac:dyDescent="0.45">
      <c r="B189" t="s">
        <v>417</v>
      </c>
      <c r="C189" t="s">
        <v>18</v>
      </c>
      <c r="D189">
        <v>8.3298829297000249E-2</v>
      </c>
      <c r="E189" t="s">
        <v>6</v>
      </c>
      <c r="G189" t="s">
        <v>418</v>
      </c>
      <c r="H189" t="s">
        <v>18</v>
      </c>
      <c r="I189">
        <v>2.9809260740785853E-2</v>
      </c>
      <c r="J189" t="s">
        <v>6</v>
      </c>
      <c r="L189" t="s">
        <v>419</v>
      </c>
      <c r="M189" t="s">
        <v>18</v>
      </c>
      <c r="N189">
        <v>2.929494033855615E-2</v>
      </c>
      <c r="O189" t="s">
        <v>6</v>
      </c>
    </row>
    <row r="190" spans="2:15" x14ac:dyDescent="0.45">
      <c r="B190" t="s">
        <v>417</v>
      </c>
      <c r="C190" t="s">
        <v>19</v>
      </c>
      <c r="D190">
        <v>9.0632613678354405E-3</v>
      </c>
      <c r="E190" t="s">
        <v>6</v>
      </c>
      <c r="G190" t="s">
        <v>418</v>
      </c>
      <c r="H190" t="s">
        <v>19</v>
      </c>
      <c r="I190">
        <v>3.0220925885925263E-2</v>
      </c>
      <c r="J190" t="s">
        <v>6</v>
      </c>
      <c r="L190" t="s">
        <v>419</v>
      </c>
      <c r="M190" t="s">
        <v>19</v>
      </c>
      <c r="N190">
        <v>2.8871099741314691E-2</v>
      </c>
      <c r="O190" t="s">
        <v>6</v>
      </c>
    </row>
    <row r="191" spans="2:15" x14ac:dyDescent="0.45">
      <c r="B191" t="s">
        <v>417</v>
      </c>
      <c r="C191" t="s">
        <v>20</v>
      </c>
      <c r="D191">
        <v>1.0436153984212803E-5</v>
      </c>
      <c r="E191" t="s">
        <v>6</v>
      </c>
      <c r="G191" t="s">
        <v>418</v>
      </c>
      <c r="H191" t="s">
        <v>20</v>
      </c>
      <c r="I191">
        <v>6.178118580367177E-2</v>
      </c>
      <c r="J191" t="s">
        <v>6</v>
      </c>
      <c r="L191" t="s">
        <v>419</v>
      </c>
      <c r="M191" t="s">
        <v>20</v>
      </c>
      <c r="N191">
        <v>5.7645837731245132E-2</v>
      </c>
      <c r="O191" t="s">
        <v>6</v>
      </c>
    </row>
    <row r="192" spans="2:15" x14ac:dyDescent="0.45">
      <c r="B192" t="s">
        <v>417</v>
      </c>
      <c r="C192" t="s">
        <v>21</v>
      </c>
      <c r="D192">
        <v>2.8231934625284703E-2</v>
      </c>
      <c r="E192" t="s">
        <v>6</v>
      </c>
      <c r="G192" t="s">
        <v>418</v>
      </c>
      <c r="H192" t="s">
        <v>21</v>
      </c>
      <c r="I192">
        <v>2.4684171885861753E-2</v>
      </c>
      <c r="J192" t="s">
        <v>6</v>
      </c>
      <c r="L192" t="s">
        <v>419</v>
      </c>
      <c r="M192" t="s">
        <v>21</v>
      </c>
      <c r="N192">
        <v>2.6784049523586269E-2</v>
      </c>
      <c r="O192" t="s">
        <v>6</v>
      </c>
    </row>
    <row r="193" spans="2:15" x14ac:dyDescent="0.45">
      <c r="B193" t="s">
        <v>417</v>
      </c>
      <c r="C193" t="s">
        <v>22</v>
      </c>
      <c r="D193">
        <v>0.10849803210294891</v>
      </c>
      <c r="E193" t="s">
        <v>6</v>
      </c>
      <c r="G193" t="s">
        <v>418</v>
      </c>
      <c r="H193" t="s">
        <v>22</v>
      </c>
      <c r="I193">
        <v>1.474279562376603E-2</v>
      </c>
      <c r="J193" t="s">
        <v>6</v>
      </c>
      <c r="L193" t="s">
        <v>419</v>
      </c>
      <c r="M193" t="s">
        <v>22</v>
      </c>
      <c r="N193">
        <v>1.947885533947739E-2</v>
      </c>
      <c r="O193" t="s">
        <v>6</v>
      </c>
    </row>
    <row r="194" spans="2:15" x14ac:dyDescent="0.45">
      <c r="B194" t="s">
        <v>417</v>
      </c>
      <c r="C194" t="s">
        <v>23</v>
      </c>
      <c r="D194">
        <v>0.13943602514598555</v>
      </c>
      <c r="E194" t="s">
        <v>6</v>
      </c>
      <c r="G194" t="s">
        <v>418</v>
      </c>
      <c r="H194" t="s">
        <v>23</v>
      </c>
      <c r="I194">
        <v>1.5820491308985087E-2</v>
      </c>
      <c r="J194" t="s">
        <v>6</v>
      </c>
      <c r="L194" t="s">
        <v>419</v>
      </c>
      <c r="M194" t="s">
        <v>23</v>
      </c>
      <c r="N194">
        <v>2.1211836280919168E-2</v>
      </c>
      <c r="O194" t="s">
        <v>6</v>
      </c>
    </row>
    <row r="195" spans="2:15" x14ac:dyDescent="0.45">
      <c r="B195" t="s">
        <v>417</v>
      </c>
      <c r="C195" t="s">
        <v>24</v>
      </c>
      <c r="D195">
        <v>9.4058466687293285E-2</v>
      </c>
      <c r="E195" t="s">
        <v>6</v>
      </c>
      <c r="G195" t="s">
        <v>418</v>
      </c>
      <c r="H195" t="s">
        <v>24</v>
      </c>
      <c r="I195">
        <v>1.779578675745529E-2</v>
      </c>
      <c r="J195" t="s">
        <v>6</v>
      </c>
      <c r="L195" t="s">
        <v>419</v>
      </c>
      <c r="M195" t="s">
        <v>24</v>
      </c>
      <c r="N195">
        <v>2.2256999635428001E-2</v>
      </c>
      <c r="O195" t="s">
        <v>6</v>
      </c>
    </row>
    <row r="196" spans="2:15" x14ac:dyDescent="0.45">
      <c r="B196" t="s">
        <v>417</v>
      </c>
      <c r="C196" t="s">
        <v>25</v>
      </c>
      <c r="D196">
        <v>1.6747170040042589E-2</v>
      </c>
      <c r="E196" t="s">
        <v>6</v>
      </c>
      <c r="G196" t="s">
        <v>418</v>
      </c>
      <c r="H196" t="s">
        <v>25</v>
      </c>
      <c r="I196">
        <v>1.8608083502664852E-2</v>
      </c>
      <c r="J196" t="s">
        <v>6</v>
      </c>
      <c r="L196" t="s">
        <v>419</v>
      </c>
      <c r="M196" t="s">
        <v>25</v>
      </c>
      <c r="N196">
        <v>2.0699963490921101E-2</v>
      </c>
      <c r="O196" t="s">
        <v>6</v>
      </c>
    </row>
    <row r="197" spans="2:15" x14ac:dyDescent="0.45">
      <c r="B197" t="s">
        <v>417</v>
      </c>
      <c r="C197" t="s">
        <v>26</v>
      </c>
      <c r="D197">
        <v>0</v>
      </c>
      <c r="E197" t="s">
        <v>6</v>
      </c>
      <c r="G197" t="s">
        <v>418</v>
      </c>
      <c r="H197" t="s">
        <v>26</v>
      </c>
      <c r="I197">
        <v>0.10270213631414521</v>
      </c>
      <c r="J197" t="s">
        <v>6</v>
      </c>
      <c r="L197" t="s">
        <v>419</v>
      </c>
      <c r="M197" t="s">
        <v>26</v>
      </c>
      <c r="N197">
        <v>9.0230711750493603E-2</v>
      </c>
      <c r="O197" t="s">
        <v>6</v>
      </c>
    </row>
    <row r="198" spans="2:15" x14ac:dyDescent="0.45">
      <c r="B198" t="s">
        <v>417</v>
      </c>
      <c r="C198" t="s">
        <v>27</v>
      </c>
      <c r="D198">
        <v>5.0884625818106302E-3</v>
      </c>
      <c r="E198" t="s">
        <v>6</v>
      </c>
      <c r="G198" t="s">
        <v>418</v>
      </c>
      <c r="H198" t="s">
        <v>27</v>
      </c>
      <c r="I198">
        <v>4.9286478986075494E-2</v>
      </c>
      <c r="J198" t="s">
        <v>6</v>
      </c>
      <c r="L198" t="s">
        <v>419</v>
      </c>
      <c r="M198" t="s">
        <v>27</v>
      </c>
      <c r="N198">
        <v>4.6140370890968958E-2</v>
      </c>
      <c r="O198" t="s">
        <v>6</v>
      </c>
    </row>
    <row r="199" spans="2:15" x14ac:dyDescent="0.45">
      <c r="B199" t="s">
        <v>417</v>
      </c>
      <c r="C199" t="s">
        <v>28</v>
      </c>
      <c r="D199">
        <v>5.5549082621964778E-2</v>
      </c>
      <c r="E199" t="s">
        <v>6</v>
      </c>
      <c r="G199" t="s">
        <v>418</v>
      </c>
      <c r="H199" t="s">
        <v>28</v>
      </c>
      <c r="I199">
        <v>3.2007312017072777E-2</v>
      </c>
      <c r="J199" t="s">
        <v>6</v>
      </c>
      <c r="L199" t="s">
        <v>419</v>
      </c>
      <c r="M199" t="s">
        <v>28</v>
      </c>
      <c r="N199">
        <v>3.3452308148367429E-2</v>
      </c>
      <c r="O199" t="s">
        <v>6</v>
      </c>
    </row>
    <row r="200" spans="2:15" x14ac:dyDescent="0.45">
      <c r="B200" t="s">
        <v>417</v>
      </c>
      <c r="C200" t="s">
        <v>29</v>
      </c>
      <c r="D200">
        <v>8.110290093861762E-2</v>
      </c>
      <c r="E200" t="s">
        <v>6</v>
      </c>
      <c r="G200" t="s">
        <v>418</v>
      </c>
      <c r="H200" t="s">
        <v>29</v>
      </c>
      <c r="I200">
        <v>3.0860267505460809E-2</v>
      </c>
      <c r="J200" t="s">
        <v>6</v>
      </c>
      <c r="L200" t="s">
        <v>419</v>
      </c>
      <c r="M200" t="s">
        <v>29</v>
      </c>
      <c r="N200">
        <v>3.3267705839036814E-2</v>
      </c>
      <c r="O200" t="s">
        <v>6</v>
      </c>
    </row>
    <row r="201" spans="2:15" x14ac:dyDescent="0.45">
      <c r="B201" t="s">
        <v>417</v>
      </c>
      <c r="C201" t="s">
        <v>30</v>
      </c>
      <c r="D201">
        <v>3.5623750743246974E-2</v>
      </c>
      <c r="E201" t="s">
        <v>6</v>
      </c>
      <c r="G201" t="s">
        <v>418</v>
      </c>
      <c r="H201" t="s">
        <v>30</v>
      </c>
      <c r="I201">
        <v>3.3535431340694428E-2</v>
      </c>
      <c r="J201" t="s">
        <v>6</v>
      </c>
      <c r="L201" t="s">
        <v>419</v>
      </c>
      <c r="M201" t="s">
        <v>30</v>
      </c>
      <c r="N201">
        <v>3.3811931763177434E-2</v>
      </c>
      <c r="O201" t="s">
        <v>6</v>
      </c>
    </row>
    <row r="202" spans="2:15" x14ac:dyDescent="0.45">
      <c r="B202" t="s">
        <v>417</v>
      </c>
      <c r="C202" t="s">
        <v>31</v>
      </c>
      <c r="D202">
        <v>1.0418411745482768E-3</v>
      </c>
      <c r="E202" t="s">
        <v>6</v>
      </c>
      <c r="G202" t="s">
        <v>418</v>
      </c>
      <c r="H202" t="s">
        <v>31</v>
      </c>
      <c r="I202">
        <v>3.7321167718085052E-2</v>
      </c>
      <c r="J202" t="s">
        <v>6</v>
      </c>
      <c r="L202" t="s">
        <v>419</v>
      </c>
      <c r="M202" t="s">
        <v>31</v>
      </c>
      <c r="N202">
        <v>3.4579665863753106E-2</v>
      </c>
      <c r="O202" t="s">
        <v>6</v>
      </c>
    </row>
    <row r="203" spans="2:15" x14ac:dyDescent="0.45">
      <c r="B203" t="s">
        <v>420</v>
      </c>
      <c r="C203" t="s">
        <v>5</v>
      </c>
      <c r="D203">
        <v>0</v>
      </c>
      <c r="E203" t="s">
        <v>6</v>
      </c>
      <c r="G203" t="s">
        <v>421</v>
      </c>
      <c r="H203" t="s">
        <v>5</v>
      </c>
      <c r="I203">
        <v>0.11390476573264302</v>
      </c>
      <c r="J203" t="s">
        <v>6</v>
      </c>
      <c r="L203" t="s">
        <v>422</v>
      </c>
      <c r="M203" t="s">
        <v>5</v>
      </c>
      <c r="N203">
        <v>0.10352786818001006</v>
      </c>
      <c r="O203" t="s">
        <v>6</v>
      </c>
    </row>
    <row r="204" spans="2:15" x14ac:dyDescent="0.45">
      <c r="B204" t="s">
        <v>420</v>
      </c>
      <c r="C204" t="s">
        <v>9</v>
      </c>
      <c r="D204">
        <v>4.4967956592868047E-5</v>
      </c>
      <c r="E204" t="s">
        <v>6</v>
      </c>
      <c r="G204" t="s">
        <v>421</v>
      </c>
      <c r="H204" t="s">
        <v>9</v>
      </c>
      <c r="I204">
        <v>5.5502450577225679E-2</v>
      </c>
      <c r="J204" t="s">
        <v>6</v>
      </c>
      <c r="L204" t="s">
        <v>422</v>
      </c>
      <c r="M204" t="s">
        <v>9</v>
      </c>
      <c r="N204">
        <v>5.3775256594139169E-2</v>
      </c>
      <c r="O204" t="s">
        <v>6</v>
      </c>
    </row>
    <row r="205" spans="2:15" x14ac:dyDescent="0.45">
      <c r="B205" t="s">
        <v>420</v>
      </c>
      <c r="C205" t="s">
        <v>10</v>
      </c>
      <c r="D205">
        <v>2.2382935849836069E-2</v>
      </c>
      <c r="E205" t="s">
        <v>6</v>
      </c>
      <c r="G205" t="s">
        <v>421</v>
      </c>
      <c r="H205" t="s">
        <v>10</v>
      </c>
      <c r="I205">
        <v>3.8986396677203376E-2</v>
      </c>
      <c r="J205" t="s">
        <v>6</v>
      </c>
      <c r="L205" t="s">
        <v>422</v>
      </c>
      <c r="M205" t="s">
        <v>10</v>
      </c>
      <c r="N205">
        <v>3.9958466253061709E-2</v>
      </c>
      <c r="O205" t="s">
        <v>6</v>
      </c>
    </row>
    <row r="206" spans="2:15" x14ac:dyDescent="0.45">
      <c r="B206" t="s">
        <v>420</v>
      </c>
      <c r="C206" t="s">
        <v>11</v>
      </c>
      <c r="D206">
        <v>4.8660202104421089E-2</v>
      </c>
      <c r="E206" t="s">
        <v>6</v>
      </c>
      <c r="G206" t="s">
        <v>421</v>
      </c>
      <c r="H206" t="s">
        <v>11</v>
      </c>
      <c r="I206">
        <v>3.7507725974909409E-2</v>
      </c>
      <c r="J206" t="s">
        <v>6</v>
      </c>
      <c r="L206" t="s">
        <v>422</v>
      </c>
      <c r="M206" t="s">
        <v>11</v>
      </c>
      <c r="N206">
        <v>3.8356966755076598E-2</v>
      </c>
      <c r="O206" t="s">
        <v>6</v>
      </c>
    </row>
    <row r="207" spans="2:15" x14ac:dyDescent="0.45">
      <c r="B207" t="s">
        <v>420</v>
      </c>
      <c r="C207" t="s">
        <v>12</v>
      </c>
      <c r="D207">
        <v>1.9911366122938454E-2</v>
      </c>
      <c r="E207" t="s">
        <v>6</v>
      </c>
      <c r="G207" t="s">
        <v>421</v>
      </c>
      <c r="H207" t="s">
        <v>12</v>
      </c>
      <c r="I207">
        <v>3.9713983593025783E-2</v>
      </c>
      <c r="J207" t="s">
        <v>6</v>
      </c>
      <c r="L207" t="s">
        <v>422</v>
      </c>
      <c r="M207" t="s">
        <v>12</v>
      </c>
      <c r="N207">
        <v>3.8238856804042598E-2</v>
      </c>
      <c r="O207" t="s">
        <v>6</v>
      </c>
    </row>
    <row r="208" spans="2:15" x14ac:dyDescent="0.45">
      <c r="B208" t="s">
        <v>420</v>
      </c>
      <c r="C208" t="s">
        <v>13</v>
      </c>
      <c r="D208">
        <v>8.2913270124036336E-5</v>
      </c>
      <c r="E208" t="s">
        <v>6</v>
      </c>
      <c r="G208" t="s">
        <v>421</v>
      </c>
      <c r="H208" t="s">
        <v>13</v>
      </c>
      <c r="I208">
        <v>4.3617986173767852E-2</v>
      </c>
      <c r="J208" t="s">
        <v>6</v>
      </c>
      <c r="L208" t="s">
        <v>422</v>
      </c>
      <c r="M208" t="s">
        <v>13</v>
      </c>
      <c r="N208">
        <v>3.9446380486248718E-2</v>
      </c>
      <c r="O208" t="s">
        <v>6</v>
      </c>
    </row>
    <row r="209" spans="2:15" x14ac:dyDescent="0.45">
      <c r="B209" t="s">
        <v>420</v>
      </c>
      <c r="C209" t="s">
        <v>14</v>
      </c>
      <c r="D209">
        <v>0</v>
      </c>
      <c r="E209" t="s">
        <v>6</v>
      </c>
      <c r="G209" t="s">
        <v>421</v>
      </c>
      <c r="H209" t="s">
        <v>14</v>
      </c>
      <c r="I209">
        <v>8.3629930256084284E-2</v>
      </c>
      <c r="J209" t="s">
        <v>6</v>
      </c>
      <c r="L209" t="s">
        <v>422</v>
      </c>
      <c r="M209" t="s">
        <v>14</v>
      </c>
      <c r="N209">
        <v>8.4061041582526502E-2</v>
      </c>
      <c r="O209" t="s">
        <v>6</v>
      </c>
    </row>
    <row r="210" spans="2:15" x14ac:dyDescent="0.45">
      <c r="B210" t="s">
        <v>420</v>
      </c>
      <c r="C210" t="s">
        <v>15</v>
      </c>
      <c r="D210">
        <v>1.6102020873252382E-2</v>
      </c>
      <c r="E210" t="s">
        <v>6</v>
      </c>
      <c r="G210" t="s">
        <v>421</v>
      </c>
      <c r="H210" t="s">
        <v>15</v>
      </c>
      <c r="I210">
        <v>4.1062566319595421E-2</v>
      </c>
      <c r="J210" t="s">
        <v>6</v>
      </c>
      <c r="L210" t="s">
        <v>422</v>
      </c>
      <c r="M210" t="s">
        <v>15</v>
      </c>
      <c r="N210">
        <v>4.0611066687899412E-2</v>
      </c>
      <c r="O210" t="s">
        <v>6</v>
      </c>
    </row>
    <row r="211" spans="2:15" x14ac:dyDescent="0.45">
      <c r="B211" t="s">
        <v>420</v>
      </c>
      <c r="C211" t="s">
        <v>16</v>
      </c>
      <c r="D211">
        <v>9.3707122695157033E-2</v>
      </c>
      <c r="E211" t="s">
        <v>6</v>
      </c>
      <c r="G211" t="s">
        <v>421</v>
      </c>
      <c r="H211" t="s">
        <v>16</v>
      </c>
      <c r="I211">
        <v>2.7916100228126624E-2</v>
      </c>
      <c r="J211" t="s">
        <v>6</v>
      </c>
      <c r="L211" t="s">
        <v>422</v>
      </c>
      <c r="M211" t="s">
        <v>16</v>
      </c>
      <c r="N211">
        <v>2.8486102021396172E-2</v>
      </c>
      <c r="O211" t="s">
        <v>6</v>
      </c>
    </row>
    <row r="212" spans="2:15" x14ac:dyDescent="0.45">
      <c r="B212" t="s">
        <v>420</v>
      </c>
      <c r="C212" t="s">
        <v>17</v>
      </c>
      <c r="D212">
        <v>0.12828081974103869</v>
      </c>
      <c r="E212" t="s">
        <v>6</v>
      </c>
      <c r="G212" t="s">
        <v>421</v>
      </c>
      <c r="H212" t="s">
        <v>17</v>
      </c>
      <c r="I212">
        <v>2.5579120143375891E-2</v>
      </c>
      <c r="J212" t="s">
        <v>6</v>
      </c>
      <c r="L212" t="s">
        <v>422</v>
      </c>
      <c r="M212" t="s">
        <v>17</v>
      </c>
      <c r="N212">
        <v>2.9152891862611507E-2</v>
      </c>
      <c r="O212" t="s">
        <v>6</v>
      </c>
    </row>
    <row r="213" spans="2:15" x14ac:dyDescent="0.45">
      <c r="B213" t="s">
        <v>420</v>
      </c>
      <c r="C213" t="s">
        <v>18</v>
      </c>
      <c r="D213">
        <v>8.1234565853767121E-2</v>
      </c>
      <c r="E213" t="s">
        <v>6</v>
      </c>
      <c r="G213" t="s">
        <v>421</v>
      </c>
      <c r="H213" t="s">
        <v>18</v>
      </c>
      <c r="I213">
        <v>2.9490260145779202E-2</v>
      </c>
      <c r="J213" t="s">
        <v>6</v>
      </c>
      <c r="L213" t="s">
        <v>422</v>
      </c>
      <c r="M213" t="s">
        <v>18</v>
      </c>
      <c r="N213">
        <v>3.0476910233679193E-2</v>
      </c>
      <c r="O213" t="s">
        <v>6</v>
      </c>
    </row>
    <row r="214" spans="2:15" x14ac:dyDescent="0.45">
      <c r="B214" t="s">
        <v>420</v>
      </c>
      <c r="C214" t="s">
        <v>19</v>
      </c>
      <c r="D214">
        <v>1.0701492957649049E-2</v>
      </c>
      <c r="E214" t="s">
        <v>6</v>
      </c>
      <c r="G214" t="s">
        <v>421</v>
      </c>
      <c r="H214" t="s">
        <v>19</v>
      </c>
      <c r="I214">
        <v>3.192952287851334E-2</v>
      </c>
      <c r="J214" t="s">
        <v>6</v>
      </c>
      <c r="L214" t="s">
        <v>422</v>
      </c>
      <c r="M214" t="s">
        <v>19</v>
      </c>
      <c r="N214">
        <v>3.1357526474629693E-2</v>
      </c>
      <c r="O214" t="s">
        <v>6</v>
      </c>
    </row>
    <row r="215" spans="2:15" x14ac:dyDescent="0.45">
      <c r="B215" t="s">
        <v>420</v>
      </c>
      <c r="C215" t="s">
        <v>20</v>
      </c>
      <c r="D215">
        <v>3.352275242586047E-5</v>
      </c>
      <c r="E215" t="s">
        <v>6</v>
      </c>
      <c r="G215" t="s">
        <v>421</v>
      </c>
      <c r="H215" t="s">
        <v>20</v>
      </c>
      <c r="I215">
        <v>5.8182411473168757E-2</v>
      </c>
      <c r="J215" t="s">
        <v>6</v>
      </c>
      <c r="L215" t="s">
        <v>422</v>
      </c>
      <c r="M215" t="s">
        <v>20</v>
      </c>
      <c r="N215">
        <v>6.2808839455217438E-2</v>
      </c>
      <c r="O215" t="s">
        <v>6</v>
      </c>
    </row>
    <row r="216" spans="2:15" x14ac:dyDescent="0.45">
      <c r="B216" t="s">
        <v>420</v>
      </c>
      <c r="C216" t="s">
        <v>21</v>
      </c>
      <c r="D216">
        <v>2.573578031526683E-2</v>
      </c>
      <c r="E216" t="s">
        <v>6</v>
      </c>
      <c r="G216" t="s">
        <v>421</v>
      </c>
      <c r="H216" t="s">
        <v>21</v>
      </c>
      <c r="I216">
        <v>2.1373833386210073E-2</v>
      </c>
      <c r="J216" t="s">
        <v>6</v>
      </c>
      <c r="L216" t="s">
        <v>422</v>
      </c>
      <c r="M216" t="s">
        <v>21</v>
      </c>
      <c r="N216">
        <v>2.7516965997289596E-2</v>
      </c>
      <c r="O216" t="s">
        <v>6</v>
      </c>
    </row>
    <row r="217" spans="2:15" x14ac:dyDescent="0.45">
      <c r="B217" t="s">
        <v>420</v>
      </c>
      <c r="C217" t="s">
        <v>22</v>
      </c>
      <c r="D217">
        <v>0.108663056731463</v>
      </c>
      <c r="E217" t="s">
        <v>6</v>
      </c>
      <c r="G217" t="s">
        <v>421</v>
      </c>
      <c r="H217" t="s">
        <v>22</v>
      </c>
      <c r="I217">
        <v>1.3624467705910805E-2</v>
      </c>
      <c r="J217" t="s">
        <v>6</v>
      </c>
      <c r="L217" t="s">
        <v>422</v>
      </c>
      <c r="M217" t="s">
        <v>22</v>
      </c>
      <c r="N217">
        <v>1.9604245621031521E-2</v>
      </c>
      <c r="O217" t="s">
        <v>6</v>
      </c>
    </row>
    <row r="218" spans="2:15" x14ac:dyDescent="0.45">
      <c r="B218" t="s">
        <v>420</v>
      </c>
      <c r="C218" t="s">
        <v>23</v>
      </c>
      <c r="D218">
        <v>0.14371204236557888</v>
      </c>
      <c r="E218" t="s">
        <v>6</v>
      </c>
      <c r="G218" t="s">
        <v>421</v>
      </c>
      <c r="H218" t="s">
        <v>23</v>
      </c>
      <c r="I218">
        <v>1.4611122094604028E-2</v>
      </c>
      <c r="J218" t="s">
        <v>6</v>
      </c>
      <c r="L218" t="s">
        <v>422</v>
      </c>
      <c r="M218" t="s">
        <v>23</v>
      </c>
      <c r="N218">
        <v>1.9252363561150433E-2</v>
      </c>
      <c r="O218" t="s">
        <v>6</v>
      </c>
    </row>
    <row r="219" spans="2:15" x14ac:dyDescent="0.45">
      <c r="B219" t="s">
        <v>420</v>
      </c>
      <c r="C219" t="s">
        <v>24</v>
      </c>
      <c r="D219">
        <v>9.8024319326278392E-2</v>
      </c>
      <c r="E219" t="s">
        <v>6</v>
      </c>
      <c r="G219" t="s">
        <v>421</v>
      </c>
      <c r="H219" t="s">
        <v>24</v>
      </c>
      <c r="I219">
        <v>1.6120123753720159E-2</v>
      </c>
      <c r="J219" t="s">
        <v>6</v>
      </c>
      <c r="L219" t="s">
        <v>422</v>
      </c>
      <c r="M219" t="s">
        <v>24</v>
      </c>
      <c r="N219">
        <v>2.098378931560306E-2</v>
      </c>
      <c r="O219" t="s">
        <v>6</v>
      </c>
    </row>
    <row r="220" spans="2:15" x14ac:dyDescent="0.45">
      <c r="B220" t="s">
        <v>420</v>
      </c>
      <c r="C220" t="s">
        <v>25</v>
      </c>
      <c r="D220">
        <v>1.9966820160318699E-2</v>
      </c>
      <c r="E220" t="s">
        <v>6</v>
      </c>
      <c r="G220" t="s">
        <v>421</v>
      </c>
      <c r="H220" t="s">
        <v>25</v>
      </c>
      <c r="I220">
        <v>1.7693673679569505E-2</v>
      </c>
      <c r="J220" t="s">
        <v>6</v>
      </c>
      <c r="L220" t="s">
        <v>422</v>
      </c>
      <c r="M220" t="s">
        <v>25</v>
      </c>
      <c r="N220">
        <v>2.1788721933333848E-2</v>
      </c>
      <c r="O220" t="s">
        <v>6</v>
      </c>
    </row>
    <row r="221" spans="2:15" x14ac:dyDescent="0.45">
      <c r="B221" t="s">
        <v>420</v>
      </c>
      <c r="C221" t="s">
        <v>26</v>
      </c>
      <c r="D221">
        <v>0</v>
      </c>
      <c r="E221" t="s">
        <v>6</v>
      </c>
      <c r="G221" t="s">
        <v>421</v>
      </c>
      <c r="H221" t="s">
        <v>26</v>
      </c>
      <c r="I221">
        <v>0.10348475915247381</v>
      </c>
      <c r="J221" t="s">
        <v>6</v>
      </c>
      <c r="L221" t="s">
        <v>422</v>
      </c>
      <c r="M221" t="s">
        <v>26</v>
      </c>
      <c r="N221">
        <v>9.0523060139656844E-2</v>
      </c>
      <c r="O221" t="s">
        <v>6</v>
      </c>
    </row>
    <row r="222" spans="2:15" x14ac:dyDescent="0.45">
      <c r="B222" t="s">
        <v>420</v>
      </c>
      <c r="C222" t="s">
        <v>27</v>
      </c>
      <c r="D222">
        <v>3.7894877161717844E-3</v>
      </c>
      <c r="E222" t="s">
        <v>6</v>
      </c>
      <c r="G222" t="s">
        <v>421</v>
      </c>
      <c r="H222" t="s">
        <v>27</v>
      </c>
      <c r="I222">
        <v>5.3810366204821693E-2</v>
      </c>
      <c r="J222" t="s">
        <v>6</v>
      </c>
      <c r="L222" t="s">
        <v>422</v>
      </c>
      <c r="M222" t="s">
        <v>27</v>
      </c>
      <c r="N222">
        <v>4.5831238824272785E-2</v>
      </c>
      <c r="O222" t="s">
        <v>6</v>
      </c>
    </row>
    <row r="223" spans="2:15" x14ac:dyDescent="0.45">
      <c r="B223" t="s">
        <v>420</v>
      </c>
      <c r="C223" t="s">
        <v>28</v>
      </c>
      <c r="D223">
        <v>5.4803964115759211E-2</v>
      </c>
      <c r="E223" t="s">
        <v>6</v>
      </c>
      <c r="G223" t="s">
        <v>421</v>
      </c>
      <c r="H223" t="s">
        <v>28</v>
      </c>
      <c r="I223">
        <v>3.348600352215525E-2</v>
      </c>
      <c r="J223" t="s">
        <v>6</v>
      </c>
      <c r="L223" t="s">
        <v>422</v>
      </c>
      <c r="M223" t="s">
        <v>28</v>
      </c>
      <c r="N223">
        <v>3.3690102657307729E-2</v>
      </c>
      <c r="O223" t="s">
        <v>6</v>
      </c>
    </row>
    <row r="224" spans="2:15" x14ac:dyDescent="0.45">
      <c r="B224" t="s">
        <v>420</v>
      </c>
      <c r="C224" t="s">
        <v>29</v>
      </c>
      <c r="D224">
        <v>8.2957805326088749E-2</v>
      </c>
      <c r="E224" t="s">
        <v>6</v>
      </c>
      <c r="G224" t="s">
        <v>421</v>
      </c>
      <c r="H224" t="s">
        <v>29</v>
      </c>
      <c r="I224">
        <v>3.0702567839476332E-2</v>
      </c>
      <c r="J224" t="s">
        <v>6</v>
      </c>
      <c r="L224" t="s">
        <v>422</v>
      </c>
      <c r="M224" t="s">
        <v>29</v>
      </c>
      <c r="N224">
        <v>3.3383241734849002E-2</v>
      </c>
      <c r="O224" t="s">
        <v>6</v>
      </c>
    </row>
    <row r="225" spans="2:15" x14ac:dyDescent="0.45">
      <c r="B225" t="s">
        <v>420</v>
      </c>
      <c r="C225" t="s">
        <v>30</v>
      </c>
      <c r="D225">
        <v>3.9729922134465141E-2</v>
      </c>
      <c r="E225" t="s">
        <v>6</v>
      </c>
      <c r="G225" t="s">
        <v>421</v>
      </c>
      <c r="H225" t="s">
        <v>30</v>
      </c>
      <c r="I225">
        <v>3.150417510734934E-2</v>
      </c>
      <c r="J225" t="s">
        <v>6</v>
      </c>
      <c r="L225" t="s">
        <v>422</v>
      </c>
      <c r="M225" t="s">
        <v>30</v>
      </c>
      <c r="N225">
        <v>3.3092614606052222E-2</v>
      </c>
      <c r="O225" t="s">
        <v>6</v>
      </c>
    </row>
    <row r="226" spans="2:15" x14ac:dyDescent="0.45">
      <c r="B226" t="s">
        <v>420</v>
      </c>
      <c r="C226" t="s">
        <v>31</v>
      </c>
      <c r="D226">
        <v>1.4748716314064558E-3</v>
      </c>
      <c r="E226" t="s">
        <v>6</v>
      </c>
      <c r="G226" t="s">
        <v>421</v>
      </c>
      <c r="H226" t="s">
        <v>31</v>
      </c>
      <c r="I226">
        <v>3.6565687380289341E-2</v>
      </c>
      <c r="J226" t="s">
        <v>6</v>
      </c>
      <c r="L226" t="s">
        <v>422</v>
      </c>
      <c r="M226" t="s">
        <v>31</v>
      </c>
      <c r="N226">
        <v>3.4075482218913385E-2</v>
      </c>
      <c r="O226" t="s">
        <v>6</v>
      </c>
    </row>
    <row r="227" spans="2:15" x14ac:dyDescent="0.45">
      <c r="B227" t="s">
        <v>423</v>
      </c>
      <c r="C227" t="s">
        <v>5</v>
      </c>
      <c r="D227">
        <v>0</v>
      </c>
      <c r="E227" t="s">
        <v>6</v>
      </c>
      <c r="G227" t="s">
        <v>424</v>
      </c>
      <c r="H227" t="s">
        <v>5</v>
      </c>
      <c r="I227">
        <v>0.12144606649389192</v>
      </c>
      <c r="J227" t="s">
        <v>6</v>
      </c>
      <c r="L227" t="s">
        <v>425</v>
      </c>
      <c r="M227" t="s">
        <v>5</v>
      </c>
      <c r="N227">
        <v>0.10201368461433034</v>
      </c>
      <c r="O227" t="s">
        <v>6</v>
      </c>
    </row>
    <row r="228" spans="2:15" x14ac:dyDescent="0.45">
      <c r="B228" t="s">
        <v>423</v>
      </c>
      <c r="C228" t="s">
        <v>9</v>
      </c>
      <c r="D228">
        <v>3.1793417303997414E-5</v>
      </c>
      <c r="E228" t="s">
        <v>6</v>
      </c>
      <c r="G228" t="s">
        <v>424</v>
      </c>
      <c r="H228" t="s">
        <v>9</v>
      </c>
      <c r="I228">
        <v>5.7308752338702619E-2</v>
      </c>
      <c r="J228" t="s">
        <v>6</v>
      </c>
      <c r="L228" t="s">
        <v>425</v>
      </c>
      <c r="M228" t="s">
        <v>9</v>
      </c>
      <c r="N228">
        <v>5.3364517060269442E-2</v>
      </c>
      <c r="O228" t="s">
        <v>6</v>
      </c>
    </row>
    <row r="229" spans="2:15" x14ac:dyDescent="0.45">
      <c r="B229" t="s">
        <v>423</v>
      </c>
      <c r="C229" t="s">
        <v>10</v>
      </c>
      <c r="D229">
        <v>2.1567883514987916E-2</v>
      </c>
      <c r="E229" t="s">
        <v>6</v>
      </c>
      <c r="G229" t="s">
        <v>424</v>
      </c>
      <c r="H229" t="s">
        <v>10</v>
      </c>
      <c r="I229">
        <v>3.8046677917623402E-2</v>
      </c>
      <c r="J229" t="s">
        <v>6</v>
      </c>
      <c r="L229" t="s">
        <v>425</v>
      </c>
      <c r="M229" t="s">
        <v>10</v>
      </c>
      <c r="N229">
        <v>3.9742772912537055E-2</v>
      </c>
      <c r="O229" t="s">
        <v>6</v>
      </c>
    </row>
    <row r="230" spans="2:15" x14ac:dyDescent="0.45">
      <c r="B230" t="s">
        <v>423</v>
      </c>
      <c r="C230" t="s">
        <v>11</v>
      </c>
      <c r="D230">
        <v>4.995509330135655E-2</v>
      </c>
      <c r="E230" t="s">
        <v>6</v>
      </c>
      <c r="G230" t="s">
        <v>424</v>
      </c>
      <c r="H230" t="s">
        <v>11</v>
      </c>
      <c r="I230">
        <v>3.5170685176941656E-2</v>
      </c>
      <c r="J230" t="s">
        <v>6</v>
      </c>
      <c r="L230" t="s">
        <v>425</v>
      </c>
      <c r="M230" t="s">
        <v>11</v>
      </c>
      <c r="N230">
        <v>3.8453767170894715E-2</v>
      </c>
      <c r="O230" t="s">
        <v>6</v>
      </c>
    </row>
    <row r="231" spans="2:15" x14ac:dyDescent="0.45">
      <c r="B231" t="s">
        <v>423</v>
      </c>
      <c r="C231" t="s">
        <v>12</v>
      </c>
      <c r="D231">
        <v>2.0959510342868581E-2</v>
      </c>
      <c r="E231" t="s">
        <v>6</v>
      </c>
      <c r="G231" t="s">
        <v>424</v>
      </c>
      <c r="H231" t="s">
        <v>12</v>
      </c>
      <c r="I231">
        <v>4.0090860718050507E-2</v>
      </c>
      <c r="J231" t="s">
        <v>6</v>
      </c>
      <c r="L231" t="s">
        <v>425</v>
      </c>
      <c r="M231" t="s">
        <v>12</v>
      </c>
      <c r="N231">
        <v>3.797631615086914E-2</v>
      </c>
      <c r="O231" t="s">
        <v>6</v>
      </c>
    </row>
    <row r="232" spans="2:15" x14ac:dyDescent="0.45">
      <c r="B232" t="s">
        <v>423</v>
      </c>
      <c r="C232" t="s">
        <v>13</v>
      </c>
      <c r="D232">
        <v>1.3766747163204441E-4</v>
      </c>
      <c r="E232" t="s">
        <v>6</v>
      </c>
      <c r="G232" t="s">
        <v>424</v>
      </c>
      <c r="H232" t="s">
        <v>13</v>
      </c>
      <c r="I232">
        <v>4.5215160281832228E-2</v>
      </c>
      <c r="J232" t="s">
        <v>6</v>
      </c>
      <c r="L232" t="s">
        <v>425</v>
      </c>
      <c r="M232" t="s">
        <v>13</v>
      </c>
      <c r="N232">
        <v>3.9485827001336328E-2</v>
      </c>
      <c r="O232" t="s">
        <v>6</v>
      </c>
    </row>
    <row r="233" spans="2:15" x14ac:dyDescent="0.45">
      <c r="B233" t="s">
        <v>423</v>
      </c>
      <c r="C233" t="s">
        <v>14</v>
      </c>
      <c r="D233">
        <v>0</v>
      </c>
      <c r="E233" t="s">
        <v>6</v>
      </c>
      <c r="G233" t="s">
        <v>424</v>
      </c>
      <c r="H233" t="s">
        <v>14</v>
      </c>
      <c r="I233">
        <v>8.4922866296636756E-2</v>
      </c>
      <c r="J233" t="s">
        <v>6</v>
      </c>
      <c r="L233" t="s">
        <v>425</v>
      </c>
      <c r="M233" t="s">
        <v>14</v>
      </c>
      <c r="N233">
        <v>8.4211614316723055E-2</v>
      </c>
      <c r="O233" t="s">
        <v>6</v>
      </c>
    </row>
    <row r="234" spans="2:15" x14ac:dyDescent="0.45">
      <c r="B234" t="s">
        <v>423</v>
      </c>
      <c r="C234" t="s">
        <v>15</v>
      </c>
      <c r="D234">
        <v>1.5416879735365506E-2</v>
      </c>
      <c r="E234" t="s">
        <v>6</v>
      </c>
      <c r="G234" t="s">
        <v>424</v>
      </c>
      <c r="H234" t="s">
        <v>15</v>
      </c>
      <c r="I234">
        <v>4.2068656477117293E-2</v>
      </c>
      <c r="J234" t="s">
        <v>6</v>
      </c>
      <c r="L234" t="s">
        <v>425</v>
      </c>
      <c r="M234" t="s">
        <v>15</v>
      </c>
      <c r="N234">
        <v>3.9427316209366396E-2</v>
      </c>
      <c r="O234" t="s">
        <v>6</v>
      </c>
    </row>
    <row r="235" spans="2:15" x14ac:dyDescent="0.45">
      <c r="B235" t="s">
        <v>423</v>
      </c>
      <c r="C235" t="s">
        <v>16</v>
      </c>
      <c r="D235">
        <v>9.1101836200310288E-2</v>
      </c>
      <c r="E235" t="s">
        <v>6</v>
      </c>
      <c r="G235" t="s">
        <v>424</v>
      </c>
      <c r="H235" t="s">
        <v>16</v>
      </c>
      <c r="I235">
        <v>2.6515486481180177E-2</v>
      </c>
      <c r="J235" t="s">
        <v>6</v>
      </c>
      <c r="L235" t="s">
        <v>425</v>
      </c>
      <c r="M235" t="s">
        <v>16</v>
      </c>
      <c r="N235">
        <v>2.7718851840888951E-2</v>
      </c>
      <c r="O235" t="s">
        <v>6</v>
      </c>
    </row>
    <row r="236" spans="2:15" x14ac:dyDescent="0.45">
      <c r="B236" t="s">
        <v>423</v>
      </c>
      <c r="C236" t="s">
        <v>17</v>
      </c>
      <c r="D236">
        <v>0.12688336739624934</v>
      </c>
      <c r="E236" t="s">
        <v>6</v>
      </c>
      <c r="G236" t="s">
        <v>424</v>
      </c>
      <c r="H236" t="s">
        <v>17</v>
      </c>
      <c r="I236">
        <v>2.3699164838480394E-2</v>
      </c>
      <c r="J236" t="s">
        <v>6</v>
      </c>
      <c r="L236" t="s">
        <v>425</v>
      </c>
      <c r="M236" t="s">
        <v>17</v>
      </c>
      <c r="N236">
        <v>2.8730834969000793E-2</v>
      </c>
      <c r="O236" t="s">
        <v>6</v>
      </c>
    </row>
    <row r="237" spans="2:15" x14ac:dyDescent="0.45">
      <c r="B237" t="s">
        <v>423</v>
      </c>
      <c r="C237" t="s">
        <v>18</v>
      </c>
      <c r="D237">
        <v>7.9026955841406663E-2</v>
      </c>
      <c r="E237" t="s">
        <v>6</v>
      </c>
      <c r="G237" t="s">
        <v>424</v>
      </c>
      <c r="H237" t="s">
        <v>18</v>
      </c>
      <c r="I237">
        <v>2.5842632725551672E-2</v>
      </c>
      <c r="J237" t="s">
        <v>6</v>
      </c>
      <c r="L237" t="s">
        <v>425</v>
      </c>
      <c r="M237" t="s">
        <v>18</v>
      </c>
      <c r="N237">
        <v>2.9838982164183198E-2</v>
      </c>
      <c r="O237" t="s">
        <v>6</v>
      </c>
    </row>
    <row r="238" spans="2:15" x14ac:dyDescent="0.45">
      <c r="B238" t="s">
        <v>423</v>
      </c>
      <c r="C238" t="s">
        <v>19</v>
      </c>
      <c r="D238">
        <v>1.0448870991619126E-2</v>
      </c>
      <c r="E238" t="s">
        <v>6</v>
      </c>
      <c r="G238" t="s">
        <v>424</v>
      </c>
      <c r="H238" t="s">
        <v>19</v>
      </c>
      <c r="I238">
        <v>3.0407941045415592E-2</v>
      </c>
      <c r="J238" t="s">
        <v>6</v>
      </c>
      <c r="L238" t="s">
        <v>425</v>
      </c>
      <c r="M238" t="s">
        <v>19</v>
      </c>
      <c r="N238">
        <v>3.1090680405082796E-2</v>
      </c>
      <c r="O238" t="s">
        <v>6</v>
      </c>
    </row>
    <row r="239" spans="2:15" x14ac:dyDescent="0.45">
      <c r="B239" t="s">
        <v>423</v>
      </c>
      <c r="C239" t="s">
        <v>20</v>
      </c>
      <c r="D239">
        <v>2.1730438326050857E-5</v>
      </c>
      <c r="E239" t="s">
        <v>6</v>
      </c>
      <c r="G239" t="s">
        <v>424</v>
      </c>
      <c r="H239" t="s">
        <v>20</v>
      </c>
      <c r="I239">
        <v>5.928625493111004E-2</v>
      </c>
      <c r="J239" t="s">
        <v>6</v>
      </c>
      <c r="L239" t="s">
        <v>425</v>
      </c>
      <c r="M239" t="s">
        <v>20</v>
      </c>
      <c r="N239">
        <v>6.2401117755389965E-2</v>
      </c>
      <c r="O239" t="s">
        <v>6</v>
      </c>
    </row>
    <row r="240" spans="2:15" x14ac:dyDescent="0.45">
      <c r="B240" t="s">
        <v>423</v>
      </c>
      <c r="C240" t="s">
        <v>21</v>
      </c>
      <c r="D240">
        <v>2.5347327252281029E-2</v>
      </c>
      <c r="E240" t="s">
        <v>6</v>
      </c>
      <c r="G240" t="s">
        <v>424</v>
      </c>
      <c r="H240" t="s">
        <v>21</v>
      </c>
      <c r="I240">
        <v>1.9850941260951514E-2</v>
      </c>
      <c r="J240" t="s">
        <v>6</v>
      </c>
      <c r="L240" t="s">
        <v>425</v>
      </c>
      <c r="M240" t="s">
        <v>21</v>
      </c>
      <c r="N240">
        <v>2.8181897103435296E-2</v>
      </c>
      <c r="O240" t="s">
        <v>6</v>
      </c>
    </row>
    <row r="241" spans="2:15" x14ac:dyDescent="0.45">
      <c r="B241" t="s">
        <v>423</v>
      </c>
      <c r="C241" t="s">
        <v>22</v>
      </c>
      <c r="D241">
        <v>0.11186376567963933</v>
      </c>
      <c r="E241" t="s">
        <v>6</v>
      </c>
      <c r="G241" t="s">
        <v>424</v>
      </c>
      <c r="H241" t="s">
        <v>22</v>
      </c>
      <c r="I241">
        <v>1.2200767368314203E-2</v>
      </c>
      <c r="J241" t="s">
        <v>6</v>
      </c>
      <c r="L241" t="s">
        <v>425</v>
      </c>
      <c r="M241" t="s">
        <v>22</v>
      </c>
      <c r="N241">
        <v>2.0157022223681136E-2</v>
      </c>
      <c r="O241" t="s">
        <v>6</v>
      </c>
    </row>
    <row r="242" spans="2:15" x14ac:dyDescent="0.45">
      <c r="B242" t="s">
        <v>423</v>
      </c>
      <c r="C242" t="s">
        <v>23</v>
      </c>
      <c r="D242">
        <v>0.14439774949837561</v>
      </c>
      <c r="E242" t="s">
        <v>6</v>
      </c>
      <c r="G242" t="s">
        <v>424</v>
      </c>
      <c r="H242" t="s">
        <v>23</v>
      </c>
      <c r="I242">
        <v>1.4074019211341431E-2</v>
      </c>
      <c r="J242" t="s">
        <v>6</v>
      </c>
      <c r="L242" t="s">
        <v>425</v>
      </c>
      <c r="M242" t="s">
        <v>23</v>
      </c>
      <c r="N242">
        <v>1.9599252629663579E-2</v>
      </c>
      <c r="O242" t="s">
        <v>6</v>
      </c>
    </row>
    <row r="243" spans="2:15" x14ac:dyDescent="0.45">
      <c r="B243" t="s">
        <v>423</v>
      </c>
      <c r="C243" t="s">
        <v>24</v>
      </c>
      <c r="D243">
        <v>9.6441543484110256E-2</v>
      </c>
      <c r="E243" t="s">
        <v>6</v>
      </c>
      <c r="G243" t="s">
        <v>424</v>
      </c>
      <c r="H243" t="s">
        <v>24</v>
      </c>
      <c r="I243">
        <v>1.5658947198561521E-2</v>
      </c>
      <c r="J243" t="s">
        <v>6</v>
      </c>
      <c r="L243" t="s">
        <v>425</v>
      </c>
      <c r="M243" t="s">
        <v>24</v>
      </c>
      <c r="N243">
        <v>2.1258639881873445E-2</v>
      </c>
      <c r="O243" t="s">
        <v>6</v>
      </c>
    </row>
    <row r="244" spans="2:15" x14ac:dyDescent="0.45">
      <c r="B244" t="s">
        <v>423</v>
      </c>
      <c r="C244" t="s">
        <v>25</v>
      </c>
      <c r="D244">
        <v>2.0151620001095029E-2</v>
      </c>
      <c r="E244" t="s">
        <v>6</v>
      </c>
      <c r="G244" t="s">
        <v>424</v>
      </c>
      <c r="H244" t="s">
        <v>25</v>
      </c>
      <c r="I244">
        <v>1.8242111266306968E-2</v>
      </c>
      <c r="J244" t="s">
        <v>6</v>
      </c>
      <c r="L244" t="s">
        <v>425</v>
      </c>
      <c r="M244" t="s">
        <v>25</v>
      </c>
      <c r="N244">
        <v>2.1481848838450071E-2</v>
      </c>
      <c r="O244" t="s">
        <v>6</v>
      </c>
    </row>
    <row r="245" spans="2:15" x14ac:dyDescent="0.45">
      <c r="B245" t="s">
        <v>423</v>
      </c>
      <c r="C245" t="s">
        <v>26</v>
      </c>
      <c r="D245">
        <v>0</v>
      </c>
      <c r="E245" t="s">
        <v>6</v>
      </c>
      <c r="G245" t="s">
        <v>424</v>
      </c>
      <c r="H245" t="s">
        <v>26</v>
      </c>
      <c r="I245">
        <v>0.10673321553783199</v>
      </c>
      <c r="J245" t="s">
        <v>6</v>
      </c>
      <c r="L245" t="s">
        <v>425</v>
      </c>
      <c r="M245" t="s">
        <v>26</v>
      </c>
      <c r="N245">
        <v>9.1833188066344412E-2</v>
      </c>
      <c r="O245" t="s">
        <v>6</v>
      </c>
    </row>
    <row r="246" spans="2:15" x14ac:dyDescent="0.45">
      <c r="B246" t="s">
        <v>423</v>
      </c>
      <c r="C246" t="s">
        <v>27</v>
      </c>
      <c r="D246">
        <v>3.5230082058131927E-3</v>
      </c>
      <c r="E246" t="s">
        <v>6</v>
      </c>
      <c r="G246" t="s">
        <v>424</v>
      </c>
      <c r="H246" t="s">
        <v>27</v>
      </c>
      <c r="I246">
        <v>5.428082575620731E-2</v>
      </c>
      <c r="J246" t="s">
        <v>6</v>
      </c>
      <c r="L246" t="s">
        <v>425</v>
      </c>
      <c r="M246" t="s">
        <v>27</v>
      </c>
      <c r="N246">
        <v>4.6547743358229456E-2</v>
      </c>
      <c r="O246" t="s">
        <v>6</v>
      </c>
    </row>
    <row r="247" spans="2:15" x14ac:dyDescent="0.45">
      <c r="B247" t="s">
        <v>423</v>
      </c>
      <c r="C247" t="s">
        <v>28</v>
      </c>
      <c r="D247">
        <v>5.4433768253757453E-2</v>
      </c>
      <c r="E247" t="s">
        <v>6</v>
      </c>
      <c r="G247" t="s">
        <v>424</v>
      </c>
      <c r="H247" t="s">
        <v>28</v>
      </c>
      <c r="I247">
        <v>3.2649392136678203E-2</v>
      </c>
      <c r="J247" t="s">
        <v>6</v>
      </c>
      <c r="L247" t="s">
        <v>425</v>
      </c>
      <c r="M247" t="s">
        <v>28</v>
      </c>
      <c r="N247">
        <v>3.4394296411642308E-2</v>
      </c>
      <c r="O247" t="s">
        <v>6</v>
      </c>
    </row>
    <row r="248" spans="2:15" x14ac:dyDescent="0.45">
      <c r="B248" t="s">
        <v>423</v>
      </c>
      <c r="C248" t="s">
        <v>29</v>
      </c>
      <c r="D248">
        <v>8.5633116452867919E-2</v>
      </c>
      <c r="E248" t="s">
        <v>6</v>
      </c>
      <c r="G248" t="s">
        <v>424</v>
      </c>
      <c r="H248" t="s">
        <v>29</v>
      </c>
      <c r="I248">
        <v>2.8758706127267587E-2</v>
      </c>
      <c r="J248" t="s">
        <v>6</v>
      </c>
      <c r="L248" t="s">
        <v>425</v>
      </c>
      <c r="M248" t="s">
        <v>29</v>
      </c>
      <c r="N248">
        <v>3.3965618899626536E-2</v>
      </c>
      <c r="O248" t="s">
        <v>6</v>
      </c>
    </row>
    <row r="249" spans="2:15" x14ac:dyDescent="0.45">
      <c r="B249" t="s">
        <v>423</v>
      </c>
      <c r="C249" t="s">
        <v>30</v>
      </c>
      <c r="D249">
        <v>4.1146416128089537E-2</v>
      </c>
      <c r="E249" t="s">
        <v>6</v>
      </c>
      <c r="G249" t="s">
        <v>424</v>
      </c>
      <c r="H249" t="s">
        <v>30</v>
      </c>
      <c r="I249">
        <v>3.115257492755974E-2</v>
      </c>
      <c r="J249" t="s">
        <v>6</v>
      </c>
      <c r="L249" t="s">
        <v>425</v>
      </c>
      <c r="M249" t="s">
        <v>30</v>
      </c>
      <c r="N249">
        <v>3.3772309816583718E-2</v>
      </c>
      <c r="O249" t="s">
        <v>6</v>
      </c>
    </row>
    <row r="250" spans="2:15" x14ac:dyDescent="0.45">
      <c r="B250" t="s">
        <v>423</v>
      </c>
      <c r="C250" t="s">
        <v>31</v>
      </c>
      <c r="D250">
        <v>1.5100963925443924E-3</v>
      </c>
      <c r="E250" t="s">
        <v>6</v>
      </c>
      <c r="G250" t="s">
        <v>424</v>
      </c>
      <c r="H250" t="s">
        <v>31</v>
      </c>
      <c r="I250">
        <v>3.6377293486446798E-2</v>
      </c>
      <c r="J250" t="s">
        <v>6</v>
      </c>
      <c r="L250" t="s">
        <v>425</v>
      </c>
      <c r="M250" t="s">
        <v>31</v>
      </c>
      <c r="N250">
        <v>3.4351900199597038E-2</v>
      </c>
      <c r="O250" t="s">
        <v>6</v>
      </c>
    </row>
    <row r="251" spans="2:15" x14ac:dyDescent="0.45">
      <c r="B251" t="s">
        <v>426</v>
      </c>
      <c r="C251" t="s">
        <v>5</v>
      </c>
      <c r="D251">
        <v>0</v>
      </c>
      <c r="E251" t="s">
        <v>6</v>
      </c>
      <c r="G251" t="s">
        <v>427</v>
      </c>
      <c r="H251" t="s">
        <v>5</v>
      </c>
      <c r="I251">
        <v>0.11560129950177762</v>
      </c>
      <c r="J251" t="s">
        <v>6</v>
      </c>
    </row>
    <row r="252" spans="2:15" x14ac:dyDescent="0.45">
      <c r="B252" t="s">
        <v>426</v>
      </c>
      <c r="C252" t="s">
        <v>9</v>
      </c>
      <c r="D252">
        <v>5.0564822594127016E-5</v>
      </c>
      <c r="E252" t="s">
        <v>6</v>
      </c>
      <c r="G252" t="s">
        <v>427</v>
      </c>
      <c r="H252" t="s">
        <v>9</v>
      </c>
      <c r="I252">
        <v>5.9420952465723827E-2</v>
      </c>
      <c r="J252" t="s">
        <v>6</v>
      </c>
    </row>
    <row r="253" spans="2:15" x14ac:dyDescent="0.45">
      <c r="B253" t="s">
        <v>426</v>
      </c>
      <c r="C253" t="s">
        <v>10</v>
      </c>
      <c r="D253">
        <v>2.1423234406541456E-2</v>
      </c>
      <c r="E253" t="s">
        <v>6</v>
      </c>
      <c r="G253" t="s">
        <v>427</v>
      </c>
      <c r="H253" t="s">
        <v>10</v>
      </c>
      <c r="I253">
        <v>4.3472241459851978E-2</v>
      </c>
      <c r="J253" t="s">
        <v>6</v>
      </c>
    </row>
    <row r="254" spans="2:15" x14ac:dyDescent="0.45">
      <c r="B254" t="s">
        <v>426</v>
      </c>
      <c r="C254" t="s">
        <v>11</v>
      </c>
      <c r="D254">
        <v>4.9182047969345957E-2</v>
      </c>
      <c r="E254" t="s">
        <v>6</v>
      </c>
      <c r="G254" t="s">
        <v>427</v>
      </c>
      <c r="H254" t="s">
        <v>11</v>
      </c>
      <c r="I254">
        <v>4.2183305315067678E-2</v>
      </c>
      <c r="J254" t="s">
        <v>6</v>
      </c>
    </row>
    <row r="255" spans="2:15" x14ac:dyDescent="0.45">
      <c r="B255" t="s">
        <v>426</v>
      </c>
      <c r="C255" t="s">
        <v>12</v>
      </c>
      <c r="D255">
        <v>2.0850280924195719E-2</v>
      </c>
      <c r="E255" t="s">
        <v>6</v>
      </c>
      <c r="G255" t="s">
        <v>427</v>
      </c>
      <c r="H255" t="s">
        <v>12</v>
      </c>
      <c r="I255">
        <v>4.2002571043652695E-2</v>
      </c>
      <c r="J255" t="s">
        <v>6</v>
      </c>
    </row>
    <row r="256" spans="2:15" x14ac:dyDescent="0.45">
      <c r="B256" t="s">
        <v>426</v>
      </c>
      <c r="C256" t="s">
        <v>13</v>
      </c>
      <c r="D256">
        <v>9.4777073244951463E-5</v>
      </c>
      <c r="E256" t="s">
        <v>6</v>
      </c>
      <c r="G256" t="s">
        <v>427</v>
      </c>
      <c r="H256" t="s">
        <v>13</v>
      </c>
      <c r="I256">
        <v>4.2999159651033729E-2</v>
      </c>
      <c r="J256" t="s">
        <v>6</v>
      </c>
    </row>
    <row r="257" spans="2:10" x14ac:dyDescent="0.45">
      <c r="B257" t="s">
        <v>426</v>
      </c>
      <c r="C257" t="s">
        <v>14</v>
      </c>
      <c r="D257">
        <v>2.4247731752707E-7</v>
      </c>
      <c r="E257" t="s">
        <v>6</v>
      </c>
      <c r="G257" t="s">
        <v>427</v>
      </c>
      <c r="H257" t="s">
        <v>14</v>
      </c>
      <c r="I257">
        <v>7.4397960120839948E-2</v>
      </c>
      <c r="J257" t="s">
        <v>6</v>
      </c>
    </row>
    <row r="258" spans="2:10" x14ac:dyDescent="0.45">
      <c r="B258" t="s">
        <v>426</v>
      </c>
      <c r="C258" t="s">
        <v>15</v>
      </c>
      <c r="D258">
        <v>1.5904742942686026E-2</v>
      </c>
      <c r="E258" t="s">
        <v>6</v>
      </c>
      <c r="G258" t="s">
        <v>427</v>
      </c>
      <c r="H258" t="s">
        <v>15</v>
      </c>
      <c r="I258">
        <v>3.4883847254444565E-2</v>
      </c>
      <c r="J258" t="s">
        <v>6</v>
      </c>
    </row>
    <row r="259" spans="2:10" x14ac:dyDescent="0.45">
      <c r="B259" t="s">
        <v>426</v>
      </c>
      <c r="C259" t="s">
        <v>16</v>
      </c>
      <c r="D259">
        <v>9.4381579682238259E-2</v>
      </c>
      <c r="E259" t="s">
        <v>6</v>
      </c>
      <c r="G259" t="s">
        <v>427</v>
      </c>
      <c r="H259" t="s">
        <v>16</v>
      </c>
      <c r="I259">
        <v>2.3504314890878668E-2</v>
      </c>
      <c r="J259" t="s">
        <v>6</v>
      </c>
    </row>
    <row r="260" spans="2:10" x14ac:dyDescent="0.45">
      <c r="B260" t="s">
        <v>426</v>
      </c>
      <c r="C260" t="s">
        <v>17</v>
      </c>
      <c r="D260">
        <v>0.13155411991976926</v>
      </c>
      <c r="E260" t="s">
        <v>6</v>
      </c>
      <c r="G260" t="s">
        <v>427</v>
      </c>
      <c r="H260" t="s">
        <v>17</v>
      </c>
      <c r="I260">
        <v>2.4750607019560389E-2</v>
      </c>
      <c r="J260" t="s">
        <v>6</v>
      </c>
    </row>
    <row r="261" spans="2:10" x14ac:dyDescent="0.45">
      <c r="B261" t="s">
        <v>426</v>
      </c>
      <c r="C261" t="s">
        <v>18</v>
      </c>
      <c r="D261">
        <v>8.7078263361426253E-2</v>
      </c>
      <c r="E261" t="s">
        <v>6</v>
      </c>
      <c r="G261" t="s">
        <v>427</v>
      </c>
      <c r="H261" t="s">
        <v>18</v>
      </c>
      <c r="I261">
        <v>2.6824644726148556E-2</v>
      </c>
      <c r="J261" t="s">
        <v>6</v>
      </c>
    </row>
    <row r="262" spans="2:10" x14ac:dyDescent="0.45">
      <c r="B262" t="s">
        <v>426</v>
      </c>
      <c r="C262" t="s">
        <v>19</v>
      </c>
      <c r="D262">
        <v>1.1940856099650675E-2</v>
      </c>
      <c r="E262" t="s">
        <v>6</v>
      </c>
      <c r="G262" t="s">
        <v>427</v>
      </c>
      <c r="H262" t="s">
        <v>19</v>
      </c>
      <c r="I262">
        <v>2.6670902769574421E-2</v>
      </c>
      <c r="J262" t="s">
        <v>6</v>
      </c>
    </row>
    <row r="263" spans="2:10" x14ac:dyDescent="0.45">
      <c r="B263" t="s">
        <v>426</v>
      </c>
      <c r="C263" t="s">
        <v>20</v>
      </c>
      <c r="D263">
        <v>7.8098977792811762E-5</v>
      </c>
      <c r="E263" t="s">
        <v>6</v>
      </c>
      <c r="G263" t="s">
        <v>427</v>
      </c>
      <c r="H263" t="s">
        <v>20</v>
      </c>
      <c r="I263">
        <v>5.68176659757181E-2</v>
      </c>
      <c r="J263" t="s">
        <v>6</v>
      </c>
    </row>
    <row r="264" spans="2:10" x14ac:dyDescent="0.45">
      <c r="B264" t="s">
        <v>426</v>
      </c>
      <c r="C264" t="s">
        <v>21</v>
      </c>
      <c r="D264">
        <v>2.4239765211696757E-2</v>
      </c>
      <c r="E264" t="s">
        <v>6</v>
      </c>
      <c r="G264" t="s">
        <v>427</v>
      </c>
      <c r="H264" t="s">
        <v>21</v>
      </c>
      <c r="I264">
        <v>2.5198151380207017E-2</v>
      </c>
      <c r="J264" t="s">
        <v>6</v>
      </c>
    </row>
    <row r="265" spans="2:10" x14ac:dyDescent="0.45">
      <c r="B265" t="s">
        <v>426</v>
      </c>
      <c r="C265" t="s">
        <v>22</v>
      </c>
      <c r="D265">
        <v>0.10239308488753025</v>
      </c>
      <c r="E265" t="s">
        <v>6</v>
      </c>
      <c r="G265" t="s">
        <v>427</v>
      </c>
      <c r="H265" t="s">
        <v>22</v>
      </c>
      <c r="I265">
        <v>1.72561693553035E-2</v>
      </c>
      <c r="J265" t="s">
        <v>6</v>
      </c>
    </row>
    <row r="266" spans="2:10" x14ac:dyDescent="0.45">
      <c r="B266" t="s">
        <v>426</v>
      </c>
      <c r="C266" t="s">
        <v>23</v>
      </c>
      <c r="D266">
        <v>0.13942209819223153</v>
      </c>
      <c r="E266" t="s">
        <v>6</v>
      </c>
      <c r="G266" t="s">
        <v>427</v>
      </c>
      <c r="H266" t="s">
        <v>23</v>
      </c>
      <c r="I266">
        <v>1.9635450058117059E-2</v>
      </c>
      <c r="J266" t="s">
        <v>6</v>
      </c>
    </row>
    <row r="267" spans="2:10" x14ac:dyDescent="0.45">
      <c r="B267" t="s">
        <v>426</v>
      </c>
      <c r="C267" t="s">
        <v>24</v>
      </c>
      <c r="D267">
        <v>0.10298199209750264</v>
      </c>
      <c r="E267" t="s">
        <v>6</v>
      </c>
      <c r="G267" t="s">
        <v>427</v>
      </c>
      <c r="H267" t="s">
        <v>24</v>
      </c>
      <c r="I267">
        <v>2.0781412493686143E-2</v>
      </c>
      <c r="J267" t="s">
        <v>6</v>
      </c>
    </row>
    <row r="268" spans="2:10" x14ac:dyDescent="0.45">
      <c r="B268" t="s">
        <v>426</v>
      </c>
      <c r="C268" t="s">
        <v>25</v>
      </c>
      <c r="D268">
        <v>2.1376926346992772E-2</v>
      </c>
      <c r="E268" t="s">
        <v>6</v>
      </c>
      <c r="G268" t="s">
        <v>427</v>
      </c>
      <c r="H268" t="s">
        <v>25</v>
      </c>
      <c r="I268">
        <v>1.849886363218544E-2</v>
      </c>
      <c r="J268" t="s">
        <v>6</v>
      </c>
    </row>
    <row r="269" spans="2:10" x14ac:dyDescent="0.45">
      <c r="B269" t="s">
        <v>426</v>
      </c>
      <c r="C269" t="s">
        <v>26</v>
      </c>
      <c r="D269">
        <v>0</v>
      </c>
      <c r="E269" t="s">
        <v>6</v>
      </c>
      <c r="G269" t="s">
        <v>427</v>
      </c>
      <c r="H269" t="s">
        <v>26</v>
      </c>
      <c r="I269">
        <v>9.8789374482573272E-2</v>
      </c>
      <c r="J269" t="s">
        <v>6</v>
      </c>
    </row>
    <row r="270" spans="2:10" x14ac:dyDescent="0.45">
      <c r="B270" t="s">
        <v>426</v>
      </c>
      <c r="C270" t="s">
        <v>27</v>
      </c>
      <c r="D270">
        <v>3.7617841508599164E-3</v>
      </c>
      <c r="E270" t="s">
        <v>6</v>
      </c>
      <c r="G270" t="s">
        <v>427</v>
      </c>
      <c r="H270" t="s">
        <v>27</v>
      </c>
      <c r="I270">
        <v>5.0514815666116791E-2</v>
      </c>
      <c r="J270" t="s">
        <v>6</v>
      </c>
    </row>
    <row r="271" spans="2:10" x14ac:dyDescent="0.45">
      <c r="B271" t="s">
        <v>426</v>
      </c>
      <c r="C271" t="s">
        <v>28</v>
      </c>
      <c r="D271">
        <v>5.3623571602398952E-2</v>
      </c>
      <c r="E271" t="s">
        <v>6</v>
      </c>
      <c r="G271" t="s">
        <v>427</v>
      </c>
      <c r="H271" t="s">
        <v>28</v>
      </c>
      <c r="I271">
        <v>3.452581980700923E-2</v>
      </c>
      <c r="J271" t="s">
        <v>6</v>
      </c>
    </row>
    <row r="272" spans="2:10" x14ac:dyDescent="0.45">
      <c r="B272" t="s">
        <v>426</v>
      </c>
      <c r="C272" t="s">
        <v>29</v>
      </c>
      <c r="D272">
        <v>8.0866405322795182E-2</v>
      </c>
      <c r="E272" t="s">
        <v>6</v>
      </c>
      <c r="G272" t="s">
        <v>427</v>
      </c>
      <c r="H272" t="s">
        <v>29</v>
      </c>
      <c r="I272">
        <v>3.2307169273622371E-2</v>
      </c>
      <c r="J272" t="s">
        <v>6</v>
      </c>
    </row>
    <row r="273" spans="2:10" x14ac:dyDescent="0.45">
      <c r="B273" t="s">
        <v>426</v>
      </c>
      <c r="C273" t="s">
        <v>30</v>
      </c>
      <c r="D273">
        <v>3.7325386467788282E-2</v>
      </c>
      <c r="E273" t="s">
        <v>6</v>
      </c>
      <c r="G273" t="s">
        <v>427</v>
      </c>
      <c r="H273" t="s">
        <v>30</v>
      </c>
      <c r="I273">
        <v>3.3466772874043482E-2</v>
      </c>
      <c r="J273" t="s">
        <v>6</v>
      </c>
    </row>
    <row r="274" spans="2:10" x14ac:dyDescent="0.45">
      <c r="B274" t="s">
        <v>426</v>
      </c>
      <c r="C274" t="s">
        <v>31</v>
      </c>
      <c r="D274">
        <v>1.4701770633981065E-3</v>
      </c>
      <c r="E274" t="s">
        <v>6</v>
      </c>
      <c r="G274" t="s">
        <v>427</v>
      </c>
      <c r="H274" t="s">
        <v>31</v>
      </c>
      <c r="I274">
        <v>3.5496528782863322E-2</v>
      </c>
      <c r="J274" t="s">
        <v>6</v>
      </c>
    </row>
    <row r="275" spans="2:10" x14ac:dyDescent="0.45">
      <c r="B275" t="s">
        <v>428</v>
      </c>
      <c r="C275" t="s">
        <v>5</v>
      </c>
      <c r="D275">
        <v>0</v>
      </c>
      <c r="E275" t="s">
        <v>6</v>
      </c>
      <c r="G275" t="s">
        <v>429</v>
      </c>
      <c r="H275" t="s">
        <v>5</v>
      </c>
      <c r="I275">
        <v>0.11254325371132023</v>
      </c>
      <c r="J275" t="s">
        <v>6</v>
      </c>
    </row>
    <row r="276" spans="2:10" x14ac:dyDescent="0.45">
      <c r="B276" t="s">
        <v>428</v>
      </c>
      <c r="C276" t="s">
        <v>9</v>
      </c>
      <c r="D276">
        <v>1.0957691218971987E-5</v>
      </c>
      <c r="E276" t="s">
        <v>6</v>
      </c>
      <c r="G276" t="s">
        <v>429</v>
      </c>
      <c r="H276" t="s">
        <v>9</v>
      </c>
      <c r="I276">
        <v>5.7439562545522752E-2</v>
      </c>
      <c r="J276" t="s">
        <v>6</v>
      </c>
    </row>
    <row r="277" spans="2:10" x14ac:dyDescent="0.45">
      <c r="B277" t="s">
        <v>428</v>
      </c>
      <c r="C277" t="s">
        <v>10</v>
      </c>
      <c r="D277">
        <v>2.1032336184215752E-2</v>
      </c>
      <c r="E277" t="s">
        <v>6</v>
      </c>
      <c r="G277" t="s">
        <v>429</v>
      </c>
      <c r="H277" t="s">
        <v>10</v>
      </c>
      <c r="I277">
        <v>4.0953671035998326E-2</v>
      </c>
      <c r="J277" t="s">
        <v>6</v>
      </c>
    </row>
    <row r="278" spans="2:10" x14ac:dyDescent="0.45">
      <c r="B278" t="s">
        <v>428</v>
      </c>
      <c r="C278" t="s">
        <v>11</v>
      </c>
      <c r="D278">
        <v>5.4936710120637264E-2</v>
      </c>
      <c r="E278" t="s">
        <v>6</v>
      </c>
      <c r="G278" t="s">
        <v>429</v>
      </c>
      <c r="H278" t="s">
        <v>11</v>
      </c>
      <c r="I278">
        <v>3.9907595399530899E-2</v>
      </c>
      <c r="J278" t="s">
        <v>6</v>
      </c>
    </row>
    <row r="279" spans="2:10" x14ac:dyDescent="0.45">
      <c r="B279" t="s">
        <v>428</v>
      </c>
      <c r="C279" t="s">
        <v>12</v>
      </c>
      <c r="D279">
        <v>2.474281039567117E-2</v>
      </c>
      <c r="E279" t="s">
        <v>6</v>
      </c>
      <c r="G279" t="s">
        <v>429</v>
      </c>
      <c r="H279" t="s">
        <v>12</v>
      </c>
      <c r="I279">
        <v>4.0733650973764288E-2</v>
      </c>
      <c r="J279" t="s">
        <v>6</v>
      </c>
    </row>
    <row r="280" spans="2:10" x14ac:dyDescent="0.45">
      <c r="B280" t="s">
        <v>428</v>
      </c>
      <c r="C280" t="s">
        <v>13</v>
      </c>
      <c r="D280">
        <v>1.9379382467577921E-4</v>
      </c>
      <c r="E280" t="s">
        <v>6</v>
      </c>
      <c r="G280" t="s">
        <v>429</v>
      </c>
      <c r="H280" t="s">
        <v>13</v>
      </c>
      <c r="I280">
        <v>4.3032694747914754E-2</v>
      </c>
      <c r="J280" t="s">
        <v>6</v>
      </c>
    </row>
    <row r="281" spans="2:10" x14ac:dyDescent="0.45">
      <c r="B281" t="s">
        <v>428</v>
      </c>
      <c r="C281" t="s">
        <v>14</v>
      </c>
      <c r="D281">
        <v>5.4389117075967393E-7</v>
      </c>
      <c r="E281" t="s">
        <v>6</v>
      </c>
      <c r="G281" t="s">
        <v>429</v>
      </c>
      <c r="H281" t="s">
        <v>14</v>
      </c>
      <c r="I281">
        <v>7.9387021793662069E-2</v>
      </c>
      <c r="J281" t="s">
        <v>6</v>
      </c>
    </row>
    <row r="282" spans="2:10" x14ac:dyDescent="0.45">
      <c r="B282" t="s">
        <v>428</v>
      </c>
      <c r="C282" t="s">
        <v>15</v>
      </c>
      <c r="D282">
        <v>1.3471159454567408E-2</v>
      </c>
      <c r="E282" t="s">
        <v>6</v>
      </c>
      <c r="G282" t="s">
        <v>429</v>
      </c>
      <c r="H282" t="s">
        <v>15</v>
      </c>
      <c r="I282">
        <v>3.8603824016935684E-2</v>
      </c>
      <c r="J282" t="s">
        <v>6</v>
      </c>
    </row>
    <row r="283" spans="2:10" x14ac:dyDescent="0.45">
      <c r="B283" t="s">
        <v>428</v>
      </c>
      <c r="C283" t="s">
        <v>16</v>
      </c>
      <c r="D283">
        <v>8.9988258607017618E-2</v>
      </c>
      <c r="E283" t="s">
        <v>6</v>
      </c>
      <c r="G283" t="s">
        <v>429</v>
      </c>
      <c r="H283" t="s">
        <v>16</v>
      </c>
      <c r="I283">
        <v>2.7287536807790284E-2</v>
      </c>
      <c r="J283" t="s">
        <v>6</v>
      </c>
    </row>
    <row r="284" spans="2:10" x14ac:dyDescent="0.45">
      <c r="B284" t="s">
        <v>428</v>
      </c>
      <c r="C284" t="s">
        <v>17</v>
      </c>
      <c r="D284">
        <v>0.12995360894940788</v>
      </c>
      <c r="E284" t="s">
        <v>6</v>
      </c>
      <c r="G284" t="s">
        <v>429</v>
      </c>
      <c r="H284" t="s">
        <v>17</v>
      </c>
      <c r="I284">
        <v>2.6706219889739126E-2</v>
      </c>
      <c r="J284" t="s">
        <v>6</v>
      </c>
    </row>
    <row r="285" spans="2:10" x14ac:dyDescent="0.45">
      <c r="B285" t="s">
        <v>428</v>
      </c>
      <c r="C285" t="s">
        <v>18</v>
      </c>
      <c r="D285">
        <v>8.3500585842834929E-2</v>
      </c>
      <c r="E285" t="s">
        <v>6</v>
      </c>
      <c r="G285" t="s">
        <v>429</v>
      </c>
      <c r="H285" t="s">
        <v>18</v>
      </c>
      <c r="I285">
        <v>3.0062523255823346E-2</v>
      </c>
      <c r="J285" t="s">
        <v>6</v>
      </c>
    </row>
    <row r="286" spans="2:10" x14ac:dyDescent="0.45">
      <c r="B286" t="s">
        <v>428</v>
      </c>
      <c r="C286" t="s">
        <v>19</v>
      </c>
      <c r="D286">
        <v>1.2554091012857625E-2</v>
      </c>
      <c r="E286" t="s">
        <v>6</v>
      </c>
      <c r="G286" t="s">
        <v>429</v>
      </c>
      <c r="H286" t="s">
        <v>19</v>
      </c>
      <c r="I286">
        <v>3.0299326550420242E-2</v>
      </c>
      <c r="J286" t="s">
        <v>6</v>
      </c>
    </row>
    <row r="287" spans="2:10" x14ac:dyDescent="0.45">
      <c r="B287" t="s">
        <v>428</v>
      </c>
      <c r="C287" t="s">
        <v>20</v>
      </c>
      <c r="D287">
        <v>8.6248310534646749E-5</v>
      </c>
      <c r="E287" t="s">
        <v>6</v>
      </c>
      <c r="G287" t="s">
        <v>429</v>
      </c>
      <c r="H287" t="s">
        <v>20</v>
      </c>
      <c r="I287">
        <v>5.347071188239292E-2</v>
      </c>
      <c r="J287" t="s">
        <v>6</v>
      </c>
    </row>
    <row r="288" spans="2:10" x14ac:dyDescent="0.45">
      <c r="B288" t="s">
        <v>428</v>
      </c>
      <c r="C288" t="s">
        <v>21</v>
      </c>
      <c r="D288">
        <v>2.1121444403457711E-2</v>
      </c>
      <c r="E288" t="s">
        <v>6</v>
      </c>
      <c r="G288" t="s">
        <v>429</v>
      </c>
      <c r="H288" t="s">
        <v>21</v>
      </c>
      <c r="I288">
        <v>2.3209549757918176E-2</v>
      </c>
      <c r="J288" t="s">
        <v>6</v>
      </c>
    </row>
    <row r="289" spans="2:10" x14ac:dyDescent="0.45">
      <c r="B289" t="s">
        <v>428</v>
      </c>
      <c r="C289" t="s">
        <v>22</v>
      </c>
      <c r="D289">
        <v>0.10114780741200546</v>
      </c>
      <c r="E289" t="s">
        <v>6</v>
      </c>
      <c r="G289" t="s">
        <v>429</v>
      </c>
      <c r="H289" t="s">
        <v>22</v>
      </c>
      <c r="I289">
        <v>1.6063231207012023E-2</v>
      </c>
      <c r="J289" t="s">
        <v>6</v>
      </c>
    </row>
    <row r="290" spans="2:10" x14ac:dyDescent="0.45">
      <c r="B290" t="s">
        <v>428</v>
      </c>
      <c r="C290" t="s">
        <v>23</v>
      </c>
      <c r="D290">
        <v>0.13782545754364325</v>
      </c>
      <c r="E290" t="s">
        <v>6</v>
      </c>
      <c r="G290" t="s">
        <v>429</v>
      </c>
      <c r="H290" t="s">
        <v>23</v>
      </c>
      <c r="I290">
        <v>1.8121237497150694E-2</v>
      </c>
      <c r="J290" t="s">
        <v>6</v>
      </c>
    </row>
    <row r="291" spans="2:10" x14ac:dyDescent="0.45">
      <c r="B291" t="s">
        <v>428</v>
      </c>
      <c r="C291" t="s">
        <v>24</v>
      </c>
      <c r="D291">
        <v>0.10084311664434802</v>
      </c>
      <c r="E291" t="s">
        <v>6</v>
      </c>
      <c r="G291" t="s">
        <v>429</v>
      </c>
      <c r="H291" t="s">
        <v>24</v>
      </c>
      <c r="I291">
        <v>2.0458193455767121E-2</v>
      </c>
      <c r="J291" t="s">
        <v>6</v>
      </c>
    </row>
    <row r="292" spans="2:10" x14ac:dyDescent="0.45">
      <c r="B292" t="s">
        <v>428</v>
      </c>
      <c r="C292" t="s">
        <v>25</v>
      </c>
      <c r="D292">
        <v>2.2717839908878084E-2</v>
      </c>
      <c r="E292" t="s">
        <v>6</v>
      </c>
      <c r="G292" t="s">
        <v>429</v>
      </c>
      <c r="H292" t="s">
        <v>25</v>
      </c>
      <c r="I292">
        <v>1.8932510536080988E-2</v>
      </c>
      <c r="J292" t="s">
        <v>6</v>
      </c>
    </row>
    <row r="293" spans="2:10" x14ac:dyDescent="0.45">
      <c r="B293" t="s">
        <v>428</v>
      </c>
      <c r="C293" t="s">
        <v>26</v>
      </c>
      <c r="D293">
        <v>0</v>
      </c>
      <c r="E293" t="s">
        <v>6</v>
      </c>
      <c r="G293" t="s">
        <v>429</v>
      </c>
      <c r="H293" t="s">
        <v>26</v>
      </c>
      <c r="I293">
        <v>9.9108972147921789E-2</v>
      </c>
      <c r="J293" t="s">
        <v>6</v>
      </c>
    </row>
    <row r="294" spans="2:10" x14ac:dyDescent="0.45">
      <c r="B294" t="s">
        <v>428</v>
      </c>
      <c r="C294" t="s">
        <v>27</v>
      </c>
      <c r="D294">
        <v>3.2115368992473637E-3</v>
      </c>
      <c r="E294" t="s">
        <v>6</v>
      </c>
      <c r="G294" t="s">
        <v>429</v>
      </c>
      <c r="H294" t="s">
        <v>27</v>
      </c>
      <c r="I294">
        <v>4.8480119279593246E-2</v>
      </c>
      <c r="J294" t="s">
        <v>6</v>
      </c>
    </row>
    <row r="295" spans="2:10" x14ac:dyDescent="0.45">
      <c r="B295" t="s">
        <v>428</v>
      </c>
      <c r="C295" t="s">
        <v>28</v>
      </c>
      <c r="D295">
        <v>5.3968150950919294E-2</v>
      </c>
      <c r="E295" t="s">
        <v>6</v>
      </c>
      <c r="G295" t="s">
        <v>429</v>
      </c>
      <c r="H295" t="s">
        <v>28</v>
      </c>
      <c r="I295">
        <v>3.3032522734002194E-2</v>
      </c>
      <c r="J295" t="s">
        <v>6</v>
      </c>
    </row>
    <row r="296" spans="2:10" x14ac:dyDescent="0.45">
      <c r="B296" t="s">
        <v>428</v>
      </c>
      <c r="C296" t="s">
        <v>29</v>
      </c>
      <c r="D296">
        <v>8.4498397570062181E-2</v>
      </c>
      <c r="E296" t="s">
        <v>6</v>
      </c>
      <c r="G296" t="s">
        <v>429</v>
      </c>
      <c r="H296" t="s">
        <v>29</v>
      </c>
      <c r="I296">
        <v>3.2186277258589385E-2</v>
      </c>
      <c r="J296" t="s">
        <v>6</v>
      </c>
    </row>
    <row r="297" spans="2:10" x14ac:dyDescent="0.45">
      <c r="B297" t="s">
        <v>428</v>
      </c>
      <c r="C297" t="s">
        <v>30</v>
      </c>
      <c r="D297">
        <v>4.2298794477060551E-2</v>
      </c>
      <c r="E297" t="s">
        <v>6</v>
      </c>
      <c r="G297" t="s">
        <v>429</v>
      </c>
      <c r="H297" t="s">
        <v>30</v>
      </c>
      <c r="I297">
        <v>3.3850848403034144E-2</v>
      </c>
      <c r="J297" t="s">
        <v>6</v>
      </c>
    </row>
    <row r="298" spans="2:10" x14ac:dyDescent="0.45">
      <c r="B298" t="s">
        <v>428</v>
      </c>
      <c r="C298" t="s">
        <v>31</v>
      </c>
      <c r="D298">
        <v>1.8963499055678955E-3</v>
      </c>
      <c r="E298" t="s">
        <v>6</v>
      </c>
      <c r="G298" t="s">
        <v>429</v>
      </c>
      <c r="H298" t="s">
        <v>31</v>
      </c>
      <c r="I298">
        <v>3.612894511211498E-2</v>
      </c>
      <c r="J298" t="s">
        <v>6</v>
      </c>
    </row>
    <row r="299" spans="2:10" x14ac:dyDescent="0.45">
      <c r="B299" t="s">
        <v>430</v>
      </c>
      <c r="C299" t="s">
        <v>5</v>
      </c>
      <c r="D299">
        <v>0</v>
      </c>
      <c r="E299" t="s">
        <v>6</v>
      </c>
      <c r="G299" t="s">
        <v>431</v>
      </c>
      <c r="H299" t="s">
        <v>5</v>
      </c>
      <c r="I299">
        <v>0.11501004110419505</v>
      </c>
      <c r="J299" t="s">
        <v>6</v>
      </c>
    </row>
    <row r="300" spans="2:10" x14ac:dyDescent="0.45">
      <c r="B300" t="s">
        <v>430</v>
      </c>
      <c r="C300" t="s">
        <v>9</v>
      </c>
      <c r="D300">
        <v>1.5225949384085544E-4</v>
      </c>
      <c r="E300" t="s">
        <v>6</v>
      </c>
      <c r="G300" t="s">
        <v>431</v>
      </c>
      <c r="H300" t="s">
        <v>9</v>
      </c>
      <c r="I300">
        <v>5.8796715317461667E-2</v>
      </c>
      <c r="J300" t="s">
        <v>6</v>
      </c>
    </row>
    <row r="301" spans="2:10" x14ac:dyDescent="0.45">
      <c r="B301" t="s">
        <v>430</v>
      </c>
      <c r="C301" t="s">
        <v>10</v>
      </c>
      <c r="D301">
        <v>3.8711424339520316E-2</v>
      </c>
      <c r="E301" t="s">
        <v>6</v>
      </c>
      <c r="G301" t="s">
        <v>431</v>
      </c>
      <c r="H301" t="s">
        <v>10</v>
      </c>
      <c r="I301">
        <v>4.3265210012434017E-2</v>
      </c>
      <c r="J301" t="s">
        <v>6</v>
      </c>
    </row>
    <row r="302" spans="2:10" x14ac:dyDescent="0.45">
      <c r="B302" t="s">
        <v>430</v>
      </c>
      <c r="C302" t="s">
        <v>11</v>
      </c>
      <c r="D302">
        <v>8.5069204553307715E-2</v>
      </c>
      <c r="E302" t="s">
        <v>6</v>
      </c>
      <c r="G302" t="s">
        <v>431</v>
      </c>
      <c r="H302" t="s">
        <v>11</v>
      </c>
      <c r="I302">
        <v>4.279388706374531E-2</v>
      </c>
      <c r="J302" t="s">
        <v>6</v>
      </c>
    </row>
    <row r="303" spans="2:10" x14ac:dyDescent="0.45">
      <c r="B303" t="s">
        <v>430</v>
      </c>
      <c r="C303" t="s">
        <v>12</v>
      </c>
      <c r="D303">
        <v>4.0162259583351199E-2</v>
      </c>
      <c r="E303" t="s">
        <v>6</v>
      </c>
      <c r="G303" t="s">
        <v>431</v>
      </c>
      <c r="H303" t="s">
        <v>12</v>
      </c>
      <c r="I303">
        <v>4.2065222467094342E-2</v>
      </c>
      <c r="J303" t="s">
        <v>6</v>
      </c>
    </row>
    <row r="304" spans="2:10" x14ac:dyDescent="0.45">
      <c r="B304" t="s">
        <v>430</v>
      </c>
      <c r="C304" t="s">
        <v>13</v>
      </c>
      <c r="D304">
        <v>5.3287198712364788E-4</v>
      </c>
      <c r="E304" t="s">
        <v>6</v>
      </c>
      <c r="G304" t="s">
        <v>431</v>
      </c>
      <c r="H304" t="s">
        <v>13</v>
      </c>
      <c r="I304">
        <v>4.3936058975103894E-2</v>
      </c>
      <c r="J304" t="s">
        <v>6</v>
      </c>
    </row>
    <row r="305" spans="2:10" x14ac:dyDescent="0.45">
      <c r="B305" t="s">
        <v>430</v>
      </c>
      <c r="C305" t="s">
        <v>14</v>
      </c>
      <c r="D305">
        <v>0</v>
      </c>
      <c r="E305" t="s">
        <v>6</v>
      </c>
      <c r="G305" t="s">
        <v>431</v>
      </c>
      <c r="H305" t="s">
        <v>14</v>
      </c>
      <c r="I305">
        <v>7.387549471404567E-2</v>
      </c>
      <c r="J305" t="s">
        <v>6</v>
      </c>
    </row>
    <row r="306" spans="2:10" x14ac:dyDescent="0.45">
      <c r="B306" t="s">
        <v>430</v>
      </c>
      <c r="C306" t="s">
        <v>15</v>
      </c>
      <c r="D306">
        <v>1.2158665237599269E-2</v>
      </c>
      <c r="E306" t="s">
        <v>6</v>
      </c>
      <c r="G306" t="s">
        <v>431</v>
      </c>
      <c r="H306" t="s">
        <v>15</v>
      </c>
      <c r="I306">
        <v>3.7596705950089036E-2</v>
      </c>
      <c r="J306" t="s">
        <v>6</v>
      </c>
    </row>
    <row r="307" spans="2:10" x14ac:dyDescent="0.45">
      <c r="B307" t="s">
        <v>430</v>
      </c>
      <c r="C307" t="s">
        <v>16</v>
      </c>
      <c r="D307">
        <v>8.1677221562970623E-2</v>
      </c>
      <c r="E307" t="s">
        <v>6</v>
      </c>
      <c r="G307" t="s">
        <v>431</v>
      </c>
      <c r="H307" t="s">
        <v>16</v>
      </c>
      <c r="I307">
        <v>2.5416163254615917E-2</v>
      </c>
      <c r="J307" t="s">
        <v>6</v>
      </c>
    </row>
    <row r="308" spans="2:10" x14ac:dyDescent="0.45">
      <c r="B308" t="s">
        <v>430</v>
      </c>
      <c r="C308" t="s">
        <v>17</v>
      </c>
      <c r="D308">
        <v>0.11519272365825051</v>
      </c>
      <c r="E308" t="s">
        <v>6</v>
      </c>
      <c r="G308" t="s">
        <v>431</v>
      </c>
      <c r="H308" t="s">
        <v>17</v>
      </c>
      <c r="I308">
        <v>2.5743272413694472E-2</v>
      </c>
      <c r="J308" t="s">
        <v>6</v>
      </c>
    </row>
    <row r="309" spans="2:10" x14ac:dyDescent="0.45">
      <c r="B309" t="s">
        <v>430</v>
      </c>
      <c r="C309" t="s">
        <v>18</v>
      </c>
      <c r="D309">
        <v>7.2486685257989694E-2</v>
      </c>
      <c r="E309" t="s">
        <v>6</v>
      </c>
      <c r="G309" t="s">
        <v>431</v>
      </c>
      <c r="H309" t="s">
        <v>18</v>
      </c>
      <c r="I309">
        <v>2.8556364009481049E-2</v>
      </c>
      <c r="J309" t="s">
        <v>6</v>
      </c>
    </row>
    <row r="310" spans="2:10" x14ac:dyDescent="0.45">
      <c r="B310" t="s">
        <v>430</v>
      </c>
      <c r="C310" t="s">
        <v>19</v>
      </c>
      <c r="D310">
        <v>8.8405466120218545E-3</v>
      </c>
      <c r="E310" t="s">
        <v>6</v>
      </c>
      <c r="G310" t="s">
        <v>431</v>
      </c>
      <c r="H310" t="s">
        <v>19</v>
      </c>
      <c r="I310">
        <v>2.8146947483625312E-2</v>
      </c>
      <c r="J310" t="s">
        <v>6</v>
      </c>
    </row>
    <row r="311" spans="2:10" x14ac:dyDescent="0.45">
      <c r="B311" t="s">
        <v>430</v>
      </c>
      <c r="C311" t="s">
        <v>20</v>
      </c>
      <c r="D311">
        <v>0</v>
      </c>
      <c r="E311" t="s">
        <v>6</v>
      </c>
      <c r="G311" t="s">
        <v>431</v>
      </c>
      <c r="H311" t="s">
        <v>20</v>
      </c>
      <c r="I311">
        <v>5.1189290053980492E-2</v>
      </c>
      <c r="J311" t="s">
        <v>6</v>
      </c>
    </row>
    <row r="312" spans="2:10" x14ac:dyDescent="0.45">
      <c r="B312" t="s">
        <v>430</v>
      </c>
      <c r="C312" t="s">
        <v>21</v>
      </c>
      <c r="D312">
        <v>1.9672477638998199E-2</v>
      </c>
      <c r="E312" t="s">
        <v>6</v>
      </c>
      <c r="G312" t="s">
        <v>431</v>
      </c>
      <c r="H312" t="s">
        <v>21</v>
      </c>
      <c r="I312">
        <v>2.1618818703507906E-2</v>
      </c>
      <c r="J312" t="s">
        <v>6</v>
      </c>
    </row>
    <row r="313" spans="2:10" x14ac:dyDescent="0.45">
      <c r="B313" t="s">
        <v>430</v>
      </c>
      <c r="C313" t="s">
        <v>22</v>
      </c>
      <c r="D313">
        <v>9.8083939081561142E-2</v>
      </c>
      <c r="E313" t="s">
        <v>6</v>
      </c>
      <c r="G313" t="s">
        <v>431</v>
      </c>
      <c r="H313" t="s">
        <v>22</v>
      </c>
      <c r="I313">
        <v>1.5976526080070497E-2</v>
      </c>
      <c r="J313" t="s">
        <v>6</v>
      </c>
    </row>
    <row r="314" spans="2:10" x14ac:dyDescent="0.45">
      <c r="B314" t="s">
        <v>430</v>
      </c>
      <c r="C314" t="s">
        <v>23</v>
      </c>
      <c r="D314">
        <v>0.12819839778495898</v>
      </c>
      <c r="E314" t="s">
        <v>6</v>
      </c>
      <c r="G314" t="s">
        <v>431</v>
      </c>
      <c r="H314" t="s">
        <v>23</v>
      </c>
      <c r="I314">
        <v>1.750561004789615E-2</v>
      </c>
      <c r="J314" t="s">
        <v>6</v>
      </c>
    </row>
    <row r="315" spans="2:10" x14ac:dyDescent="0.45">
      <c r="B315" t="s">
        <v>430</v>
      </c>
      <c r="C315" t="s">
        <v>24</v>
      </c>
      <c r="D315">
        <v>8.8907702138845829E-2</v>
      </c>
      <c r="E315" t="s">
        <v>6</v>
      </c>
      <c r="G315" t="s">
        <v>431</v>
      </c>
      <c r="H315" t="s">
        <v>24</v>
      </c>
      <c r="I315">
        <v>1.8891295212235874E-2</v>
      </c>
      <c r="J315" t="s">
        <v>6</v>
      </c>
    </row>
    <row r="316" spans="2:10" x14ac:dyDescent="0.45">
      <c r="B316" t="s">
        <v>430</v>
      </c>
      <c r="C316" t="s">
        <v>25</v>
      </c>
      <c r="D316">
        <v>1.6715970930559459E-2</v>
      </c>
      <c r="E316" t="s">
        <v>6</v>
      </c>
      <c r="G316" t="s">
        <v>431</v>
      </c>
      <c r="H316" t="s">
        <v>25</v>
      </c>
      <c r="I316">
        <v>1.8683824176555598E-2</v>
      </c>
      <c r="J316" t="s">
        <v>6</v>
      </c>
    </row>
    <row r="317" spans="2:10" x14ac:dyDescent="0.45">
      <c r="B317" t="s">
        <v>430</v>
      </c>
      <c r="C317" t="s">
        <v>26</v>
      </c>
      <c r="D317">
        <v>0</v>
      </c>
      <c r="E317" t="s">
        <v>6</v>
      </c>
      <c r="G317" t="s">
        <v>431</v>
      </c>
      <c r="H317" t="s">
        <v>26</v>
      </c>
      <c r="I317">
        <v>0.10040661095100274</v>
      </c>
      <c r="J317" t="s">
        <v>6</v>
      </c>
    </row>
    <row r="318" spans="2:10" x14ac:dyDescent="0.45">
      <c r="B318" t="s">
        <v>430</v>
      </c>
      <c r="C318" t="s">
        <v>27</v>
      </c>
      <c r="D318">
        <v>3.8185757149886215E-3</v>
      </c>
      <c r="E318" t="s">
        <v>6</v>
      </c>
      <c r="G318" t="s">
        <v>431</v>
      </c>
      <c r="H318" t="s">
        <v>27</v>
      </c>
      <c r="I318">
        <v>5.2766112051397834E-2</v>
      </c>
      <c r="J318" t="s">
        <v>6</v>
      </c>
    </row>
    <row r="319" spans="2:10" x14ac:dyDescent="0.45">
      <c r="B319" t="s">
        <v>430</v>
      </c>
      <c r="C319" t="s">
        <v>28</v>
      </c>
      <c r="D319">
        <v>5.3518567639939708E-2</v>
      </c>
      <c r="E319" t="s">
        <v>6</v>
      </c>
      <c r="G319" t="s">
        <v>431</v>
      </c>
      <c r="H319" t="s">
        <v>28</v>
      </c>
      <c r="I319">
        <v>3.5431397563807338E-2</v>
      </c>
      <c r="J319" t="s">
        <v>6</v>
      </c>
    </row>
    <row r="320" spans="2:10" x14ac:dyDescent="0.45">
      <c r="B320" t="s">
        <v>430</v>
      </c>
      <c r="C320" t="s">
        <v>29</v>
      </c>
      <c r="D320">
        <v>8.7613693280726143E-2</v>
      </c>
      <c r="E320" t="s">
        <v>6</v>
      </c>
      <c r="G320" t="s">
        <v>431</v>
      </c>
      <c r="H320" t="s">
        <v>29</v>
      </c>
      <c r="I320">
        <v>3.2672087177297728E-2</v>
      </c>
      <c r="J320" t="s">
        <v>6</v>
      </c>
    </row>
    <row r="321" spans="2:10" x14ac:dyDescent="0.45">
      <c r="B321" t="s">
        <v>430</v>
      </c>
      <c r="C321" t="s">
        <v>30</v>
      </c>
      <c r="D321">
        <v>4.6621058984481968E-2</v>
      </c>
      <c r="E321" t="s">
        <v>6</v>
      </c>
      <c r="G321" t="s">
        <v>431</v>
      </c>
      <c r="H321" t="s">
        <v>30</v>
      </c>
      <c r="I321">
        <v>3.3353441031649417E-2</v>
      </c>
      <c r="J321" t="s">
        <v>6</v>
      </c>
    </row>
    <row r="322" spans="2:10" x14ac:dyDescent="0.45">
      <c r="B322" t="s">
        <v>430</v>
      </c>
      <c r="C322" t="s">
        <v>31</v>
      </c>
      <c r="D322">
        <v>1.8657545189649986E-3</v>
      </c>
      <c r="E322" t="s">
        <v>6</v>
      </c>
      <c r="G322" t="s">
        <v>431</v>
      </c>
      <c r="H322" t="s">
        <v>31</v>
      </c>
      <c r="I322">
        <v>3.6302904185014667E-2</v>
      </c>
      <c r="J322" t="s">
        <v>6</v>
      </c>
    </row>
    <row r="323" spans="2:10" x14ac:dyDescent="0.45">
      <c r="B323" t="s">
        <v>432</v>
      </c>
      <c r="C323" t="s">
        <v>5</v>
      </c>
      <c r="D323">
        <v>0</v>
      </c>
      <c r="E323" t="s">
        <v>6</v>
      </c>
      <c r="G323" t="s">
        <v>433</v>
      </c>
      <c r="H323" t="s">
        <v>5</v>
      </c>
      <c r="I323">
        <v>0.11643056270589169</v>
      </c>
      <c r="J323" t="s">
        <v>6</v>
      </c>
    </row>
    <row r="324" spans="2:10" x14ac:dyDescent="0.45">
      <c r="B324" t="s">
        <v>432</v>
      </c>
      <c r="C324" t="s">
        <v>9</v>
      </c>
      <c r="D324">
        <v>9.2320824993971152E-5</v>
      </c>
      <c r="E324" t="s">
        <v>6</v>
      </c>
      <c r="G324" t="s">
        <v>433</v>
      </c>
      <c r="H324" t="s">
        <v>9</v>
      </c>
      <c r="I324">
        <v>5.8304550519834658E-2</v>
      </c>
      <c r="J324" t="s">
        <v>6</v>
      </c>
    </row>
    <row r="325" spans="2:10" x14ac:dyDescent="0.45">
      <c r="B325" t="s">
        <v>432</v>
      </c>
      <c r="C325" t="s">
        <v>10</v>
      </c>
      <c r="D325">
        <v>3.2692918765602479E-2</v>
      </c>
      <c r="E325" t="s">
        <v>6</v>
      </c>
      <c r="G325" t="s">
        <v>433</v>
      </c>
      <c r="H325" t="s">
        <v>10</v>
      </c>
      <c r="I325">
        <v>4.0442072705952743E-2</v>
      </c>
      <c r="J325" t="s">
        <v>6</v>
      </c>
    </row>
    <row r="326" spans="2:10" x14ac:dyDescent="0.45">
      <c r="B326" t="s">
        <v>432</v>
      </c>
      <c r="C326" t="s">
        <v>11</v>
      </c>
      <c r="D326">
        <v>6.8439883237344665E-2</v>
      </c>
      <c r="E326" t="s">
        <v>6</v>
      </c>
      <c r="G326" t="s">
        <v>433</v>
      </c>
      <c r="H326" t="s">
        <v>11</v>
      </c>
      <c r="I326">
        <v>3.7475856716856916E-2</v>
      </c>
      <c r="J326" t="s">
        <v>6</v>
      </c>
    </row>
    <row r="327" spans="2:10" x14ac:dyDescent="0.45">
      <c r="B327" t="s">
        <v>432</v>
      </c>
      <c r="C327" t="s">
        <v>12</v>
      </c>
      <c r="D327">
        <v>3.0166854827614518E-2</v>
      </c>
      <c r="E327" t="s">
        <v>6</v>
      </c>
      <c r="G327" t="s">
        <v>433</v>
      </c>
      <c r="H327" t="s">
        <v>12</v>
      </c>
      <c r="I327">
        <v>3.9200496625072384E-2</v>
      </c>
      <c r="J327" t="s">
        <v>6</v>
      </c>
    </row>
    <row r="328" spans="2:10" x14ac:dyDescent="0.45">
      <c r="B328" t="s">
        <v>432</v>
      </c>
      <c r="C328" t="s">
        <v>13</v>
      </c>
      <c r="D328">
        <v>1.9468851420725494E-4</v>
      </c>
      <c r="E328" t="s">
        <v>6</v>
      </c>
      <c r="G328" t="s">
        <v>433</v>
      </c>
      <c r="H328" t="s">
        <v>13</v>
      </c>
      <c r="I328">
        <v>4.2788185169520883E-2</v>
      </c>
      <c r="J328" t="s">
        <v>6</v>
      </c>
    </row>
    <row r="329" spans="2:10" x14ac:dyDescent="0.45">
      <c r="B329" t="s">
        <v>432</v>
      </c>
      <c r="C329" t="s">
        <v>14</v>
      </c>
      <c r="D329">
        <v>0</v>
      </c>
      <c r="E329" t="s">
        <v>6</v>
      </c>
      <c r="G329" t="s">
        <v>433</v>
      </c>
      <c r="H329" t="s">
        <v>14</v>
      </c>
      <c r="I329">
        <v>8.0809198429509302E-2</v>
      </c>
      <c r="J329" t="s">
        <v>6</v>
      </c>
    </row>
    <row r="330" spans="2:10" x14ac:dyDescent="0.45">
      <c r="B330" t="s">
        <v>432</v>
      </c>
      <c r="C330" t="s">
        <v>15</v>
      </c>
      <c r="D330">
        <v>1.4184282652837346E-2</v>
      </c>
      <c r="E330" t="s">
        <v>6</v>
      </c>
      <c r="G330" t="s">
        <v>433</v>
      </c>
      <c r="H330" t="s">
        <v>15</v>
      </c>
      <c r="I330">
        <v>3.915041143532548E-2</v>
      </c>
      <c r="J330" t="s">
        <v>6</v>
      </c>
    </row>
    <row r="331" spans="2:10" x14ac:dyDescent="0.45">
      <c r="B331" t="s">
        <v>432</v>
      </c>
      <c r="C331" t="s">
        <v>16</v>
      </c>
      <c r="D331">
        <v>8.8402106727058338E-2</v>
      </c>
      <c r="E331" t="s">
        <v>6</v>
      </c>
      <c r="G331" t="s">
        <v>433</v>
      </c>
      <c r="H331" t="s">
        <v>16</v>
      </c>
      <c r="I331">
        <v>2.6622677503442643E-2</v>
      </c>
      <c r="J331" t="s">
        <v>6</v>
      </c>
    </row>
    <row r="332" spans="2:10" x14ac:dyDescent="0.45">
      <c r="B332" t="s">
        <v>432</v>
      </c>
      <c r="C332" t="s">
        <v>17</v>
      </c>
      <c r="D332">
        <v>0.11930828206248822</v>
      </c>
      <c r="E332" t="s">
        <v>6</v>
      </c>
      <c r="G332" t="s">
        <v>433</v>
      </c>
      <c r="H332" t="s">
        <v>17</v>
      </c>
      <c r="I332">
        <v>2.5818595798023401E-2</v>
      </c>
      <c r="J332" t="s">
        <v>6</v>
      </c>
    </row>
    <row r="333" spans="2:10" x14ac:dyDescent="0.45">
      <c r="B333" t="s">
        <v>432</v>
      </c>
      <c r="C333" t="s">
        <v>18</v>
      </c>
      <c r="D333">
        <v>7.5179478675767242E-2</v>
      </c>
      <c r="E333" t="s">
        <v>6</v>
      </c>
      <c r="G333" t="s">
        <v>433</v>
      </c>
      <c r="H333" t="s">
        <v>18</v>
      </c>
      <c r="I333">
        <v>2.8204694287378106E-2</v>
      </c>
      <c r="J333" t="s">
        <v>6</v>
      </c>
    </row>
    <row r="334" spans="2:10" x14ac:dyDescent="0.45">
      <c r="B334" t="s">
        <v>432</v>
      </c>
      <c r="C334" t="s">
        <v>19</v>
      </c>
      <c r="D334">
        <v>8.8923195524919611E-3</v>
      </c>
      <c r="E334" t="s">
        <v>6</v>
      </c>
      <c r="G334" t="s">
        <v>433</v>
      </c>
      <c r="H334" t="s">
        <v>19</v>
      </c>
      <c r="I334">
        <v>2.9496162284330069E-2</v>
      </c>
      <c r="J334" t="s">
        <v>6</v>
      </c>
    </row>
    <row r="335" spans="2:10" x14ac:dyDescent="0.45">
      <c r="B335" t="s">
        <v>432</v>
      </c>
      <c r="C335" t="s">
        <v>20</v>
      </c>
      <c r="D335">
        <v>0</v>
      </c>
      <c r="E335" t="s">
        <v>6</v>
      </c>
      <c r="G335" t="s">
        <v>433</v>
      </c>
      <c r="H335" t="s">
        <v>20</v>
      </c>
      <c r="I335">
        <v>5.6559277088956396E-2</v>
      </c>
      <c r="J335" t="s">
        <v>6</v>
      </c>
    </row>
    <row r="336" spans="2:10" x14ac:dyDescent="0.45">
      <c r="B336" t="s">
        <v>432</v>
      </c>
      <c r="C336" t="s">
        <v>21</v>
      </c>
      <c r="D336">
        <v>2.4025144608357009E-2</v>
      </c>
      <c r="E336" t="s">
        <v>6</v>
      </c>
      <c r="G336" t="s">
        <v>433</v>
      </c>
      <c r="H336" t="s">
        <v>21</v>
      </c>
      <c r="I336">
        <v>2.4145041089042748E-2</v>
      </c>
      <c r="J336" t="s">
        <v>6</v>
      </c>
    </row>
    <row r="337" spans="2:10" x14ac:dyDescent="0.45">
      <c r="B337" t="s">
        <v>432</v>
      </c>
      <c r="C337" t="s">
        <v>22</v>
      </c>
      <c r="D337">
        <v>0.10814152984259288</v>
      </c>
      <c r="E337" t="s">
        <v>6</v>
      </c>
      <c r="G337" t="s">
        <v>433</v>
      </c>
      <c r="H337" t="s">
        <v>22</v>
      </c>
      <c r="I337">
        <v>1.6172617468437275E-2</v>
      </c>
      <c r="J337" t="s">
        <v>6</v>
      </c>
    </row>
    <row r="338" spans="2:10" x14ac:dyDescent="0.45">
      <c r="B338" t="s">
        <v>432</v>
      </c>
      <c r="C338" t="s">
        <v>23</v>
      </c>
      <c r="D338">
        <v>0.13536245318798948</v>
      </c>
      <c r="E338" t="s">
        <v>6</v>
      </c>
      <c r="G338" t="s">
        <v>433</v>
      </c>
      <c r="H338" t="s">
        <v>23</v>
      </c>
      <c r="I338">
        <v>1.7177464272158393E-2</v>
      </c>
      <c r="J338" t="s">
        <v>6</v>
      </c>
    </row>
    <row r="339" spans="2:10" x14ac:dyDescent="0.45">
      <c r="B339" t="s">
        <v>432</v>
      </c>
      <c r="C339" t="s">
        <v>24</v>
      </c>
      <c r="D339">
        <v>9.2121991046665574E-2</v>
      </c>
      <c r="E339" t="s">
        <v>6</v>
      </c>
      <c r="G339" t="s">
        <v>433</v>
      </c>
      <c r="H339" t="s">
        <v>24</v>
      </c>
      <c r="I339">
        <v>1.9304050283988041E-2</v>
      </c>
      <c r="J339" t="s">
        <v>6</v>
      </c>
    </row>
    <row r="340" spans="2:10" x14ac:dyDescent="0.45">
      <c r="B340" t="s">
        <v>432</v>
      </c>
      <c r="C340" t="s">
        <v>25</v>
      </c>
      <c r="D340">
        <v>1.7486917250314465E-2</v>
      </c>
      <c r="E340" t="s">
        <v>6</v>
      </c>
      <c r="G340" t="s">
        <v>433</v>
      </c>
      <c r="H340" t="s">
        <v>25</v>
      </c>
      <c r="I340">
        <v>1.7659055322407899E-2</v>
      </c>
      <c r="J340" t="s">
        <v>6</v>
      </c>
    </row>
    <row r="341" spans="2:10" x14ac:dyDescent="0.45">
      <c r="B341" t="s">
        <v>432</v>
      </c>
      <c r="C341" t="s">
        <v>26</v>
      </c>
      <c r="D341">
        <v>0</v>
      </c>
      <c r="E341" t="s">
        <v>6</v>
      </c>
      <c r="G341" t="s">
        <v>433</v>
      </c>
      <c r="H341" t="s">
        <v>26</v>
      </c>
      <c r="I341">
        <v>0.10279288807044271</v>
      </c>
      <c r="J341" t="s">
        <v>6</v>
      </c>
    </row>
    <row r="342" spans="2:10" x14ac:dyDescent="0.45">
      <c r="B342" t="s">
        <v>432</v>
      </c>
      <c r="C342" t="s">
        <v>27</v>
      </c>
      <c r="D342">
        <v>4.1007498659466164E-3</v>
      </c>
      <c r="E342" t="s">
        <v>6</v>
      </c>
      <c r="G342" t="s">
        <v>433</v>
      </c>
      <c r="H342" t="s">
        <v>27</v>
      </c>
      <c r="I342">
        <v>4.839455938327919E-2</v>
      </c>
      <c r="J342" t="s">
        <v>6</v>
      </c>
    </row>
    <row r="343" spans="2:10" x14ac:dyDescent="0.45">
      <c r="B343" t="s">
        <v>432</v>
      </c>
      <c r="C343" t="s">
        <v>28</v>
      </c>
      <c r="D343">
        <v>5.2322001623883459E-2</v>
      </c>
      <c r="E343" t="s">
        <v>6</v>
      </c>
      <c r="G343" t="s">
        <v>433</v>
      </c>
      <c r="H343" t="s">
        <v>28</v>
      </c>
      <c r="I343">
        <v>3.2399138919256158E-2</v>
      </c>
      <c r="J343" t="s">
        <v>6</v>
      </c>
    </row>
    <row r="344" spans="2:10" x14ac:dyDescent="0.45">
      <c r="B344" t="s">
        <v>432</v>
      </c>
      <c r="C344" t="s">
        <v>29</v>
      </c>
      <c r="D344">
        <v>8.3850088209701842E-2</v>
      </c>
      <c r="E344" t="s">
        <v>6</v>
      </c>
      <c r="G344" t="s">
        <v>433</v>
      </c>
      <c r="H344" t="s">
        <v>29</v>
      </c>
      <c r="I344">
        <v>3.1744050925920766E-2</v>
      </c>
      <c r="J344" t="s">
        <v>6</v>
      </c>
    </row>
    <row r="345" spans="2:10" x14ac:dyDescent="0.45">
      <c r="B345" t="s">
        <v>432</v>
      </c>
      <c r="C345" t="s">
        <v>30</v>
      </c>
      <c r="D345">
        <v>4.3351044863363442E-2</v>
      </c>
      <c r="E345" t="s">
        <v>6</v>
      </c>
      <c r="G345" t="s">
        <v>433</v>
      </c>
      <c r="H345" t="s">
        <v>30</v>
      </c>
      <c r="I345">
        <v>3.3340550277596984E-2</v>
      </c>
      <c r="J345" t="s">
        <v>6</v>
      </c>
    </row>
    <row r="346" spans="2:10" x14ac:dyDescent="0.45">
      <c r="B346" t="s">
        <v>432</v>
      </c>
      <c r="C346" t="s">
        <v>31</v>
      </c>
      <c r="D346">
        <v>1.6849436607798893E-3</v>
      </c>
      <c r="E346" t="s">
        <v>6</v>
      </c>
      <c r="G346" t="s">
        <v>433</v>
      </c>
      <c r="H346" t="s">
        <v>31</v>
      </c>
      <c r="I346">
        <v>3.5567842717374114E-2</v>
      </c>
      <c r="J346" t="s">
        <v>6</v>
      </c>
    </row>
    <row r="347" spans="2:10" x14ac:dyDescent="0.45">
      <c r="B347" t="s">
        <v>434</v>
      </c>
      <c r="C347" t="s">
        <v>5</v>
      </c>
      <c r="D347">
        <v>0</v>
      </c>
      <c r="E347" t="s">
        <v>6</v>
      </c>
      <c r="G347" t="s">
        <v>435</v>
      </c>
      <c r="H347" t="s">
        <v>5</v>
      </c>
      <c r="I347">
        <v>0.11321122063498355</v>
      </c>
      <c r="J347" t="s">
        <v>6</v>
      </c>
    </row>
    <row r="348" spans="2:10" x14ac:dyDescent="0.45">
      <c r="B348" t="s">
        <v>434</v>
      </c>
      <c r="C348" t="s">
        <v>9</v>
      </c>
      <c r="D348">
        <v>2.7135835229626917E-4</v>
      </c>
      <c r="E348" t="s">
        <v>6</v>
      </c>
      <c r="G348" t="s">
        <v>435</v>
      </c>
      <c r="H348" t="s">
        <v>9</v>
      </c>
      <c r="I348">
        <v>5.7440932653195172E-2</v>
      </c>
      <c r="J348" t="s">
        <v>6</v>
      </c>
    </row>
    <row r="349" spans="2:10" x14ac:dyDescent="0.45">
      <c r="B349" t="s">
        <v>434</v>
      </c>
      <c r="C349" t="s">
        <v>10</v>
      </c>
      <c r="D349">
        <v>3.4490906145413308E-2</v>
      </c>
      <c r="E349" t="s">
        <v>6</v>
      </c>
      <c r="G349" t="s">
        <v>435</v>
      </c>
      <c r="H349" t="s">
        <v>10</v>
      </c>
      <c r="I349">
        <v>4.1551317083988626E-2</v>
      </c>
      <c r="J349" t="s">
        <v>6</v>
      </c>
    </row>
    <row r="350" spans="2:10" x14ac:dyDescent="0.45">
      <c r="B350" t="s">
        <v>434</v>
      </c>
      <c r="C350" t="s">
        <v>11</v>
      </c>
      <c r="D350">
        <v>6.5910574612611184E-2</v>
      </c>
      <c r="E350" t="s">
        <v>6</v>
      </c>
      <c r="G350" t="s">
        <v>435</v>
      </c>
      <c r="H350" t="s">
        <v>11</v>
      </c>
      <c r="I350">
        <v>3.8785485483178776E-2</v>
      </c>
      <c r="J350" t="s">
        <v>6</v>
      </c>
    </row>
    <row r="351" spans="2:10" x14ac:dyDescent="0.45">
      <c r="B351" t="s">
        <v>434</v>
      </c>
      <c r="C351" t="s">
        <v>12</v>
      </c>
      <c r="D351">
        <v>2.6056720732545374E-2</v>
      </c>
      <c r="E351" t="s">
        <v>6</v>
      </c>
      <c r="G351" t="s">
        <v>435</v>
      </c>
      <c r="H351" t="s">
        <v>12</v>
      </c>
      <c r="I351">
        <v>3.8955562741999149E-2</v>
      </c>
      <c r="J351" t="s">
        <v>6</v>
      </c>
    </row>
    <row r="352" spans="2:10" x14ac:dyDescent="0.45">
      <c r="B352" t="s">
        <v>434</v>
      </c>
      <c r="C352" t="s">
        <v>13</v>
      </c>
      <c r="D352">
        <v>1.01026357333088E-4</v>
      </c>
      <c r="E352" t="s">
        <v>6</v>
      </c>
      <c r="G352" t="s">
        <v>435</v>
      </c>
      <c r="H352" t="s">
        <v>13</v>
      </c>
      <c r="I352">
        <v>4.1758164497054232E-2</v>
      </c>
      <c r="J352" t="s">
        <v>6</v>
      </c>
    </row>
    <row r="353" spans="2:10" x14ac:dyDescent="0.45">
      <c r="B353" t="s">
        <v>434</v>
      </c>
      <c r="C353" t="s">
        <v>14</v>
      </c>
      <c r="D353">
        <v>0</v>
      </c>
      <c r="E353" t="s">
        <v>6</v>
      </c>
      <c r="G353" t="s">
        <v>435</v>
      </c>
      <c r="H353" t="s">
        <v>14</v>
      </c>
      <c r="I353">
        <v>8.1980601302288819E-2</v>
      </c>
      <c r="J353" t="s">
        <v>6</v>
      </c>
    </row>
    <row r="354" spans="2:10" x14ac:dyDescent="0.45">
      <c r="B354" t="s">
        <v>434</v>
      </c>
      <c r="C354" t="s">
        <v>15</v>
      </c>
      <c r="D354">
        <v>1.7241968203469033E-2</v>
      </c>
      <c r="E354" t="s">
        <v>6</v>
      </c>
      <c r="G354" t="s">
        <v>435</v>
      </c>
      <c r="H354" t="s">
        <v>15</v>
      </c>
      <c r="I354">
        <v>3.9670532882587338E-2</v>
      </c>
      <c r="J354" t="s">
        <v>6</v>
      </c>
    </row>
    <row r="355" spans="2:10" x14ac:dyDescent="0.45">
      <c r="B355" t="s">
        <v>434</v>
      </c>
      <c r="C355" t="s">
        <v>16</v>
      </c>
      <c r="D355">
        <v>9.1828251557003332E-2</v>
      </c>
      <c r="E355" t="s">
        <v>6</v>
      </c>
      <c r="G355" t="s">
        <v>435</v>
      </c>
      <c r="H355" t="s">
        <v>16</v>
      </c>
      <c r="I355">
        <v>2.7403061738974978E-2</v>
      </c>
      <c r="J355" t="s">
        <v>6</v>
      </c>
    </row>
    <row r="356" spans="2:10" x14ac:dyDescent="0.45">
      <c r="B356" t="s">
        <v>434</v>
      </c>
      <c r="C356" t="s">
        <v>17</v>
      </c>
      <c r="D356">
        <v>0.12008558248408843</v>
      </c>
      <c r="E356" t="s">
        <v>6</v>
      </c>
      <c r="G356" t="s">
        <v>435</v>
      </c>
      <c r="H356" t="s">
        <v>17</v>
      </c>
      <c r="I356">
        <v>2.7088502240464003E-2</v>
      </c>
      <c r="J356" t="s">
        <v>6</v>
      </c>
    </row>
    <row r="357" spans="2:10" x14ac:dyDescent="0.45">
      <c r="B357" t="s">
        <v>434</v>
      </c>
      <c r="C357" t="s">
        <v>18</v>
      </c>
      <c r="D357">
        <v>7.1111358993424148E-2</v>
      </c>
      <c r="E357" t="s">
        <v>6</v>
      </c>
      <c r="G357" t="s">
        <v>435</v>
      </c>
      <c r="H357" t="s">
        <v>18</v>
      </c>
      <c r="I357">
        <v>2.8487506713338474E-2</v>
      </c>
      <c r="J357" t="s">
        <v>6</v>
      </c>
    </row>
    <row r="358" spans="2:10" x14ac:dyDescent="0.45">
      <c r="B358" t="s">
        <v>434</v>
      </c>
      <c r="C358" t="s">
        <v>19</v>
      </c>
      <c r="D358">
        <v>7.0071392797210908E-3</v>
      </c>
      <c r="E358" t="s">
        <v>6</v>
      </c>
      <c r="G358" t="s">
        <v>435</v>
      </c>
      <c r="H358" t="s">
        <v>19</v>
      </c>
      <c r="I358">
        <v>2.8679247926702126E-2</v>
      </c>
      <c r="J358" t="s">
        <v>6</v>
      </c>
    </row>
    <row r="359" spans="2:10" x14ac:dyDescent="0.45">
      <c r="B359" t="s">
        <v>434</v>
      </c>
      <c r="C359" t="s">
        <v>20</v>
      </c>
      <c r="D359">
        <v>0</v>
      </c>
      <c r="E359" t="s">
        <v>6</v>
      </c>
      <c r="G359" t="s">
        <v>435</v>
      </c>
      <c r="H359" t="s">
        <v>20</v>
      </c>
      <c r="I359">
        <v>5.9419227034302559E-2</v>
      </c>
      <c r="J359" t="s">
        <v>6</v>
      </c>
    </row>
    <row r="360" spans="2:10" x14ac:dyDescent="0.45">
      <c r="B360" t="s">
        <v>434</v>
      </c>
      <c r="C360" t="s">
        <v>21</v>
      </c>
      <c r="D360">
        <v>2.6670260465221099E-2</v>
      </c>
      <c r="E360" t="s">
        <v>6</v>
      </c>
      <c r="G360" t="s">
        <v>435</v>
      </c>
      <c r="H360" t="s">
        <v>21</v>
      </c>
      <c r="I360">
        <v>2.5655741262803695E-2</v>
      </c>
      <c r="J360" t="s">
        <v>6</v>
      </c>
    </row>
    <row r="361" spans="2:10" x14ac:dyDescent="0.45">
      <c r="B361" t="s">
        <v>434</v>
      </c>
      <c r="C361" t="s">
        <v>22</v>
      </c>
      <c r="D361">
        <v>0.10915824776712883</v>
      </c>
      <c r="E361" t="s">
        <v>6</v>
      </c>
      <c r="G361" t="s">
        <v>435</v>
      </c>
      <c r="H361" t="s">
        <v>22</v>
      </c>
      <c r="I361">
        <v>1.7111802842072865E-2</v>
      </c>
      <c r="J361" t="s">
        <v>6</v>
      </c>
    </row>
    <row r="362" spans="2:10" x14ac:dyDescent="0.45">
      <c r="B362" t="s">
        <v>434</v>
      </c>
      <c r="C362" t="s">
        <v>23</v>
      </c>
      <c r="D362">
        <v>0.13461976910063295</v>
      </c>
      <c r="E362" t="s">
        <v>6</v>
      </c>
      <c r="G362" t="s">
        <v>435</v>
      </c>
      <c r="H362" t="s">
        <v>23</v>
      </c>
      <c r="I362">
        <v>2.0034654652103842E-2</v>
      </c>
      <c r="J362" t="s">
        <v>6</v>
      </c>
    </row>
    <row r="363" spans="2:10" x14ac:dyDescent="0.45">
      <c r="B363" t="s">
        <v>434</v>
      </c>
      <c r="C363" t="s">
        <v>24</v>
      </c>
      <c r="D363">
        <v>8.6653279213282697E-2</v>
      </c>
      <c r="E363" t="s">
        <v>6</v>
      </c>
      <c r="G363" t="s">
        <v>435</v>
      </c>
      <c r="H363" t="s">
        <v>24</v>
      </c>
      <c r="I363">
        <v>2.1365536563047714E-2</v>
      </c>
      <c r="J363" t="s">
        <v>6</v>
      </c>
    </row>
    <row r="364" spans="2:10" x14ac:dyDescent="0.45">
      <c r="B364" t="s">
        <v>434</v>
      </c>
      <c r="C364" t="s">
        <v>25</v>
      </c>
      <c r="D364">
        <v>1.3426804757300485E-2</v>
      </c>
      <c r="E364" t="s">
        <v>6</v>
      </c>
      <c r="G364" t="s">
        <v>435</v>
      </c>
      <c r="H364" t="s">
        <v>25</v>
      </c>
      <c r="I364">
        <v>1.9280966213758306E-2</v>
      </c>
      <c r="J364" t="s">
        <v>6</v>
      </c>
    </row>
    <row r="365" spans="2:10" x14ac:dyDescent="0.45">
      <c r="B365" t="s">
        <v>434</v>
      </c>
      <c r="C365" t="s">
        <v>26</v>
      </c>
      <c r="D365">
        <v>0</v>
      </c>
      <c r="E365" t="s">
        <v>6</v>
      </c>
      <c r="G365" t="s">
        <v>435</v>
      </c>
      <c r="H365" t="s">
        <v>26</v>
      </c>
      <c r="I365">
        <v>9.5687768237699158E-2</v>
      </c>
      <c r="J365" t="s">
        <v>6</v>
      </c>
    </row>
    <row r="366" spans="2:10" x14ac:dyDescent="0.45">
      <c r="B366" t="s">
        <v>434</v>
      </c>
      <c r="C366" t="s">
        <v>27</v>
      </c>
      <c r="D366">
        <v>5.871043447756269E-3</v>
      </c>
      <c r="E366" t="s">
        <v>6</v>
      </c>
      <c r="G366" t="s">
        <v>435</v>
      </c>
      <c r="H366" t="s">
        <v>27</v>
      </c>
      <c r="I366">
        <v>4.6527692222522954E-2</v>
      </c>
      <c r="J366" t="s">
        <v>6</v>
      </c>
    </row>
    <row r="367" spans="2:10" x14ac:dyDescent="0.45">
      <c r="B367" t="s">
        <v>434</v>
      </c>
      <c r="C367" t="s">
        <v>28</v>
      </c>
      <c r="D367">
        <v>6.0743237235827786E-2</v>
      </c>
      <c r="E367" t="s">
        <v>6</v>
      </c>
      <c r="G367" t="s">
        <v>435</v>
      </c>
      <c r="H367" t="s">
        <v>28</v>
      </c>
      <c r="I367">
        <v>3.1851359884692836E-2</v>
      </c>
      <c r="J367" t="s">
        <v>6</v>
      </c>
    </row>
    <row r="368" spans="2:10" x14ac:dyDescent="0.45">
      <c r="B368" t="s">
        <v>434</v>
      </c>
      <c r="C368" t="s">
        <v>29</v>
      </c>
      <c r="D368">
        <v>8.793722654478657E-2</v>
      </c>
      <c r="E368" t="s">
        <v>6</v>
      </c>
      <c r="G368" t="s">
        <v>435</v>
      </c>
      <c r="H368" t="s">
        <v>29</v>
      </c>
      <c r="I368">
        <v>3.185362903064469E-2</v>
      </c>
      <c r="J368" t="s">
        <v>6</v>
      </c>
    </row>
    <row r="369" spans="2:10" x14ac:dyDescent="0.45">
      <c r="B369" t="s">
        <v>434</v>
      </c>
      <c r="C369" t="s">
        <v>30</v>
      </c>
      <c r="D369">
        <v>3.9740751888461837E-2</v>
      </c>
      <c r="E369" t="s">
        <v>6</v>
      </c>
      <c r="G369" t="s">
        <v>435</v>
      </c>
      <c r="H369" t="s">
        <v>30</v>
      </c>
      <c r="I369">
        <v>3.2431477481517562E-2</v>
      </c>
      <c r="J369" t="s">
        <v>6</v>
      </c>
    </row>
    <row r="370" spans="2:10" x14ac:dyDescent="0.45">
      <c r="B370" t="s">
        <v>434</v>
      </c>
      <c r="C370" t="s">
        <v>31</v>
      </c>
      <c r="D370">
        <v>1.0744928616971314E-3</v>
      </c>
      <c r="E370" t="s">
        <v>6</v>
      </c>
      <c r="G370" t="s">
        <v>435</v>
      </c>
      <c r="H370" t="s">
        <v>31</v>
      </c>
      <c r="I370">
        <v>3.3768008676072991E-2</v>
      </c>
      <c r="J370" t="s">
        <v>6</v>
      </c>
    </row>
    <row r="371" spans="2:10" x14ac:dyDescent="0.45">
      <c r="B371" t="s">
        <v>436</v>
      </c>
      <c r="C371" t="s">
        <v>5</v>
      </c>
      <c r="D371">
        <v>0</v>
      </c>
      <c r="E371" t="s">
        <v>6</v>
      </c>
      <c r="G371" t="s">
        <v>437</v>
      </c>
      <c r="H371" t="s">
        <v>5</v>
      </c>
      <c r="I371">
        <v>0.10839964529321687</v>
      </c>
      <c r="J371" t="s">
        <v>6</v>
      </c>
    </row>
    <row r="372" spans="2:10" x14ac:dyDescent="0.45">
      <c r="B372" t="s">
        <v>436</v>
      </c>
      <c r="C372" t="s">
        <v>9</v>
      </c>
      <c r="D372">
        <v>2.7794507267915082E-4</v>
      </c>
      <c r="E372" t="s">
        <v>6</v>
      </c>
      <c r="G372" t="s">
        <v>437</v>
      </c>
      <c r="H372" t="s">
        <v>9</v>
      </c>
      <c r="I372">
        <v>5.5794892500382595E-2</v>
      </c>
      <c r="J372" t="s">
        <v>6</v>
      </c>
    </row>
    <row r="373" spans="2:10" x14ac:dyDescent="0.45">
      <c r="B373" t="s">
        <v>436</v>
      </c>
      <c r="C373" t="s">
        <v>10</v>
      </c>
      <c r="D373">
        <v>4.0351702709277522E-2</v>
      </c>
      <c r="E373" t="s">
        <v>6</v>
      </c>
      <c r="G373" t="s">
        <v>437</v>
      </c>
      <c r="H373" t="s">
        <v>10</v>
      </c>
      <c r="I373">
        <v>4.0935465079613272E-2</v>
      </c>
      <c r="J373" t="s">
        <v>6</v>
      </c>
    </row>
    <row r="374" spans="2:10" x14ac:dyDescent="0.45">
      <c r="B374" t="s">
        <v>436</v>
      </c>
      <c r="C374" t="s">
        <v>11</v>
      </c>
      <c r="D374">
        <v>7.9894840563978248E-2</v>
      </c>
      <c r="E374" t="s">
        <v>6</v>
      </c>
      <c r="G374" t="s">
        <v>437</v>
      </c>
      <c r="H374" t="s">
        <v>11</v>
      </c>
      <c r="I374">
        <v>3.9303095651844498E-2</v>
      </c>
      <c r="J374" t="s">
        <v>6</v>
      </c>
    </row>
    <row r="375" spans="2:10" x14ac:dyDescent="0.45">
      <c r="B375" t="s">
        <v>436</v>
      </c>
      <c r="C375" t="s">
        <v>12</v>
      </c>
      <c r="D375">
        <v>3.334949443684717E-2</v>
      </c>
      <c r="E375" t="s">
        <v>6</v>
      </c>
      <c r="G375" t="s">
        <v>437</v>
      </c>
      <c r="H375" t="s">
        <v>12</v>
      </c>
      <c r="I375">
        <v>3.9309493662191941E-2</v>
      </c>
      <c r="J375" t="s">
        <v>6</v>
      </c>
    </row>
    <row r="376" spans="2:10" x14ac:dyDescent="0.45">
      <c r="B376" t="s">
        <v>436</v>
      </c>
      <c r="C376" t="s">
        <v>13</v>
      </c>
      <c r="D376">
        <v>2.0484711440287685E-4</v>
      </c>
      <c r="E376" t="s">
        <v>6</v>
      </c>
      <c r="G376" t="s">
        <v>437</v>
      </c>
      <c r="H376" t="s">
        <v>13</v>
      </c>
      <c r="I376">
        <v>4.0597145075276404E-2</v>
      </c>
      <c r="J376" t="s">
        <v>6</v>
      </c>
    </row>
    <row r="377" spans="2:10" x14ac:dyDescent="0.45">
      <c r="B377" t="s">
        <v>436</v>
      </c>
      <c r="C377" t="s">
        <v>14</v>
      </c>
      <c r="D377">
        <v>0</v>
      </c>
      <c r="E377" t="s">
        <v>6</v>
      </c>
      <c r="G377" t="s">
        <v>437</v>
      </c>
      <c r="H377" t="s">
        <v>14</v>
      </c>
      <c r="I377">
        <v>8.1165884179018544E-2</v>
      </c>
      <c r="J377" t="s">
        <v>6</v>
      </c>
    </row>
    <row r="378" spans="2:10" x14ac:dyDescent="0.45">
      <c r="B378" t="s">
        <v>436</v>
      </c>
      <c r="C378" t="s">
        <v>15</v>
      </c>
      <c r="D378">
        <v>1.5581035236884687E-2</v>
      </c>
      <c r="E378" t="s">
        <v>6</v>
      </c>
      <c r="G378" t="s">
        <v>437</v>
      </c>
      <c r="H378" t="s">
        <v>15</v>
      </c>
      <c r="I378">
        <v>3.9152346073675404E-2</v>
      </c>
      <c r="J378" t="s">
        <v>6</v>
      </c>
    </row>
    <row r="379" spans="2:10" x14ac:dyDescent="0.45">
      <c r="B379" t="s">
        <v>436</v>
      </c>
      <c r="C379" t="s">
        <v>16</v>
      </c>
      <c r="D379">
        <v>8.9459685410191225E-2</v>
      </c>
      <c r="E379" t="s">
        <v>6</v>
      </c>
      <c r="G379" t="s">
        <v>437</v>
      </c>
      <c r="H379" t="s">
        <v>16</v>
      </c>
      <c r="I379">
        <v>2.6808959343592079E-2</v>
      </c>
      <c r="J379" t="s">
        <v>6</v>
      </c>
    </row>
    <row r="380" spans="2:10" x14ac:dyDescent="0.45">
      <c r="B380" t="s">
        <v>436</v>
      </c>
      <c r="C380" t="s">
        <v>17</v>
      </c>
      <c r="D380">
        <v>0.11951330626799997</v>
      </c>
      <c r="E380" t="s">
        <v>6</v>
      </c>
      <c r="G380" t="s">
        <v>437</v>
      </c>
      <c r="H380" t="s">
        <v>17</v>
      </c>
      <c r="I380">
        <v>2.7777353259859631E-2</v>
      </c>
      <c r="J380" t="s">
        <v>6</v>
      </c>
    </row>
    <row r="381" spans="2:10" x14ac:dyDescent="0.45">
      <c r="B381" t="s">
        <v>436</v>
      </c>
      <c r="C381" t="s">
        <v>18</v>
      </c>
      <c r="D381">
        <v>7.2152653196517577E-2</v>
      </c>
      <c r="E381" t="s">
        <v>6</v>
      </c>
      <c r="G381" t="s">
        <v>437</v>
      </c>
      <c r="H381" t="s">
        <v>18</v>
      </c>
      <c r="I381">
        <v>2.8660060412157032E-2</v>
      </c>
      <c r="J381" t="s">
        <v>6</v>
      </c>
    </row>
    <row r="382" spans="2:10" x14ac:dyDescent="0.45">
      <c r="B382" t="s">
        <v>436</v>
      </c>
      <c r="C382" t="s">
        <v>19</v>
      </c>
      <c r="D382">
        <v>7.4269697396778141E-3</v>
      </c>
      <c r="E382" t="s">
        <v>6</v>
      </c>
      <c r="G382" t="s">
        <v>437</v>
      </c>
      <c r="H382" t="s">
        <v>19</v>
      </c>
      <c r="I382">
        <v>2.8995217681305103E-2</v>
      </c>
      <c r="J382" t="s">
        <v>6</v>
      </c>
    </row>
    <row r="383" spans="2:10" x14ac:dyDescent="0.45">
      <c r="B383" t="s">
        <v>436</v>
      </c>
      <c r="C383" t="s">
        <v>20</v>
      </c>
      <c r="D383">
        <v>0</v>
      </c>
      <c r="E383" t="s">
        <v>6</v>
      </c>
      <c r="G383" t="s">
        <v>437</v>
      </c>
      <c r="H383" t="s">
        <v>20</v>
      </c>
      <c r="I383">
        <v>5.9938905747947052E-2</v>
      </c>
      <c r="J383" t="s">
        <v>6</v>
      </c>
    </row>
    <row r="384" spans="2:10" x14ac:dyDescent="0.45">
      <c r="B384" t="s">
        <v>436</v>
      </c>
      <c r="C384" t="s">
        <v>21</v>
      </c>
      <c r="D384">
        <v>2.347815211718653E-2</v>
      </c>
      <c r="E384" t="s">
        <v>6</v>
      </c>
      <c r="G384" t="s">
        <v>437</v>
      </c>
      <c r="H384" t="s">
        <v>21</v>
      </c>
      <c r="I384">
        <v>2.7614467783403162E-2</v>
      </c>
      <c r="J384" t="s">
        <v>6</v>
      </c>
    </row>
    <row r="385" spans="2:10" x14ac:dyDescent="0.45">
      <c r="B385" t="s">
        <v>436</v>
      </c>
      <c r="C385" t="s">
        <v>22</v>
      </c>
      <c r="D385">
        <v>0.10327161187582953</v>
      </c>
      <c r="E385" t="s">
        <v>6</v>
      </c>
      <c r="G385" t="s">
        <v>437</v>
      </c>
      <c r="H385" t="s">
        <v>22</v>
      </c>
      <c r="I385">
        <v>1.8864674421177834E-2</v>
      </c>
      <c r="J385" t="s">
        <v>6</v>
      </c>
    </row>
    <row r="386" spans="2:10" x14ac:dyDescent="0.45">
      <c r="B386" t="s">
        <v>436</v>
      </c>
      <c r="C386" t="s">
        <v>23</v>
      </c>
      <c r="D386">
        <v>0.12791090717082476</v>
      </c>
      <c r="E386" t="s">
        <v>6</v>
      </c>
      <c r="G386" t="s">
        <v>437</v>
      </c>
      <c r="H386" t="s">
        <v>23</v>
      </c>
      <c r="I386">
        <v>2.1395381721483715E-2</v>
      </c>
      <c r="J386" t="s">
        <v>6</v>
      </c>
    </row>
    <row r="387" spans="2:10" x14ac:dyDescent="0.45">
      <c r="B387" t="s">
        <v>436</v>
      </c>
      <c r="C387" t="s">
        <v>24</v>
      </c>
      <c r="D387">
        <v>8.3551890626280378E-2</v>
      </c>
      <c r="E387" t="s">
        <v>6</v>
      </c>
      <c r="G387" t="s">
        <v>437</v>
      </c>
      <c r="H387" t="s">
        <v>24</v>
      </c>
      <c r="I387">
        <v>2.1794710823239947E-2</v>
      </c>
      <c r="J387" t="s">
        <v>6</v>
      </c>
    </row>
    <row r="388" spans="2:10" x14ac:dyDescent="0.45">
      <c r="B388" t="s">
        <v>436</v>
      </c>
      <c r="C388" t="s">
        <v>25</v>
      </c>
      <c r="D388">
        <v>1.3622036614769153E-2</v>
      </c>
      <c r="E388" t="s">
        <v>6</v>
      </c>
      <c r="G388" t="s">
        <v>437</v>
      </c>
      <c r="H388" t="s">
        <v>25</v>
      </c>
      <c r="I388">
        <v>2.0138005450410747E-2</v>
      </c>
      <c r="J388" t="s">
        <v>6</v>
      </c>
    </row>
    <row r="389" spans="2:10" x14ac:dyDescent="0.45">
      <c r="B389" t="s">
        <v>436</v>
      </c>
      <c r="C389" t="s">
        <v>26</v>
      </c>
      <c r="D389">
        <v>0</v>
      </c>
      <c r="E389" t="s">
        <v>6</v>
      </c>
      <c r="G389" t="s">
        <v>437</v>
      </c>
      <c r="H389" t="s">
        <v>26</v>
      </c>
      <c r="I389">
        <v>9.3727647490200253E-2</v>
      </c>
      <c r="J389" t="s">
        <v>6</v>
      </c>
    </row>
    <row r="390" spans="2:10" x14ac:dyDescent="0.45">
      <c r="B390" t="s">
        <v>436</v>
      </c>
      <c r="C390" t="s">
        <v>27</v>
      </c>
      <c r="D390">
        <v>5.0370807193634223E-3</v>
      </c>
      <c r="E390" t="s">
        <v>6</v>
      </c>
      <c r="G390" t="s">
        <v>437</v>
      </c>
      <c r="H390" t="s">
        <v>27</v>
      </c>
      <c r="I390">
        <v>4.7500477813564354E-2</v>
      </c>
      <c r="J390" t="s">
        <v>6</v>
      </c>
    </row>
    <row r="391" spans="2:10" x14ac:dyDescent="0.45">
      <c r="B391" t="s">
        <v>436</v>
      </c>
      <c r="C391" t="s">
        <v>28</v>
      </c>
      <c r="D391">
        <v>5.8059805532190707E-2</v>
      </c>
      <c r="E391" t="s">
        <v>6</v>
      </c>
      <c r="G391" t="s">
        <v>437</v>
      </c>
      <c r="H391" t="s">
        <v>28</v>
      </c>
      <c r="I391">
        <v>3.2810509584895155E-2</v>
      </c>
      <c r="J391" t="s">
        <v>6</v>
      </c>
    </row>
    <row r="392" spans="2:10" x14ac:dyDescent="0.45">
      <c r="B392" t="s">
        <v>436</v>
      </c>
      <c r="C392" t="s">
        <v>29</v>
      </c>
      <c r="D392">
        <v>8.4753787481579593E-2</v>
      </c>
      <c r="E392" t="s">
        <v>6</v>
      </c>
      <c r="G392" t="s">
        <v>437</v>
      </c>
      <c r="H392" t="s">
        <v>29</v>
      </c>
      <c r="I392">
        <v>3.2612942305544873E-2</v>
      </c>
      <c r="J392" t="s">
        <v>6</v>
      </c>
    </row>
    <row r="393" spans="2:10" x14ac:dyDescent="0.45">
      <c r="B393" t="s">
        <v>436</v>
      </c>
      <c r="C393" t="s">
        <v>30</v>
      </c>
      <c r="D393">
        <v>4.0878105721520279E-2</v>
      </c>
      <c r="E393" t="s">
        <v>6</v>
      </c>
      <c r="G393" t="s">
        <v>437</v>
      </c>
      <c r="H393" t="s">
        <v>30</v>
      </c>
      <c r="I393">
        <v>3.2708585894737005E-2</v>
      </c>
      <c r="J393" t="s">
        <v>6</v>
      </c>
    </row>
    <row r="394" spans="2:10" x14ac:dyDescent="0.45">
      <c r="B394" t="s">
        <v>436</v>
      </c>
      <c r="C394" t="s">
        <v>31</v>
      </c>
      <c r="D394">
        <v>1.2241423919993649E-3</v>
      </c>
      <c r="E394" t="s">
        <v>6</v>
      </c>
      <c r="G394" t="s">
        <v>437</v>
      </c>
      <c r="H394" t="s">
        <v>31</v>
      </c>
      <c r="I394">
        <v>3.3994132751262902E-2</v>
      </c>
      <c r="J394" t="s">
        <v>6</v>
      </c>
    </row>
    <row r="395" spans="2:10" x14ac:dyDescent="0.45">
      <c r="B395" t="s">
        <v>438</v>
      </c>
      <c r="C395" t="s">
        <v>5</v>
      </c>
      <c r="D395">
        <v>0</v>
      </c>
      <c r="E395" t="s">
        <v>6</v>
      </c>
      <c r="G395" t="s">
        <v>439</v>
      </c>
      <c r="H395" t="s">
        <v>5</v>
      </c>
      <c r="I395">
        <v>9.8680950149823088E-2</v>
      </c>
      <c r="J395" t="s">
        <v>6</v>
      </c>
    </row>
    <row r="396" spans="2:10" x14ac:dyDescent="0.45">
      <c r="B396" t="s">
        <v>438</v>
      </c>
      <c r="C396" t="s">
        <v>9</v>
      </c>
      <c r="D396">
        <v>8.1791744141103084E-6</v>
      </c>
      <c r="E396" t="s">
        <v>6</v>
      </c>
      <c r="G396" t="s">
        <v>439</v>
      </c>
      <c r="H396" t="s">
        <v>9</v>
      </c>
      <c r="I396">
        <v>5.0333507591552043E-2</v>
      </c>
      <c r="J396" t="s">
        <v>6</v>
      </c>
    </row>
    <row r="397" spans="2:10" x14ac:dyDescent="0.45">
      <c r="B397" t="s">
        <v>438</v>
      </c>
      <c r="C397" t="s">
        <v>10</v>
      </c>
      <c r="D397">
        <v>2.3905629847821974E-2</v>
      </c>
      <c r="E397" t="s">
        <v>6</v>
      </c>
      <c r="G397" t="s">
        <v>439</v>
      </c>
      <c r="H397" t="s">
        <v>10</v>
      </c>
      <c r="I397">
        <v>3.7782642104222004E-2</v>
      </c>
      <c r="J397" t="s">
        <v>6</v>
      </c>
    </row>
    <row r="398" spans="2:10" x14ac:dyDescent="0.45">
      <c r="B398" t="s">
        <v>438</v>
      </c>
      <c r="C398" t="s">
        <v>11</v>
      </c>
      <c r="D398">
        <v>6.1890375830446633E-2</v>
      </c>
      <c r="E398" t="s">
        <v>6</v>
      </c>
      <c r="G398" t="s">
        <v>439</v>
      </c>
      <c r="H398" t="s">
        <v>11</v>
      </c>
      <c r="I398">
        <v>3.7921966233096044E-2</v>
      </c>
      <c r="J398" t="s">
        <v>6</v>
      </c>
    </row>
    <row r="399" spans="2:10" x14ac:dyDescent="0.45">
      <c r="B399" t="s">
        <v>438</v>
      </c>
      <c r="C399" t="s">
        <v>12</v>
      </c>
      <c r="D399">
        <v>2.9238750818118091E-2</v>
      </c>
      <c r="E399" t="s">
        <v>6</v>
      </c>
      <c r="G399" t="s">
        <v>439</v>
      </c>
      <c r="H399" t="s">
        <v>12</v>
      </c>
      <c r="I399">
        <v>3.7824441962860819E-2</v>
      </c>
      <c r="J399" t="s">
        <v>6</v>
      </c>
    </row>
    <row r="400" spans="2:10" x14ac:dyDescent="0.45">
      <c r="B400" t="s">
        <v>438</v>
      </c>
      <c r="C400" t="s">
        <v>13</v>
      </c>
      <c r="D400">
        <v>3.1300465704701952E-4</v>
      </c>
      <c r="E400" t="s">
        <v>6</v>
      </c>
      <c r="G400" t="s">
        <v>439</v>
      </c>
      <c r="H400" t="s">
        <v>13</v>
      </c>
      <c r="I400">
        <v>3.9135921037139927E-2</v>
      </c>
      <c r="J400" t="s">
        <v>6</v>
      </c>
    </row>
    <row r="401" spans="2:10" x14ac:dyDescent="0.45">
      <c r="B401" t="s">
        <v>438</v>
      </c>
      <c r="C401" t="s">
        <v>14</v>
      </c>
      <c r="D401">
        <v>2.3354411005893644E-9</v>
      </c>
      <c r="E401" t="s">
        <v>6</v>
      </c>
      <c r="G401" t="s">
        <v>439</v>
      </c>
      <c r="H401" t="s">
        <v>14</v>
      </c>
      <c r="I401">
        <v>8.8442085820697014E-2</v>
      </c>
      <c r="J401" t="s">
        <v>6</v>
      </c>
    </row>
    <row r="402" spans="2:10" x14ac:dyDescent="0.45">
      <c r="B402" t="s">
        <v>438</v>
      </c>
      <c r="C402" t="s">
        <v>15</v>
      </c>
      <c r="D402">
        <v>1.2083326678292499E-2</v>
      </c>
      <c r="E402" t="s">
        <v>6</v>
      </c>
      <c r="G402" t="s">
        <v>439</v>
      </c>
      <c r="H402" t="s">
        <v>15</v>
      </c>
      <c r="I402">
        <v>4.017178786450358E-2</v>
      </c>
      <c r="J402" t="s">
        <v>6</v>
      </c>
    </row>
    <row r="403" spans="2:10" x14ac:dyDescent="0.45">
      <c r="B403" t="s">
        <v>438</v>
      </c>
      <c r="C403" t="s">
        <v>16</v>
      </c>
      <c r="D403">
        <v>8.8576338318074405E-2</v>
      </c>
      <c r="E403" t="s">
        <v>6</v>
      </c>
      <c r="G403" t="s">
        <v>439</v>
      </c>
      <c r="H403" t="s">
        <v>16</v>
      </c>
      <c r="I403">
        <v>2.8513626483918756E-2</v>
      </c>
      <c r="J403" t="s">
        <v>6</v>
      </c>
    </row>
    <row r="404" spans="2:10" x14ac:dyDescent="0.45">
      <c r="B404" t="s">
        <v>438</v>
      </c>
      <c r="C404" t="s">
        <v>17</v>
      </c>
      <c r="D404">
        <v>0.12550060866500901</v>
      </c>
      <c r="E404" t="s">
        <v>6</v>
      </c>
      <c r="G404" t="s">
        <v>439</v>
      </c>
      <c r="H404" t="s">
        <v>17</v>
      </c>
      <c r="I404">
        <v>2.9633427205682808E-2</v>
      </c>
      <c r="J404" t="s">
        <v>6</v>
      </c>
    </row>
    <row r="405" spans="2:10" x14ac:dyDescent="0.45">
      <c r="B405" t="s">
        <v>438</v>
      </c>
      <c r="C405" t="s">
        <v>18</v>
      </c>
      <c r="D405">
        <v>8.2820602126982362E-2</v>
      </c>
      <c r="E405" t="s">
        <v>6</v>
      </c>
      <c r="G405" t="s">
        <v>439</v>
      </c>
      <c r="H405" t="s">
        <v>18</v>
      </c>
      <c r="I405">
        <v>3.1443821843835554E-2</v>
      </c>
      <c r="J405" t="s">
        <v>6</v>
      </c>
    </row>
    <row r="406" spans="2:10" x14ac:dyDescent="0.45">
      <c r="B406" t="s">
        <v>438</v>
      </c>
      <c r="C406" t="s">
        <v>19</v>
      </c>
      <c r="D406">
        <v>1.2399534360088166E-2</v>
      </c>
      <c r="E406" t="s">
        <v>6</v>
      </c>
      <c r="G406" t="s">
        <v>439</v>
      </c>
      <c r="H406" t="s">
        <v>19</v>
      </c>
      <c r="I406">
        <v>3.2838604155749039E-2</v>
      </c>
      <c r="J406" t="s">
        <v>6</v>
      </c>
    </row>
    <row r="407" spans="2:10" x14ac:dyDescent="0.45">
      <c r="B407" t="s">
        <v>438</v>
      </c>
      <c r="C407" t="s">
        <v>20</v>
      </c>
      <c r="D407">
        <v>2.7749499610008798E-5</v>
      </c>
      <c r="E407" t="s">
        <v>6</v>
      </c>
      <c r="G407" t="s">
        <v>439</v>
      </c>
      <c r="H407" t="s">
        <v>20</v>
      </c>
      <c r="I407">
        <v>6.1994211364226295E-2</v>
      </c>
      <c r="J407" t="s">
        <v>6</v>
      </c>
    </row>
    <row r="408" spans="2:10" x14ac:dyDescent="0.45">
      <c r="B408" t="s">
        <v>438</v>
      </c>
      <c r="C408" t="s">
        <v>21</v>
      </c>
      <c r="D408">
        <v>1.9538844204232894E-2</v>
      </c>
      <c r="E408" t="s">
        <v>6</v>
      </c>
      <c r="G408" t="s">
        <v>439</v>
      </c>
      <c r="H408" t="s">
        <v>21</v>
      </c>
      <c r="I408">
        <v>2.8564609339057891E-2</v>
      </c>
      <c r="J408" t="s">
        <v>6</v>
      </c>
    </row>
    <row r="409" spans="2:10" x14ac:dyDescent="0.45">
      <c r="B409" t="s">
        <v>438</v>
      </c>
      <c r="C409" t="s">
        <v>22</v>
      </c>
      <c r="D409">
        <v>0.10115264445524652</v>
      </c>
      <c r="E409" t="s">
        <v>6</v>
      </c>
      <c r="G409" t="s">
        <v>439</v>
      </c>
      <c r="H409" t="s">
        <v>22</v>
      </c>
      <c r="I409">
        <v>2.0460666369275793E-2</v>
      </c>
      <c r="J409" t="s">
        <v>6</v>
      </c>
    </row>
    <row r="410" spans="2:10" x14ac:dyDescent="0.45">
      <c r="B410" t="s">
        <v>438</v>
      </c>
      <c r="C410" t="s">
        <v>23</v>
      </c>
      <c r="D410">
        <v>0.13678571392260472</v>
      </c>
      <c r="E410" t="s">
        <v>6</v>
      </c>
      <c r="G410" t="s">
        <v>439</v>
      </c>
      <c r="H410" t="s">
        <v>23</v>
      </c>
      <c r="I410">
        <v>2.0500013374017433E-2</v>
      </c>
      <c r="J410" t="s">
        <v>6</v>
      </c>
    </row>
    <row r="411" spans="2:10" x14ac:dyDescent="0.45">
      <c r="B411" t="s">
        <v>438</v>
      </c>
      <c r="C411" t="s">
        <v>24</v>
      </c>
      <c r="D411">
        <v>9.7110084850763945E-2</v>
      </c>
      <c r="E411" t="s">
        <v>6</v>
      </c>
      <c r="G411" t="s">
        <v>439</v>
      </c>
      <c r="H411" t="s">
        <v>24</v>
      </c>
      <c r="I411">
        <v>2.2655142270350911E-2</v>
      </c>
      <c r="J411" t="s">
        <v>6</v>
      </c>
    </row>
    <row r="412" spans="2:10" x14ac:dyDescent="0.45">
      <c r="B412" t="s">
        <v>438</v>
      </c>
      <c r="C412" t="s">
        <v>25</v>
      </c>
      <c r="D412">
        <v>2.2069435987241169E-2</v>
      </c>
      <c r="E412" t="s">
        <v>6</v>
      </c>
      <c r="G412" t="s">
        <v>439</v>
      </c>
      <c r="H412" t="s">
        <v>25</v>
      </c>
      <c r="I412">
        <v>2.2654692264976913E-2</v>
      </c>
      <c r="J412" t="s">
        <v>6</v>
      </c>
    </row>
    <row r="413" spans="2:10" x14ac:dyDescent="0.45">
      <c r="B413" t="s">
        <v>438</v>
      </c>
      <c r="C413" t="s">
        <v>26</v>
      </c>
      <c r="D413">
        <v>0</v>
      </c>
      <c r="E413" t="s">
        <v>6</v>
      </c>
      <c r="G413" t="s">
        <v>439</v>
      </c>
      <c r="H413" t="s">
        <v>26</v>
      </c>
      <c r="I413">
        <v>9.0571585423588785E-2</v>
      </c>
      <c r="J413" t="s">
        <v>6</v>
      </c>
    </row>
    <row r="414" spans="2:10" x14ac:dyDescent="0.45">
      <c r="B414" t="s">
        <v>438</v>
      </c>
      <c r="C414" t="s">
        <v>27</v>
      </c>
      <c r="D414">
        <v>3.0923765409545151E-3</v>
      </c>
      <c r="E414" t="s">
        <v>6</v>
      </c>
      <c r="G414" t="s">
        <v>439</v>
      </c>
      <c r="H414" t="s">
        <v>27</v>
      </c>
      <c r="I414">
        <v>4.4734922073177689E-2</v>
      </c>
      <c r="J414" t="s">
        <v>6</v>
      </c>
    </row>
    <row r="415" spans="2:10" x14ac:dyDescent="0.45">
      <c r="B415" t="s">
        <v>438</v>
      </c>
      <c r="C415" t="s">
        <v>28</v>
      </c>
      <c r="D415">
        <v>5.2773807709371866E-2</v>
      </c>
      <c r="E415" t="s">
        <v>6</v>
      </c>
      <c r="G415" t="s">
        <v>439</v>
      </c>
      <c r="H415" t="s">
        <v>28</v>
      </c>
      <c r="I415">
        <v>3.3272503214431016E-2</v>
      </c>
      <c r="J415" t="s">
        <v>6</v>
      </c>
    </row>
    <row r="416" spans="2:10" x14ac:dyDescent="0.45">
      <c r="B416" t="s">
        <v>438</v>
      </c>
      <c r="C416" t="s">
        <v>29</v>
      </c>
      <c r="D416">
        <v>8.4885569922334439E-2</v>
      </c>
      <c r="E416" t="s">
        <v>6</v>
      </c>
      <c r="G416" t="s">
        <v>439</v>
      </c>
      <c r="H416" t="s">
        <v>29</v>
      </c>
      <c r="I416">
        <v>3.2706483552625121E-2</v>
      </c>
      <c r="J416" t="s">
        <v>6</v>
      </c>
    </row>
    <row r="417" spans="2:10" x14ac:dyDescent="0.45">
      <c r="B417" t="s">
        <v>438</v>
      </c>
      <c r="C417" t="s">
        <v>30</v>
      </c>
      <c r="D417">
        <v>4.3815183300161688E-2</v>
      </c>
      <c r="E417" t="s">
        <v>6</v>
      </c>
      <c r="G417" t="s">
        <v>439</v>
      </c>
      <c r="H417" t="s">
        <v>30</v>
      </c>
      <c r="I417">
        <v>3.3849089930444907E-2</v>
      </c>
      <c r="J417" t="s">
        <v>6</v>
      </c>
    </row>
    <row r="418" spans="2:10" x14ac:dyDescent="0.45">
      <c r="B418" t="s">
        <v>438</v>
      </c>
      <c r="C418" t="s">
        <v>31</v>
      </c>
      <c r="D418">
        <v>2.0122367957419738E-3</v>
      </c>
      <c r="E418" t="s">
        <v>6</v>
      </c>
      <c r="G418" t="s">
        <v>439</v>
      </c>
      <c r="H418" t="s">
        <v>31</v>
      </c>
      <c r="I418">
        <v>3.5313298370750722E-2</v>
      </c>
      <c r="J418" t="s">
        <v>6</v>
      </c>
    </row>
    <row r="419" spans="2:10" x14ac:dyDescent="0.45">
      <c r="B419" t="s">
        <v>440</v>
      </c>
      <c r="C419" t="s">
        <v>5</v>
      </c>
      <c r="D419">
        <v>0</v>
      </c>
      <c r="E419" t="s">
        <v>6</v>
      </c>
      <c r="G419" t="s">
        <v>441</v>
      </c>
      <c r="H419" t="s">
        <v>5</v>
      </c>
      <c r="I419">
        <v>9.9357523683374263E-2</v>
      </c>
      <c r="J419" t="s">
        <v>6</v>
      </c>
    </row>
    <row r="420" spans="2:10" x14ac:dyDescent="0.45">
      <c r="B420" t="s">
        <v>440</v>
      </c>
      <c r="C420" t="s">
        <v>9</v>
      </c>
      <c r="D420">
        <v>0</v>
      </c>
      <c r="E420" t="s">
        <v>6</v>
      </c>
      <c r="G420" t="s">
        <v>441</v>
      </c>
      <c r="H420" t="s">
        <v>9</v>
      </c>
      <c r="I420">
        <v>5.0208446005835315E-2</v>
      </c>
      <c r="J420" t="s">
        <v>6</v>
      </c>
    </row>
    <row r="421" spans="2:10" x14ac:dyDescent="0.45">
      <c r="B421" t="s">
        <v>440</v>
      </c>
      <c r="C421" t="s">
        <v>10</v>
      </c>
      <c r="D421">
        <v>2.348441331308055E-2</v>
      </c>
      <c r="E421" t="s">
        <v>6</v>
      </c>
      <c r="G421" t="s">
        <v>441</v>
      </c>
      <c r="H421" t="s">
        <v>10</v>
      </c>
      <c r="I421">
        <v>3.7396329256031299E-2</v>
      </c>
      <c r="J421" t="s">
        <v>6</v>
      </c>
    </row>
    <row r="422" spans="2:10" x14ac:dyDescent="0.45">
      <c r="B422" t="s">
        <v>440</v>
      </c>
      <c r="C422" t="s">
        <v>11</v>
      </c>
      <c r="D422">
        <v>5.9397785234828797E-2</v>
      </c>
      <c r="E422" t="s">
        <v>6</v>
      </c>
      <c r="G422" t="s">
        <v>441</v>
      </c>
      <c r="H422" t="s">
        <v>11</v>
      </c>
      <c r="I422">
        <v>3.6726503405831251E-2</v>
      </c>
      <c r="J422" t="s">
        <v>6</v>
      </c>
    </row>
    <row r="423" spans="2:10" x14ac:dyDescent="0.45">
      <c r="B423" t="s">
        <v>440</v>
      </c>
      <c r="C423" t="s">
        <v>12</v>
      </c>
      <c r="D423">
        <v>2.7980422546289383E-2</v>
      </c>
      <c r="E423" t="s">
        <v>6</v>
      </c>
      <c r="G423" t="s">
        <v>441</v>
      </c>
      <c r="H423" t="s">
        <v>12</v>
      </c>
      <c r="I423">
        <v>3.6912722954506837E-2</v>
      </c>
      <c r="J423" t="s">
        <v>6</v>
      </c>
    </row>
    <row r="424" spans="2:10" x14ac:dyDescent="0.45">
      <c r="B424" t="s">
        <v>440</v>
      </c>
      <c r="C424" t="s">
        <v>13</v>
      </c>
      <c r="D424">
        <v>2.5996847910470726E-4</v>
      </c>
      <c r="E424" t="s">
        <v>6</v>
      </c>
      <c r="G424" t="s">
        <v>441</v>
      </c>
      <c r="H424" t="s">
        <v>13</v>
      </c>
      <c r="I424">
        <v>3.7635113240892644E-2</v>
      </c>
      <c r="J424" t="s">
        <v>6</v>
      </c>
    </row>
    <row r="425" spans="2:10" x14ac:dyDescent="0.45">
      <c r="B425" t="s">
        <v>440</v>
      </c>
      <c r="C425" t="s">
        <v>14</v>
      </c>
      <c r="D425">
        <v>7.2757613702476076E-8</v>
      </c>
      <c r="E425" t="s">
        <v>6</v>
      </c>
      <c r="G425" t="s">
        <v>441</v>
      </c>
      <c r="H425" t="s">
        <v>14</v>
      </c>
      <c r="I425">
        <v>8.3925385045387574E-2</v>
      </c>
      <c r="J425" t="s">
        <v>6</v>
      </c>
    </row>
    <row r="426" spans="2:10" x14ac:dyDescent="0.45">
      <c r="B426" t="s">
        <v>440</v>
      </c>
      <c r="C426" t="s">
        <v>15</v>
      </c>
      <c r="D426">
        <v>1.2519410373017344E-2</v>
      </c>
      <c r="E426" t="s">
        <v>6</v>
      </c>
      <c r="G426" t="s">
        <v>441</v>
      </c>
      <c r="H426" t="s">
        <v>15</v>
      </c>
      <c r="I426">
        <v>4.0826827420024671E-2</v>
      </c>
      <c r="J426" t="s">
        <v>6</v>
      </c>
    </row>
    <row r="427" spans="2:10" x14ac:dyDescent="0.45">
      <c r="B427" t="s">
        <v>440</v>
      </c>
      <c r="C427" t="s">
        <v>16</v>
      </c>
      <c r="D427">
        <v>8.8978426240093514E-2</v>
      </c>
      <c r="E427" t="s">
        <v>6</v>
      </c>
      <c r="G427" t="s">
        <v>441</v>
      </c>
      <c r="H427" t="s">
        <v>16</v>
      </c>
      <c r="I427">
        <v>2.8480503149777039E-2</v>
      </c>
      <c r="J427" t="s">
        <v>6</v>
      </c>
    </row>
    <row r="428" spans="2:10" x14ac:dyDescent="0.45">
      <c r="B428" t="s">
        <v>440</v>
      </c>
      <c r="C428" t="s">
        <v>17</v>
      </c>
      <c r="D428">
        <v>0.12639029919189218</v>
      </c>
      <c r="E428" t="s">
        <v>6</v>
      </c>
      <c r="G428" t="s">
        <v>441</v>
      </c>
      <c r="H428" t="s">
        <v>17</v>
      </c>
      <c r="I428">
        <v>2.8614699322640123E-2</v>
      </c>
      <c r="J428" t="s">
        <v>6</v>
      </c>
    </row>
    <row r="429" spans="2:10" x14ac:dyDescent="0.45">
      <c r="B429" t="s">
        <v>440</v>
      </c>
      <c r="C429" t="s">
        <v>18</v>
      </c>
      <c r="D429">
        <v>8.341702459273638E-2</v>
      </c>
      <c r="E429" t="s">
        <v>6</v>
      </c>
      <c r="G429" t="s">
        <v>441</v>
      </c>
      <c r="H429" t="s">
        <v>18</v>
      </c>
      <c r="I429">
        <v>3.0023663681147793E-2</v>
      </c>
      <c r="J429" t="s">
        <v>6</v>
      </c>
    </row>
    <row r="430" spans="2:10" x14ac:dyDescent="0.45">
      <c r="B430" t="s">
        <v>440</v>
      </c>
      <c r="C430" t="s">
        <v>19</v>
      </c>
      <c r="D430">
        <v>1.2820369408298697E-2</v>
      </c>
      <c r="E430" t="s">
        <v>6</v>
      </c>
      <c r="G430" t="s">
        <v>441</v>
      </c>
      <c r="H430" t="s">
        <v>19</v>
      </c>
      <c r="I430">
        <v>3.1198440319283059E-2</v>
      </c>
      <c r="J430" t="s">
        <v>6</v>
      </c>
    </row>
    <row r="431" spans="2:10" x14ac:dyDescent="0.45">
      <c r="B431" t="s">
        <v>440</v>
      </c>
      <c r="C431" t="s">
        <v>20</v>
      </c>
      <c r="D431">
        <v>7.5104052371404554E-5</v>
      </c>
      <c r="E431" t="s">
        <v>6</v>
      </c>
      <c r="G431" t="s">
        <v>441</v>
      </c>
      <c r="H431" t="s">
        <v>20</v>
      </c>
      <c r="I431">
        <v>6.3900636887648771E-2</v>
      </c>
      <c r="J431" t="s">
        <v>6</v>
      </c>
    </row>
    <row r="432" spans="2:10" x14ac:dyDescent="0.45">
      <c r="B432" t="s">
        <v>440</v>
      </c>
      <c r="C432" t="s">
        <v>21</v>
      </c>
      <c r="D432">
        <v>1.9619584164370634E-2</v>
      </c>
      <c r="E432" t="s">
        <v>6</v>
      </c>
      <c r="G432" t="s">
        <v>441</v>
      </c>
      <c r="H432" t="s">
        <v>21</v>
      </c>
      <c r="I432">
        <v>3.1013892394421497E-2</v>
      </c>
      <c r="J432" t="s">
        <v>6</v>
      </c>
    </row>
    <row r="433" spans="2:10" x14ac:dyDescent="0.45">
      <c r="B433" t="s">
        <v>440</v>
      </c>
      <c r="C433" t="s">
        <v>22</v>
      </c>
      <c r="D433">
        <v>9.8041683882148581E-2</v>
      </c>
      <c r="E433" t="s">
        <v>6</v>
      </c>
      <c r="G433" t="s">
        <v>441</v>
      </c>
      <c r="H433" t="s">
        <v>22</v>
      </c>
      <c r="I433">
        <v>2.2347072336518014E-2</v>
      </c>
      <c r="J433" t="s">
        <v>6</v>
      </c>
    </row>
    <row r="434" spans="2:10" x14ac:dyDescent="0.45">
      <c r="B434" t="s">
        <v>440</v>
      </c>
      <c r="C434" t="s">
        <v>23</v>
      </c>
      <c r="D434">
        <v>0.13438739954393086</v>
      </c>
      <c r="E434" t="s">
        <v>6</v>
      </c>
      <c r="G434" t="s">
        <v>441</v>
      </c>
      <c r="H434" t="s">
        <v>23</v>
      </c>
      <c r="I434">
        <v>2.3184323437331768E-2</v>
      </c>
      <c r="J434" t="s">
        <v>6</v>
      </c>
    </row>
    <row r="435" spans="2:10" x14ac:dyDescent="0.45">
      <c r="B435" t="s">
        <v>440</v>
      </c>
      <c r="C435" t="s">
        <v>24</v>
      </c>
      <c r="D435">
        <v>9.9856451904464294E-2</v>
      </c>
      <c r="E435" t="s">
        <v>6</v>
      </c>
      <c r="G435" t="s">
        <v>441</v>
      </c>
      <c r="H435" t="s">
        <v>24</v>
      </c>
      <c r="I435">
        <v>2.4313024751845203E-2</v>
      </c>
      <c r="J435" t="s">
        <v>6</v>
      </c>
    </row>
    <row r="436" spans="2:10" x14ac:dyDescent="0.45">
      <c r="B436" t="s">
        <v>440</v>
      </c>
      <c r="C436" t="s">
        <v>25</v>
      </c>
      <c r="D436">
        <v>2.3497295842778394E-2</v>
      </c>
      <c r="E436" t="s">
        <v>6</v>
      </c>
      <c r="G436" t="s">
        <v>441</v>
      </c>
      <c r="H436" t="s">
        <v>25</v>
      </c>
      <c r="I436">
        <v>2.4144833159995927E-2</v>
      </c>
      <c r="J436" t="s">
        <v>6</v>
      </c>
    </row>
    <row r="437" spans="2:10" x14ac:dyDescent="0.45">
      <c r="B437" t="s">
        <v>440</v>
      </c>
      <c r="C437" t="s">
        <v>26</v>
      </c>
      <c r="D437">
        <v>0</v>
      </c>
      <c r="E437" t="s">
        <v>6</v>
      </c>
      <c r="G437" t="s">
        <v>441</v>
      </c>
      <c r="H437" t="s">
        <v>26</v>
      </c>
      <c r="I437">
        <v>9.1395186763734718E-2</v>
      </c>
      <c r="J437" t="s">
        <v>6</v>
      </c>
    </row>
    <row r="438" spans="2:10" x14ac:dyDescent="0.45">
      <c r="B438" t="s">
        <v>440</v>
      </c>
      <c r="C438" t="s">
        <v>27</v>
      </c>
      <c r="D438">
        <v>3.3101865824043627E-3</v>
      </c>
      <c r="E438" t="s">
        <v>6</v>
      </c>
      <c r="G438" t="s">
        <v>441</v>
      </c>
      <c r="H438" t="s">
        <v>27</v>
      </c>
      <c r="I438">
        <v>4.5707269170379886E-2</v>
      </c>
      <c r="J438" t="s">
        <v>6</v>
      </c>
    </row>
    <row r="439" spans="2:10" x14ac:dyDescent="0.45">
      <c r="B439" t="s">
        <v>440</v>
      </c>
      <c r="C439" t="s">
        <v>28</v>
      </c>
      <c r="D439">
        <v>5.4916756296518598E-2</v>
      </c>
      <c r="E439" t="s">
        <v>6</v>
      </c>
      <c r="G439" t="s">
        <v>441</v>
      </c>
      <c r="H439" t="s">
        <v>28</v>
      </c>
      <c r="I439">
        <v>3.3084994262827835E-2</v>
      </c>
      <c r="J439" t="s">
        <v>6</v>
      </c>
    </row>
    <row r="440" spans="2:10" x14ac:dyDescent="0.45">
      <c r="B440" t="s">
        <v>440</v>
      </c>
      <c r="C440" t="s">
        <v>29</v>
      </c>
      <c r="D440">
        <v>8.50853448803673E-2</v>
      </c>
      <c r="E440" t="s">
        <v>6</v>
      </c>
      <c r="G440" t="s">
        <v>441</v>
      </c>
      <c r="H440" t="s">
        <v>29</v>
      </c>
      <c r="I440">
        <v>3.2527824277995117E-2</v>
      </c>
      <c r="J440" t="s">
        <v>6</v>
      </c>
    </row>
    <row r="441" spans="2:10" x14ac:dyDescent="0.45">
      <c r="B441" t="s">
        <v>440</v>
      </c>
      <c r="C441" t="s">
        <v>30</v>
      </c>
      <c r="D441">
        <v>4.3978723309342577E-2</v>
      </c>
      <c r="E441" t="s">
        <v>6</v>
      </c>
      <c r="G441" t="s">
        <v>441</v>
      </c>
      <c r="H441" t="s">
        <v>30</v>
      </c>
      <c r="I441">
        <v>3.339372158408882E-2</v>
      </c>
      <c r="J441" t="s">
        <v>6</v>
      </c>
    </row>
    <row r="442" spans="2:10" x14ac:dyDescent="0.45">
      <c r="B442" t="s">
        <v>440</v>
      </c>
      <c r="C442" t="s">
        <v>31</v>
      </c>
      <c r="D442">
        <v>1.9832774043508157E-3</v>
      </c>
      <c r="E442" t="s">
        <v>6</v>
      </c>
      <c r="G442" t="s">
        <v>441</v>
      </c>
      <c r="H442" t="s">
        <v>31</v>
      </c>
      <c r="I442">
        <v>3.3681063488478359E-2</v>
      </c>
      <c r="J442" t="s">
        <v>6</v>
      </c>
    </row>
    <row r="443" spans="2:10" x14ac:dyDescent="0.45">
      <c r="B443" t="s">
        <v>442</v>
      </c>
      <c r="C443" t="s">
        <v>5</v>
      </c>
      <c r="D443">
        <v>0</v>
      </c>
      <c r="E443" t="s">
        <v>6</v>
      </c>
      <c r="G443" t="s">
        <v>443</v>
      </c>
      <c r="H443" t="s">
        <v>5</v>
      </c>
      <c r="I443">
        <v>0.10338029055673736</v>
      </c>
      <c r="J443" t="s">
        <v>6</v>
      </c>
    </row>
    <row r="444" spans="2:10" x14ac:dyDescent="0.45">
      <c r="B444" t="s">
        <v>442</v>
      </c>
      <c r="C444" t="s">
        <v>9</v>
      </c>
      <c r="D444">
        <v>2.359833547640083E-5</v>
      </c>
      <c r="E444" t="s">
        <v>6</v>
      </c>
      <c r="G444" t="s">
        <v>443</v>
      </c>
      <c r="H444" t="s">
        <v>9</v>
      </c>
      <c r="I444">
        <v>5.2461158971948009E-2</v>
      </c>
      <c r="J444" t="s">
        <v>6</v>
      </c>
    </row>
    <row r="445" spans="2:10" x14ac:dyDescent="0.45">
      <c r="B445" t="s">
        <v>442</v>
      </c>
      <c r="C445" t="s">
        <v>10</v>
      </c>
      <c r="D445">
        <v>2.2892626542347666E-2</v>
      </c>
      <c r="E445" t="s">
        <v>6</v>
      </c>
      <c r="G445" t="s">
        <v>443</v>
      </c>
      <c r="H445" t="s">
        <v>10</v>
      </c>
      <c r="I445">
        <v>3.8820877975504126E-2</v>
      </c>
      <c r="J445" t="s">
        <v>6</v>
      </c>
    </row>
    <row r="446" spans="2:10" x14ac:dyDescent="0.45">
      <c r="B446" t="s">
        <v>442</v>
      </c>
      <c r="C446" t="s">
        <v>11</v>
      </c>
      <c r="D446">
        <v>5.5900309234647685E-2</v>
      </c>
      <c r="E446" t="s">
        <v>6</v>
      </c>
      <c r="G446" t="s">
        <v>443</v>
      </c>
      <c r="H446" t="s">
        <v>11</v>
      </c>
      <c r="I446">
        <v>3.813162455762098E-2</v>
      </c>
      <c r="J446" t="s">
        <v>6</v>
      </c>
    </row>
    <row r="447" spans="2:10" x14ac:dyDescent="0.45">
      <c r="B447" t="s">
        <v>442</v>
      </c>
      <c r="C447" t="s">
        <v>12</v>
      </c>
      <c r="D447">
        <v>2.5151286575039219E-2</v>
      </c>
      <c r="E447" t="s">
        <v>6</v>
      </c>
      <c r="G447" t="s">
        <v>443</v>
      </c>
      <c r="H447" t="s">
        <v>12</v>
      </c>
      <c r="I447">
        <v>3.8298517744297246E-2</v>
      </c>
      <c r="J447" t="s">
        <v>6</v>
      </c>
    </row>
    <row r="448" spans="2:10" x14ac:dyDescent="0.45">
      <c r="B448" t="s">
        <v>442</v>
      </c>
      <c r="C448" t="s">
        <v>13</v>
      </c>
      <c r="D448">
        <v>2.0459874061879769E-4</v>
      </c>
      <c r="E448" t="s">
        <v>6</v>
      </c>
      <c r="G448" t="s">
        <v>443</v>
      </c>
      <c r="H448" t="s">
        <v>13</v>
      </c>
      <c r="I448">
        <v>3.9500091380555498E-2</v>
      </c>
      <c r="J448" t="s">
        <v>6</v>
      </c>
    </row>
    <row r="449" spans="2:10" x14ac:dyDescent="0.45">
      <c r="B449" t="s">
        <v>442</v>
      </c>
      <c r="C449" t="s">
        <v>14</v>
      </c>
      <c r="D449">
        <v>0</v>
      </c>
      <c r="E449" t="s">
        <v>6</v>
      </c>
      <c r="G449" t="s">
        <v>443</v>
      </c>
      <c r="H449" t="s">
        <v>14</v>
      </c>
      <c r="I449">
        <v>8.3718739925201971E-2</v>
      </c>
      <c r="J449" t="s">
        <v>6</v>
      </c>
    </row>
    <row r="450" spans="2:10" x14ac:dyDescent="0.45">
      <c r="B450" t="s">
        <v>442</v>
      </c>
      <c r="C450" t="s">
        <v>15</v>
      </c>
      <c r="D450">
        <v>1.3692021727355253E-2</v>
      </c>
      <c r="E450" t="s">
        <v>6</v>
      </c>
      <c r="G450" t="s">
        <v>443</v>
      </c>
      <c r="H450" t="s">
        <v>15</v>
      </c>
      <c r="I450">
        <v>4.0058361565632868E-2</v>
      </c>
      <c r="J450" t="s">
        <v>6</v>
      </c>
    </row>
    <row r="451" spans="2:10" x14ac:dyDescent="0.45">
      <c r="B451" t="s">
        <v>442</v>
      </c>
      <c r="C451" t="s">
        <v>16</v>
      </c>
      <c r="D451">
        <v>9.0294186421432568E-2</v>
      </c>
      <c r="E451" t="s">
        <v>6</v>
      </c>
      <c r="G451" t="s">
        <v>443</v>
      </c>
      <c r="H451" t="s">
        <v>16</v>
      </c>
      <c r="I451">
        <v>2.8676793966553892E-2</v>
      </c>
      <c r="J451" t="s">
        <v>6</v>
      </c>
    </row>
    <row r="452" spans="2:10" x14ac:dyDescent="0.45">
      <c r="B452" t="s">
        <v>442</v>
      </c>
      <c r="C452" t="s">
        <v>17</v>
      </c>
      <c r="D452">
        <v>0.12817070585523668</v>
      </c>
      <c r="E452" t="s">
        <v>6</v>
      </c>
      <c r="G452" t="s">
        <v>443</v>
      </c>
      <c r="H452" t="s">
        <v>17</v>
      </c>
      <c r="I452">
        <v>3.0385297287553469E-2</v>
      </c>
      <c r="J452" t="s">
        <v>6</v>
      </c>
    </row>
    <row r="453" spans="2:10" x14ac:dyDescent="0.45">
      <c r="B453" t="s">
        <v>442</v>
      </c>
      <c r="C453" t="s">
        <v>18</v>
      </c>
      <c r="D453">
        <v>8.2072046295973131E-2</v>
      </c>
      <c r="E453" t="s">
        <v>6</v>
      </c>
      <c r="G453" t="s">
        <v>443</v>
      </c>
      <c r="H453" t="s">
        <v>18</v>
      </c>
      <c r="I453">
        <v>3.1011023109754968E-2</v>
      </c>
      <c r="J453" t="s">
        <v>6</v>
      </c>
    </row>
    <row r="454" spans="2:10" x14ac:dyDescent="0.45">
      <c r="B454" t="s">
        <v>442</v>
      </c>
      <c r="C454" t="s">
        <v>19</v>
      </c>
      <c r="D454">
        <v>1.1261489510055825E-2</v>
      </c>
      <c r="E454" t="s">
        <v>6</v>
      </c>
      <c r="G454" t="s">
        <v>443</v>
      </c>
      <c r="H454" t="s">
        <v>19</v>
      </c>
      <c r="I454">
        <v>3.0509281026200256E-2</v>
      </c>
      <c r="J454" t="s">
        <v>6</v>
      </c>
    </row>
    <row r="455" spans="2:10" x14ac:dyDescent="0.45">
      <c r="B455" t="s">
        <v>442</v>
      </c>
      <c r="C455" t="s">
        <v>20</v>
      </c>
      <c r="D455">
        <v>2.5087838439705382E-5</v>
      </c>
      <c r="E455" t="s">
        <v>6</v>
      </c>
      <c r="G455" t="s">
        <v>443</v>
      </c>
      <c r="H455" t="s">
        <v>20</v>
      </c>
      <c r="I455">
        <v>6.0666634937115119E-2</v>
      </c>
      <c r="J455" t="s">
        <v>6</v>
      </c>
    </row>
    <row r="456" spans="2:10" x14ac:dyDescent="0.45">
      <c r="B456" t="s">
        <v>442</v>
      </c>
      <c r="C456" t="s">
        <v>21</v>
      </c>
      <c r="D456">
        <v>2.2192906743698324E-2</v>
      </c>
      <c r="E456" t="s">
        <v>6</v>
      </c>
      <c r="G456" t="s">
        <v>443</v>
      </c>
      <c r="H456" t="s">
        <v>21</v>
      </c>
      <c r="I456">
        <v>2.7350142989970991E-2</v>
      </c>
      <c r="J456" t="s">
        <v>6</v>
      </c>
    </row>
    <row r="457" spans="2:10" x14ac:dyDescent="0.45">
      <c r="B457" t="s">
        <v>442</v>
      </c>
      <c r="C457" t="s">
        <v>22</v>
      </c>
      <c r="D457">
        <v>0.10543539491730669</v>
      </c>
      <c r="E457" t="s">
        <v>6</v>
      </c>
      <c r="G457" t="s">
        <v>443</v>
      </c>
      <c r="H457" t="s">
        <v>22</v>
      </c>
      <c r="I457">
        <v>2.0506048064902319E-2</v>
      </c>
      <c r="J457" t="s">
        <v>6</v>
      </c>
    </row>
    <row r="458" spans="2:10" x14ac:dyDescent="0.45">
      <c r="B458" t="s">
        <v>442</v>
      </c>
      <c r="C458" t="s">
        <v>23</v>
      </c>
      <c r="D458">
        <v>0.13658473683986141</v>
      </c>
      <c r="E458" t="s">
        <v>6</v>
      </c>
      <c r="G458" t="s">
        <v>443</v>
      </c>
      <c r="H458" t="s">
        <v>23</v>
      </c>
      <c r="I458">
        <v>2.1776841062103165E-2</v>
      </c>
      <c r="J458" t="s">
        <v>6</v>
      </c>
    </row>
    <row r="459" spans="2:10" x14ac:dyDescent="0.45">
      <c r="B459" t="s">
        <v>442</v>
      </c>
      <c r="C459" t="s">
        <v>24</v>
      </c>
      <c r="D459">
        <v>9.6478718802221253E-2</v>
      </c>
      <c r="E459" t="s">
        <v>6</v>
      </c>
      <c r="G459" t="s">
        <v>443</v>
      </c>
      <c r="H459" t="s">
        <v>24</v>
      </c>
      <c r="I459">
        <v>2.3360405011497283E-2</v>
      </c>
      <c r="J459" t="s">
        <v>6</v>
      </c>
    </row>
    <row r="460" spans="2:10" x14ac:dyDescent="0.45">
      <c r="B460" t="s">
        <v>442</v>
      </c>
      <c r="C460" t="s">
        <v>25</v>
      </c>
      <c r="D460">
        <v>2.0751030786367412E-2</v>
      </c>
      <c r="E460" t="s">
        <v>6</v>
      </c>
      <c r="G460" t="s">
        <v>443</v>
      </c>
      <c r="H460" t="s">
        <v>25</v>
      </c>
      <c r="I460">
        <v>2.215029270473428E-2</v>
      </c>
      <c r="J460" t="s">
        <v>6</v>
      </c>
    </row>
    <row r="461" spans="2:10" x14ac:dyDescent="0.45">
      <c r="B461" t="s">
        <v>442</v>
      </c>
      <c r="C461" t="s">
        <v>26</v>
      </c>
      <c r="D461">
        <v>0</v>
      </c>
      <c r="E461" t="s">
        <v>6</v>
      </c>
      <c r="G461" t="s">
        <v>443</v>
      </c>
      <c r="H461" t="s">
        <v>26</v>
      </c>
      <c r="I461">
        <v>9.0629360595432654E-2</v>
      </c>
      <c r="J461" t="s">
        <v>6</v>
      </c>
    </row>
    <row r="462" spans="2:10" x14ac:dyDescent="0.45">
      <c r="B462" t="s">
        <v>442</v>
      </c>
      <c r="C462" t="s">
        <v>27</v>
      </c>
      <c r="D462">
        <v>3.5073824711195616E-3</v>
      </c>
      <c r="E462" t="s">
        <v>6</v>
      </c>
      <c r="G462" t="s">
        <v>443</v>
      </c>
      <c r="H462" t="s">
        <v>27</v>
      </c>
      <c r="I462">
        <v>4.5332727706342446E-2</v>
      </c>
      <c r="J462" t="s">
        <v>6</v>
      </c>
    </row>
    <row r="463" spans="2:10" x14ac:dyDescent="0.45">
      <c r="B463" t="s">
        <v>442</v>
      </c>
      <c r="C463" t="s">
        <v>28</v>
      </c>
      <c r="D463">
        <v>5.5674007444198134E-2</v>
      </c>
      <c r="E463" t="s">
        <v>6</v>
      </c>
      <c r="G463" t="s">
        <v>443</v>
      </c>
      <c r="H463" t="s">
        <v>28</v>
      </c>
      <c r="I463">
        <v>3.2968660366012904E-2</v>
      </c>
      <c r="J463" t="s">
        <v>6</v>
      </c>
    </row>
    <row r="464" spans="2:10" x14ac:dyDescent="0.45">
      <c r="B464" t="s">
        <v>442</v>
      </c>
      <c r="C464" t="s">
        <v>29</v>
      </c>
      <c r="D464">
        <v>8.5797359666308651E-2</v>
      </c>
      <c r="E464" t="s">
        <v>6</v>
      </c>
      <c r="G464" t="s">
        <v>443</v>
      </c>
      <c r="H464" t="s">
        <v>29</v>
      </c>
      <c r="I464">
        <v>3.2891734887375769E-2</v>
      </c>
      <c r="J464" t="s">
        <v>6</v>
      </c>
    </row>
    <row r="465" spans="2:10" x14ac:dyDescent="0.45">
      <c r="B465" t="s">
        <v>442</v>
      </c>
      <c r="C465" t="s">
        <v>30</v>
      </c>
      <c r="D465">
        <v>4.2156352918429341E-2</v>
      </c>
      <c r="E465" t="s">
        <v>6</v>
      </c>
      <c r="G465" t="s">
        <v>443</v>
      </c>
      <c r="H465" t="s">
        <v>30</v>
      </c>
      <c r="I465">
        <v>3.3219350500209667E-2</v>
      </c>
      <c r="J465" t="s">
        <v>6</v>
      </c>
    </row>
    <row r="466" spans="2:10" x14ac:dyDescent="0.45">
      <c r="B466" t="s">
        <v>442</v>
      </c>
      <c r="C466" t="s">
        <v>31</v>
      </c>
      <c r="D466">
        <v>1.7341523338668791E-3</v>
      </c>
      <c r="E466" t="s">
        <v>6</v>
      </c>
      <c r="G466" t="s">
        <v>443</v>
      </c>
      <c r="H466" t="s">
        <v>31</v>
      </c>
      <c r="I466">
        <v>3.4195743106740964E-2</v>
      </c>
      <c r="J466" t="s">
        <v>6</v>
      </c>
    </row>
    <row r="467" spans="2:10" x14ac:dyDescent="0.45">
      <c r="B467" t="s">
        <v>444</v>
      </c>
      <c r="C467" t="s">
        <v>5</v>
      </c>
      <c r="D467">
        <v>0</v>
      </c>
      <c r="E467" t="s">
        <v>6</v>
      </c>
      <c r="G467" t="s">
        <v>445</v>
      </c>
      <c r="H467" t="s">
        <v>5</v>
      </c>
      <c r="I467">
        <v>0.11179448615498079</v>
      </c>
      <c r="J467" t="s">
        <v>6</v>
      </c>
    </row>
    <row r="468" spans="2:10" x14ac:dyDescent="0.45">
      <c r="B468" t="s">
        <v>444</v>
      </c>
      <c r="C468" t="s">
        <v>9</v>
      </c>
      <c r="D468">
        <v>2.7954761345785221E-5</v>
      </c>
      <c r="E468" t="s">
        <v>6</v>
      </c>
      <c r="G468" t="s">
        <v>445</v>
      </c>
      <c r="H468" t="s">
        <v>9</v>
      </c>
      <c r="I468">
        <v>5.7685096807492682E-2</v>
      </c>
      <c r="J468" t="s">
        <v>6</v>
      </c>
    </row>
    <row r="469" spans="2:10" x14ac:dyDescent="0.45">
      <c r="B469" t="s">
        <v>444</v>
      </c>
      <c r="C469" t="s">
        <v>10</v>
      </c>
      <c r="D469">
        <v>2.4967900137120327E-2</v>
      </c>
      <c r="E469" t="s">
        <v>6</v>
      </c>
      <c r="G469" t="s">
        <v>445</v>
      </c>
      <c r="H469" t="s">
        <v>10</v>
      </c>
      <c r="I469">
        <v>4.263698377630213E-2</v>
      </c>
      <c r="J469" t="s">
        <v>6</v>
      </c>
    </row>
    <row r="470" spans="2:10" x14ac:dyDescent="0.45">
      <c r="B470" t="s">
        <v>444</v>
      </c>
      <c r="C470" t="s">
        <v>11</v>
      </c>
      <c r="D470">
        <v>5.7688131350101236E-2</v>
      </c>
      <c r="E470" t="s">
        <v>6</v>
      </c>
      <c r="G470" t="s">
        <v>445</v>
      </c>
      <c r="H470" t="s">
        <v>11</v>
      </c>
      <c r="I470">
        <v>4.1001530307004722E-2</v>
      </c>
      <c r="J470" t="s">
        <v>6</v>
      </c>
    </row>
    <row r="471" spans="2:10" x14ac:dyDescent="0.45">
      <c r="B471" t="s">
        <v>444</v>
      </c>
      <c r="C471" t="s">
        <v>12</v>
      </c>
      <c r="D471">
        <v>2.4896418443748198E-2</v>
      </c>
      <c r="E471" t="s">
        <v>6</v>
      </c>
      <c r="G471" t="s">
        <v>445</v>
      </c>
      <c r="H471" t="s">
        <v>12</v>
      </c>
      <c r="I471">
        <v>4.2338240125896993E-2</v>
      </c>
      <c r="J471" t="s">
        <v>6</v>
      </c>
    </row>
    <row r="472" spans="2:10" x14ac:dyDescent="0.45">
      <c r="B472" t="s">
        <v>444</v>
      </c>
      <c r="C472" t="s">
        <v>13</v>
      </c>
      <c r="D472">
        <v>1.7563320361391362E-4</v>
      </c>
      <c r="E472" t="s">
        <v>6</v>
      </c>
      <c r="G472" t="s">
        <v>445</v>
      </c>
      <c r="H472" t="s">
        <v>13</v>
      </c>
      <c r="I472">
        <v>4.4056646688981169E-2</v>
      </c>
      <c r="J472" t="s">
        <v>6</v>
      </c>
    </row>
    <row r="473" spans="2:10" x14ac:dyDescent="0.45">
      <c r="B473" t="s">
        <v>444</v>
      </c>
      <c r="C473" t="s">
        <v>14</v>
      </c>
      <c r="D473">
        <v>0</v>
      </c>
      <c r="E473" t="s">
        <v>6</v>
      </c>
      <c r="G473" t="s">
        <v>445</v>
      </c>
      <c r="H473" t="s">
        <v>14</v>
      </c>
      <c r="I473">
        <v>7.799820240693893E-2</v>
      </c>
      <c r="J473" t="s">
        <v>6</v>
      </c>
    </row>
    <row r="474" spans="2:10" x14ac:dyDescent="0.45">
      <c r="B474" t="s">
        <v>444</v>
      </c>
      <c r="C474" t="s">
        <v>15</v>
      </c>
      <c r="D474">
        <v>1.3521180854211712E-2</v>
      </c>
      <c r="E474" t="s">
        <v>6</v>
      </c>
      <c r="G474" t="s">
        <v>445</v>
      </c>
      <c r="H474" t="s">
        <v>15</v>
      </c>
      <c r="I474">
        <v>3.5507145813698696E-2</v>
      </c>
      <c r="J474" t="s">
        <v>6</v>
      </c>
    </row>
    <row r="475" spans="2:10" x14ac:dyDescent="0.45">
      <c r="B475" t="s">
        <v>444</v>
      </c>
      <c r="C475" t="s">
        <v>16</v>
      </c>
      <c r="D475">
        <v>8.6533160015220462E-2</v>
      </c>
      <c r="E475" t="s">
        <v>6</v>
      </c>
      <c r="G475" t="s">
        <v>445</v>
      </c>
      <c r="H475" t="s">
        <v>16</v>
      </c>
      <c r="I475">
        <v>2.390030970176452E-2</v>
      </c>
      <c r="J475" t="s">
        <v>6</v>
      </c>
    </row>
    <row r="476" spans="2:10" x14ac:dyDescent="0.45">
      <c r="B476" t="s">
        <v>444</v>
      </c>
      <c r="C476" t="s">
        <v>17</v>
      </c>
      <c r="D476">
        <v>0.12435513738184535</v>
      </c>
      <c r="E476" t="s">
        <v>6</v>
      </c>
      <c r="G476" t="s">
        <v>445</v>
      </c>
      <c r="H476" t="s">
        <v>17</v>
      </c>
      <c r="I476">
        <v>2.5470722459803186E-2</v>
      </c>
      <c r="J476" t="s">
        <v>6</v>
      </c>
    </row>
    <row r="477" spans="2:10" x14ac:dyDescent="0.45">
      <c r="B477" t="s">
        <v>444</v>
      </c>
      <c r="C477" t="s">
        <v>18</v>
      </c>
      <c r="D477">
        <v>7.8686502223800373E-2</v>
      </c>
      <c r="E477" t="s">
        <v>6</v>
      </c>
      <c r="G477" t="s">
        <v>445</v>
      </c>
      <c r="H477" t="s">
        <v>18</v>
      </c>
      <c r="I477">
        <v>2.7130182130584234E-2</v>
      </c>
      <c r="J477" t="s">
        <v>6</v>
      </c>
    </row>
    <row r="478" spans="2:10" x14ac:dyDescent="0.45">
      <c r="B478" t="s">
        <v>444</v>
      </c>
      <c r="C478" t="s">
        <v>19</v>
      </c>
      <c r="D478">
        <v>9.6995491232739119E-3</v>
      </c>
      <c r="E478" t="s">
        <v>6</v>
      </c>
      <c r="G478" t="s">
        <v>445</v>
      </c>
      <c r="H478" t="s">
        <v>19</v>
      </c>
      <c r="I478">
        <v>2.8782863106935112E-2</v>
      </c>
      <c r="J478" t="s">
        <v>6</v>
      </c>
    </row>
    <row r="479" spans="2:10" x14ac:dyDescent="0.45">
      <c r="B479" t="s">
        <v>444</v>
      </c>
      <c r="C479" t="s">
        <v>20</v>
      </c>
      <c r="D479">
        <v>7.3428157175176367E-8</v>
      </c>
      <c r="E479" t="s">
        <v>6</v>
      </c>
      <c r="G479" t="s">
        <v>445</v>
      </c>
      <c r="H479" t="s">
        <v>20</v>
      </c>
      <c r="I479">
        <v>5.7538319522149023E-2</v>
      </c>
      <c r="J479" t="s">
        <v>6</v>
      </c>
    </row>
    <row r="480" spans="2:10" x14ac:dyDescent="0.45">
      <c r="B480" t="s">
        <v>444</v>
      </c>
      <c r="C480" t="s">
        <v>21</v>
      </c>
      <c r="D480">
        <v>2.5218631412864258E-2</v>
      </c>
      <c r="E480" t="s">
        <v>6</v>
      </c>
      <c r="G480" t="s">
        <v>445</v>
      </c>
      <c r="H480" t="s">
        <v>21</v>
      </c>
      <c r="I480">
        <v>2.5165844154860936E-2</v>
      </c>
      <c r="J480" t="s">
        <v>6</v>
      </c>
    </row>
    <row r="481" spans="2:10" x14ac:dyDescent="0.45">
      <c r="B481" t="s">
        <v>444</v>
      </c>
      <c r="C481" t="s">
        <v>22</v>
      </c>
      <c r="D481">
        <v>0.11413903474965556</v>
      </c>
      <c r="E481" t="s">
        <v>6</v>
      </c>
      <c r="G481" t="s">
        <v>445</v>
      </c>
      <c r="H481" t="s">
        <v>22</v>
      </c>
      <c r="I481">
        <v>1.6748319457191484E-2</v>
      </c>
      <c r="J481" t="s">
        <v>6</v>
      </c>
    </row>
    <row r="482" spans="2:10" x14ac:dyDescent="0.45">
      <c r="B482" t="s">
        <v>444</v>
      </c>
      <c r="C482" t="s">
        <v>23</v>
      </c>
      <c r="D482">
        <v>0.14403658723789003</v>
      </c>
      <c r="E482" t="s">
        <v>6</v>
      </c>
      <c r="G482" t="s">
        <v>445</v>
      </c>
      <c r="H482" t="s">
        <v>23</v>
      </c>
      <c r="I482">
        <v>1.7406097899504008E-2</v>
      </c>
      <c r="J482" t="s">
        <v>6</v>
      </c>
    </row>
    <row r="483" spans="2:10" x14ac:dyDescent="0.45">
      <c r="B483" t="s">
        <v>444</v>
      </c>
      <c r="C483" t="s">
        <v>24</v>
      </c>
      <c r="D483">
        <v>9.5652766703317252E-2</v>
      </c>
      <c r="E483" t="s">
        <v>6</v>
      </c>
      <c r="G483" t="s">
        <v>445</v>
      </c>
      <c r="H483" t="s">
        <v>24</v>
      </c>
      <c r="I483">
        <v>1.7612826077796222E-2</v>
      </c>
      <c r="J483" t="s">
        <v>6</v>
      </c>
    </row>
    <row r="484" spans="2:10" x14ac:dyDescent="0.45">
      <c r="B484" t="s">
        <v>444</v>
      </c>
      <c r="C484" t="s">
        <v>25</v>
      </c>
      <c r="D484">
        <v>1.8768131152599787E-2</v>
      </c>
      <c r="E484" t="s">
        <v>6</v>
      </c>
      <c r="G484" t="s">
        <v>445</v>
      </c>
      <c r="H484" t="s">
        <v>25</v>
      </c>
      <c r="I484">
        <v>1.7493729247721711E-2</v>
      </c>
      <c r="J484" t="s">
        <v>6</v>
      </c>
    </row>
    <row r="485" spans="2:10" x14ac:dyDescent="0.45">
      <c r="B485" t="s">
        <v>444</v>
      </c>
      <c r="C485" t="s">
        <v>26</v>
      </c>
      <c r="D485">
        <v>0</v>
      </c>
      <c r="E485" t="s">
        <v>6</v>
      </c>
      <c r="G485" t="s">
        <v>445</v>
      </c>
      <c r="H485" t="s">
        <v>26</v>
      </c>
      <c r="I485">
        <v>9.956063934768114E-2</v>
      </c>
      <c r="J485" t="s">
        <v>6</v>
      </c>
    </row>
    <row r="486" spans="2:10" x14ac:dyDescent="0.45">
      <c r="B486" t="s">
        <v>444</v>
      </c>
      <c r="C486" t="s">
        <v>27</v>
      </c>
      <c r="D486">
        <v>3.7442115754870537E-3</v>
      </c>
      <c r="E486" t="s">
        <v>6</v>
      </c>
      <c r="G486" t="s">
        <v>445</v>
      </c>
      <c r="H486" t="s">
        <v>27</v>
      </c>
      <c r="I486">
        <v>5.1234290906507225E-2</v>
      </c>
      <c r="J486" t="s">
        <v>6</v>
      </c>
    </row>
    <row r="487" spans="2:10" x14ac:dyDescent="0.45">
      <c r="B487" t="s">
        <v>444</v>
      </c>
      <c r="C487" t="s">
        <v>28</v>
      </c>
      <c r="D487">
        <v>5.2818531846363731E-2</v>
      </c>
      <c r="E487" t="s">
        <v>6</v>
      </c>
      <c r="G487" t="s">
        <v>445</v>
      </c>
      <c r="H487" t="s">
        <v>28</v>
      </c>
      <c r="I487">
        <v>3.5675721113769987E-2</v>
      </c>
      <c r="J487" t="s">
        <v>6</v>
      </c>
    </row>
    <row r="488" spans="2:10" x14ac:dyDescent="0.45">
      <c r="B488" t="s">
        <v>444</v>
      </c>
      <c r="C488" t="s">
        <v>29</v>
      </c>
      <c r="D488">
        <v>8.2817857158208566E-2</v>
      </c>
      <c r="E488" t="s">
        <v>6</v>
      </c>
      <c r="G488" t="s">
        <v>445</v>
      </c>
      <c r="H488" t="s">
        <v>29</v>
      </c>
      <c r="I488">
        <v>3.283417798065482E-2</v>
      </c>
      <c r="J488" t="s">
        <v>6</v>
      </c>
    </row>
    <row r="489" spans="2:10" x14ac:dyDescent="0.45">
      <c r="B489" t="s">
        <v>444</v>
      </c>
      <c r="C489" t="s">
        <v>30</v>
      </c>
      <c r="D489">
        <v>4.0565361752097032E-2</v>
      </c>
      <c r="E489" t="s">
        <v>6</v>
      </c>
      <c r="G489" t="s">
        <v>445</v>
      </c>
      <c r="H489" t="s">
        <v>30</v>
      </c>
      <c r="I489">
        <v>3.3347625963489211E-2</v>
      </c>
      <c r="J489" t="s">
        <v>6</v>
      </c>
    </row>
    <row r="490" spans="2:10" x14ac:dyDescent="0.45">
      <c r="B490" t="s">
        <v>444</v>
      </c>
      <c r="C490" t="s">
        <v>31</v>
      </c>
      <c r="D490">
        <v>1.6872454890761415E-3</v>
      </c>
      <c r="E490" t="s">
        <v>6</v>
      </c>
      <c r="G490" t="s">
        <v>445</v>
      </c>
      <c r="H490" t="s">
        <v>31</v>
      </c>
      <c r="I490">
        <v>3.7079998848290184E-2</v>
      </c>
      <c r="J490" t="s">
        <v>6</v>
      </c>
    </row>
    <row r="491" spans="2:10" x14ac:dyDescent="0.45">
      <c r="B491" t="s">
        <v>446</v>
      </c>
      <c r="C491" t="s">
        <v>5</v>
      </c>
      <c r="D491">
        <v>0</v>
      </c>
      <c r="E491" t="s">
        <v>6</v>
      </c>
      <c r="G491" t="s">
        <v>447</v>
      </c>
      <c r="H491" t="s">
        <v>5</v>
      </c>
      <c r="I491">
        <v>0.10416516416594578</v>
      </c>
      <c r="J491" t="s">
        <v>6</v>
      </c>
    </row>
    <row r="492" spans="2:10" x14ac:dyDescent="0.45">
      <c r="B492" t="s">
        <v>446</v>
      </c>
      <c r="C492" t="s">
        <v>9</v>
      </c>
      <c r="D492">
        <v>6.7789649971111436E-5</v>
      </c>
      <c r="E492" t="s">
        <v>6</v>
      </c>
      <c r="G492" t="s">
        <v>447</v>
      </c>
      <c r="H492" t="s">
        <v>9</v>
      </c>
      <c r="I492">
        <v>5.4355198490380653E-2</v>
      </c>
      <c r="J492" t="s">
        <v>6</v>
      </c>
    </row>
    <row r="493" spans="2:10" x14ac:dyDescent="0.45">
      <c r="B493" t="s">
        <v>446</v>
      </c>
      <c r="C493" t="s">
        <v>10</v>
      </c>
      <c r="D493">
        <v>2.8728367036539096E-2</v>
      </c>
      <c r="E493" t="s">
        <v>6</v>
      </c>
      <c r="G493" t="s">
        <v>447</v>
      </c>
      <c r="H493" t="s">
        <v>10</v>
      </c>
      <c r="I493">
        <v>4.0201185156671621E-2</v>
      </c>
      <c r="J493" t="s">
        <v>6</v>
      </c>
    </row>
    <row r="494" spans="2:10" x14ac:dyDescent="0.45">
      <c r="B494" t="s">
        <v>446</v>
      </c>
      <c r="C494" t="s">
        <v>11</v>
      </c>
      <c r="D494">
        <v>6.0231274227362769E-2</v>
      </c>
      <c r="E494" t="s">
        <v>6</v>
      </c>
      <c r="G494" t="s">
        <v>447</v>
      </c>
      <c r="H494" t="s">
        <v>11</v>
      </c>
      <c r="I494">
        <v>3.8352266856743651E-2</v>
      </c>
      <c r="J494" t="s">
        <v>6</v>
      </c>
    </row>
    <row r="495" spans="2:10" x14ac:dyDescent="0.45">
      <c r="B495" t="s">
        <v>446</v>
      </c>
      <c r="C495" t="s">
        <v>12</v>
      </c>
      <c r="D495">
        <v>2.571879435212859E-2</v>
      </c>
      <c r="E495" t="s">
        <v>6</v>
      </c>
      <c r="G495" t="s">
        <v>447</v>
      </c>
      <c r="H495" t="s">
        <v>12</v>
      </c>
      <c r="I495">
        <v>3.9072536906044071E-2</v>
      </c>
      <c r="J495" t="s">
        <v>6</v>
      </c>
    </row>
    <row r="496" spans="2:10" x14ac:dyDescent="0.45">
      <c r="B496" t="s">
        <v>446</v>
      </c>
      <c r="C496" t="s">
        <v>13</v>
      </c>
      <c r="D496">
        <v>1.7398275855674161E-4</v>
      </c>
      <c r="E496" t="s">
        <v>6</v>
      </c>
      <c r="G496" t="s">
        <v>447</v>
      </c>
      <c r="H496" t="s">
        <v>13</v>
      </c>
      <c r="I496">
        <v>4.127265620532642E-2</v>
      </c>
      <c r="J496" t="s">
        <v>6</v>
      </c>
    </row>
    <row r="497" spans="2:10" x14ac:dyDescent="0.45">
      <c r="B497" t="s">
        <v>446</v>
      </c>
      <c r="C497" t="s">
        <v>14</v>
      </c>
      <c r="D497">
        <v>0</v>
      </c>
      <c r="E497" t="s">
        <v>6</v>
      </c>
      <c r="G497" t="s">
        <v>447</v>
      </c>
      <c r="H497" t="s">
        <v>14</v>
      </c>
      <c r="I497">
        <v>8.8014780147416816E-2</v>
      </c>
      <c r="J497" t="s">
        <v>6</v>
      </c>
    </row>
    <row r="498" spans="2:10" x14ac:dyDescent="0.45">
      <c r="B498" t="s">
        <v>446</v>
      </c>
      <c r="C498" t="s">
        <v>15</v>
      </c>
      <c r="D498">
        <v>1.4379912924270691E-2</v>
      </c>
      <c r="E498" t="s">
        <v>6</v>
      </c>
      <c r="G498" t="s">
        <v>447</v>
      </c>
      <c r="H498" t="s">
        <v>15</v>
      </c>
      <c r="I498">
        <v>3.6899975240269729E-2</v>
      </c>
      <c r="J498" t="s">
        <v>6</v>
      </c>
    </row>
    <row r="499" spans="2:10" x14ac:dyDescent="0.45">
      <c r="B499" t="s">
        <v>446</v>
      </c>
      <c r="C499" t="s">
        <v>16</v>
      </c>
      <c r="D499">
        <v>8.8770496220171122E-2</v>
      </c>
      <c r="E499" t="s">
        <v>6</v>
      </c>
      <c r="G499" t="s">
        <v>447</v>
      </c>
      <c r="H499" t="s">
        <v>16</v>
      </c>
      <c r="I499">
        <v>2.2838574203964835E-2</v>
      </c>
      <c r="J499" t="s">
        <v>6</v>
      </c>
    </row>
    <row r="500" spans="2:10" x14ac:dyDescent="0.45">
      <c r="B500" t="s">
        <v>446</v>
      </c>
      <c r="C500" t="s">
        <v>17</v>
      </c>
      <c r="D500">
        <v>0.12075249204579795</v>
      </c>
      <c r="E500" t="s">
        <v>6</v>
      </c>
      <c r="G500" t="s">
        <v>447</v>
      </c>
      <c r="H500" t="s">
        <v>17</v>
      </c>
      <c r="I500">
        <v>2.5156679416848932E-2</v>
      </c>
      <c r="J500" t="s">
        <v>6</v>
      </c>
    </row>
    <row r="501" spans="2:10" x14ac:dyDescent="0.45">
      <c r="B501" t="s">
        <v>446</v>
      </c>
      <c r="C501" t="s">
        <v>18</v>
      </c>
      <c r="D501">
        <v>7.5849658105434731E-2</v>
      </c>
      <c r="E501" t="s">
        <v>6</v>
      </c>
      <c r="G501" t="s">
        <v>447</v>
      </c>
      <c r="H501" t="s">
        <v>18</v>
      </c>
      <c r="I501">
        <v>2.7483296820542378E-2</v>
      </c>
      <c r="J501" t="s">
        <v>6</v>
      </c>
    </row>
    <row r="502" spans="2:10" x14ac:dyDescent="0.45">
      <c r="B502" t="s">
        <v>446</v>
      </c>
      <c r="C502" t="s">
        <v>19</v>
      </c>
      <c r="D502">
        <v>8.8321263290424869E-3</v>
      </c>
      <c r="E502" t="s">
        <v>6</v>
      </c>
      <c r="G502" t="s">
        <v>447</v>
      </c>
      <c r="H502" t="s">
        <v>19</v>
      </c>
      <c r="I502">
        <v>3.0587537005164245E-2</v>
      </c>
      <c r="J502" t="s">
        <v>6</v>
      </c>
    </row>
    <row r="503" spans="2:10" x14ac:dyDescent="0.45">
      <c r="B503" t="s">
        <v>446</v>
      </c>
      <c r="C503" t="s">
        <v>20</v>
      </c>
      <c r="D503">
        <v>0</v>
      </c>
      <c r="E503" t="s">
        <v>6</v>
      </c>
      <c r="G503" t="s">
        <v>447</v>
      </c>
      <c r="H503" t="s">
        <v>20</v>
      </c>
      <c r="I503">
        <v>6.1404008366213507E-2</v>
      </c>
      <c r="J503" t="s">
        <v>6</v>
      </c>
    </row>
    <row r="504" spans="2:10" x14ac:dyDescent="0.45">
      <c r="B504" t="s">
        <v>446</v>
      </c>
      <c r="C504" t="s">
        <v>21</v>
      </c>
      <c r="D504">
        <v>2.5905465927355601E-2</v>
      </c>
      <c r="E504" t="s">
        <v>6</v>
      </c>
      <c r="G504" t="s">
        <v>447</v>
      </c>
      <c r="H504" t="s">
        <v>21</v>
      </c>
      <c r="I504">
        <v>2.7107647957795293E-2</v>
      </c>
      <c r="J504" t="s">
        <v>6</v>
      </c>
    </row>
    <row r="505" spans="2:10" x14ac:dyDescent="0.45">
      <c r="B505" t="s">
        <v>446</v>
      </c>
      <c r="C505" t="s">
        <v>22</v>
      </c>
      <c r="D505">
        <v>0.11314231325737654</v>
      </c>
      <c r="E505" t="s">
        <v>6</v>
      </c>
      <c r="G505" t="s">
        <v>447</v>
      </c>
      <c r="H505" t="s">
        <v>22</v>
      </c>
      <c r="I505">
        <v>1.888174220599835E-2</v>
      </c>
      <c r="J505" t="s">
        <v>6</v>
      </c>
    </row>
    <row r="506" spans="2:10" x14ac:dyDescent="0.45">
      <c r="B506" t="s">
        <v>446</v>
      </c>
      <c r="C506" t="s">
        <v>23</v>
      </c>
      <c r="D506">
        <v>0.14048645034882387</v>
      </c>
      <c r="E506" t="s">
        <v>6</v>
      </c>
      <c r="G506" t="s">
        <v>447</v>
      </c>
      <c r="H506" t="s">
        <v>23</v>
      </c>
      <c r="I506">
        <v>2.0019622362383107E-2</v>
      </c>
      <c r="J506" t="s">
        <v>6</v>
      </c>
    </row>
    <row r="507" spans="2:10" x14ac:dyDescent="0.45">
      <c r="B507" t="s">
        <v>446</v>
      </c>
      <c r="C507" t="s">
        <v>24</v>
      </c>
      <c r="D507">
        <v>9.3881094863046147E-2</v>
      </c>
      <c r="E507" t="s">
        <v>6</v>
      </c>
      <c r="G507" t="s">
        <v>447</v>
      </c>
      <c r="H507" t="s">
        <v>24</v>
      </c>
      <c r="I507">
        <v>2.0349567882414227E-2</v>
      </c>
      <c r="J507" t="s">
        <v>6</v>
      </c>
    </row>
    <row r="508" spans="2:10" x14ac:dyDescent="0.45">
      <c r="B508" t="s">
        <v>446</v>
      </c>
      <c r="C508" t="s">
        <v>25</v>
      </c>
      <c r="D508">
        <v>1.740120396741102E-2</v>
      </c>
      <c r="E508" t="s">
        <v>6</v>
      </c>
      <c r="G508" t="s">
        <v>447</v>
      </c>
      <c r="H508" t="s">
        <v>25</v>
      </c>
      <c r="I508">
        <v>1.9496317229066824E-2</v>
      </c>
      <c r="J508" t="s">
        <v>6</v>
      </c>
    </row>
    <row r="509" spans="2:10" x14ac:dyDescent="0.45">
      <c r="B509" t="s">
        <v>446</v>
      </c>
      <c r="C509" t="s">
        <v>26</v>
      </c>
      <c r="D509">
        <v>0</v>
      </c>
      <c r="E509" t="s">
        <v>6</v>
      </c>
      <c r="G509" t="s">
        <v>447</v>
      </c>
      <c r="H509" t="s">
        <v>26</v>
      </c>
      <c r="I509">
        <v>9.6581514985007388E-2</v>
      </c>
      <c r="J509" t="s">
        <v>6</v>
      </c>
    </row>
    <row r="510" spans="2:10" x14ac:dyDescent="0.45">
      <c r="B510" t="s">
        <v>446</v>
      </c>
      <c r="C510" t="s">
        <v>27</v>
      </c>
      <c r="D510">
        <v>4.400658570109588E-3</v>
      </c>
      <c r="E510" t="s">
        <v>6</v>
      </c>
      <c r="G510" t="s">
        <v>447</v>
      </c>
      <c r="H510" t="s">
        <v>27</v>
      </c>
      <c r="I510">
        <v>4.7749595692093319E-2</v>
      </c>
      <c r="J510" t="s">
        <v>6</v>
      </c>
    </row>
    <row r="511" spans="2:10" x14ac:dyDescent="0.45">
      <c r="B511" t="s">
        <v>446</v>
      </c>
      <c r="C511" t="s">
        <v>28</v>
      </c>
      <c r="D511">
        <v>5.4602330901298499E-2</v>
      </c>
      <c r="E511" t="s">
        <v>6</v>
      </c>
      <c r="G511" t="s">
        <v>447</v>
      </c>
      <c r="H511" t="s">
        <v>28</v>
      </c>
      <c r="I511">
        <v>3.3678828749154552E-2</v>
      </c>
      <c r="J511" t="s">
        <v>6</v>
      </c>
    </row>
    <row r="512" spans="2:10" x14ac:dyDescent="0.45">
      <c r="B512" t="s">
        <v>446</v>
      </c>
      <c r="C512" t="s">
        <v>29</v>
      </c>
      <c r="D512">
        <v>8.3972525972793505E-2</v>
      </c>
      <c r="E512" t="s">
        <v>6</v>
      </c>
      <c r="G512" t="s">
        <v>447</v>
      </c>
      <c r="H512" t="s">
        <v>29</v>
      </c>
      <c r="I512">
        <v>3.3382897229110545E-2</v>
      </c>
      <c r="J512" t="s">
        <v>6</v>
      </c>
    </row>
    <row r="513" spans="2:10" x14ac:dyDescent="0.45">
      <c r="B513" t="s">
        <v>446</v>
      </c>
      <c r="C513" t="s">
        <v>30</v>
      </c>
      <c r="D513">
        <v>4.1150755849185761E-2</v>
      </c>
      <c r="E513" t="s">
        <v>6</v>
      </c>
      <c r="G513" t="s">
        <v>447</v>
      </c>
      <c r="H513" t="s">
        <v>30</v>
      </c>
      <c r="I513">
        <v>3.4922682407463358E-2</v>
      </c>
      <c r="J513" t="s">
        <v>6</v>
      </c>
    </row>
    <row r="514" spans="2:10" x14ac:dyDescent="0.45">
      <c r="B514" t="s">
        <v>446</v>
      </c>
      <c r="C514" t="s">
        <v>31</v>
      </c>
      <c r="D514">
        <v>1.5523066933247401E-3</v>
      </c>
      <c r="E514" t="s">
        <v>6</v>
      </c>
      <c r="G514" t="s">
        <v>447</v>
      </c>
      <c r="H514" t="s">
        <v>31</v>
      </c>
      <c r="I514">
        <v>3.8025724317976801E-2</v>
      </c>
      <c r="J514" t="s">
        <v>6</v>
      </c>
    </row>
    <row r="515" spans="2:10" x14ac:dyDescent="0.45">
      <c r="B515" t="s">
        <v>448</v>
      </c>
      <c r="C515" t="s">
        <v>5</v>
      </c>
      <c r="D515">
        <v>0</v>
      </c>
      <c r="E515" t="s">
        <v>6</v>
      </c>
      <c r="G515" t="s">
        <v>449</v>
      </c>
      <c r="H515" t="s">
        <v>5</v>
      </c>
      <c r="I515">
        <v>0.10484127515821914</v>
      </c>
      <c r="J515" t="s">
        <v>6</v>
      </c>
    </row>
    <row r="516" spans="2:10" x14ac:dyDescent="0.45">
      <c r="B516" t="s">
        <v>448</v>
      </c>
      <c r="C516" t="s">
        <v>9</v>
      </c>
      <c r="D516">
        <v>3.7571789213207363E-5</v>
      </c>
      <c r="E516" t="s">
        <v>6</v>
      </c>
      <c r="G516" t="s">
        <v>449</v>
      </c>
      <c r="H516" t="s">
        <v>9</v>
      </c>
      <c r="I516">
        <v>5.5253930504276426E-2</v>
      </c>
      <c r="J516" t="s">
        <v>6</v>
      </c>
    </row>
    <row r="517" spans="2:10" x14ac:dyDescent="0.45">
      <c r="B517" t="s">
        <v>448</v>
      </c>
      <c r="C517" t="s">
        <v>10</v>
      </c>
      <c r="D517">
        <v>3.138965840802236E-2</v>
      </c>
      <c r="E517" t="s">
        <v>6</v>
      </c>
      <c r="G517" t="s">
        <v>449</v>
      </c>
      <c r="H517" t="s">
        <v>10</v>
      </c>
      <c r="I517">
        <v>4.0164884338683503E-2</v>
      </c>
      <c r="J517" t="s">
        <v>6</v>
      </c>
    </row>
    <row r="518" spans="2:10" x14ac:dyDescent="0.45">
      <c r="B518" t="s">
        <v>448</v>
      </c>
      <c r="C518" t="s">
        <v>11</v>
      </c>
      <c r="D518">
        <v>6.7020291979460259E-2</v>
      </c>
      <c r="E518" t="s">
        <v>6</v>
      </c>
      <c r="G518" t="s">
        <v>449</v>
      </c>
      <c r="H518" t="s">
        <v>11</v>
      </c>
      <c r="I518">
        <v>3.8482241152098362E-2</v>
      </c>
      <c r="J518" t="s">
        <v>6</v>
      </c>
    </row>
    <row r="519" spans="2:10" x14ac:dyDescent="0.45">
      <c r="B519" t="s">
        <v>448</v>
      </c>
      <c r="C519" t="s">
        <v>12</v>
      </c>
      <c r="D519">
        <v>3.0004766057667283E-2</v>
      </c>
      <c r="E519" t="s">
        <v>6</v>
      </c>
      <c r="G519" t="s">
        <v>449</v>
      </c>
      <c r="H519" t="s">
        <v>12</v>
      </c>
      <c r="I519">
        <v>3.8487891394512953E-2</v>
      </c>
      <c r="J519" t="s">
        <v>6</v>
      </c>
    </row>
    <row r="520" spans="2:10" x14ac:dyDescent="0.45">
      <c r="B520" t="s">
        <v>448</v>
      </c>
      <c r="C520" t="s">
        <v>13</v>
      </c>
      <c r="D520">
        <v>4.4339678048816561E-4</v>
      </c>
      <c r="E520" t="s">
        <v>6</v>
      </c>
      <c r="G520" t="s">
        <v>449</v>
      </c>
      <c r="H520" t="s">
        <v>13</v>
      </c>
      <c r="I520">
        <v>3.9832189632382699E-2</v>
      </c>
      <c r="J520" t="s">
        <v>6</v>
      </c>
    </row>
    <row r="521" spans="2:10" x14ac:dyDescent="0.45">
      <c r="B521" t="s">
        <v>448</v>
      </c>
      <c r="C521" t="s">
        <v>14</v>
      </c>
      <c r="D521">
        <v>0</v>
      </c>
      <c r="E521" t="s">
        <v>6</v>
      </c>
      <c r="G521" t="s">
        <v>449</v>
      </c>
      <c r="H521" t="s">
        <v>14</v>
      </c>
      <c r="I521">
        <v>8.4417536744171559E-2</v>
      </c>
      <c r="J521" t="s">
        <v>6</v>
      </c>
    </row>
    <row r="522" spans="2:10" x14ac:dyDescent="0.45">
      <c r="B522" t="s">
        <v>448</v>
      </c>
      <c r="C522" t="s">
        <v>15</v>
      </c>
      <c r="D522">
        <v>1.150856930887811E-2</v>
      </c>
      <c r="E522" t="s">
        <v>6</v>
      </c>
      <c r="G522" t="s">
        <v>449</v>
      </c>
      <c r="H522" t="s">
        <v>15</v>
      </c>
      <c r="I522">
        <v>3.7688666149052127E-2</v>
      </c>
      <c r="J522" t="s">
        <v>6</v>
      </c>
    </row>
    <row r="523" spans="2:10" x14ac:dyDescent="0.45">
      <c r="B523" t="s">
        <v>448</v>
      </c>
      <c r="C523" t="s">
        <v>16</v>
      </c>
      <c r="D523">
        <v>8.475888089919062E-2</v>
      </c>
      <c r="E523" t="s">
        <v>6</v>
      </c>
      <c r="G523" t="s">
        <v>449</v>
      </c>
      <c r="H523" t="s">
        <v>16</v>
      </c>
      <c r="I523">
        <v>2.5153510918553997E-2</v>
      </c>
      <c r="J523" t="s">
        <v>6</v>
      </c>
    </row>
    <row r="524" spans="2:10" x14ac:dyDescent="0.45">
      <c r="B524" t="s">
        <v>448</v>
      </c>
      <c r="C524" t="s">
        <v>17</v>
      </c>
      <c r="D524">
        <v>0.11802847292534624</v>
      </c>
      <c r="E524" t="s">
        <v>6</v>
      </c>
      <c r="G524" t="s">
        <v>449</v>
      </c>
      <c r="H524" t="s">
        <v>17</v>
      </c>
      <c r="I524">
        <v>2.7397154324046602E-2</v>
      </c>
      <c r="J524" t="s">
        <v>6</v>
      </c>
    </row>
    <row r="525" spans="2:10" x14ac:dyDescent="0.45">
      <c r="B525" t="s">
        <v>448</v>
      </c>
      <c r="C525" t="s">
        <v>18</v>
      </c>
      <c r="D525">
        <v>7.6708456507706566E-2</v>
      </c>
      <c r="E525" t="s">
        <v>6</v>
      </c>
      <c r="G525" t="s">
        <v>449</v>
      </c>
      <c r="H525" t="s">
        <v>18</v>
      </c>
      <c r="I525">
        <v>2.9298332794142384E-2</v>
      </c>
      <c r="J525" t="s">
        <v>6</v>
      </c>
    </row>
    <row r="526" spans="2:10" x14ac:dyDescent="0.45">
      <c r="B526" t="s">
        <v>448</v>
      </c>
      <c r="C526" t="s">
        <v>19</v>
      </c>
      <c r="D526">
        <v>1.0315920910362009E-2</v>
      </c>
      <c r="E526" t="s">
        <v>6</v>
      </c>
      <c r="G526" t="s">
        <v>449</v>
      </c>
      <c r="H526" t="s">
        <v>19</v>
      </c>
      <c r="I526">
        <v>2.9931005253373496E-2</v>
      </c>
      <c r="J526" t="s">
        <v>6</v>
      </c>
    </row>
    <row r="527" spans="2:10" x14ac:dyDescent="0.45">
      <c r="B527" t="s">
        <v>448</v>
      </c>
      <c r="C527" t="s">
        <v>20</v>
      </c>
      <c r="D527">
        <v>0</v>
      </c>
      <c r="E527" t="s">
        <v>6</v>
      </c>
      <c r="G527" t="s">
        <v>449</v>
      </c>
      <c r="H527" t="s">
        <v>20</v>
      </c>
      <c r="I527">
        <v>6.0433731106856126E-2</v>
      </c>
      <c r="J527" t="s">
        <v>6</v>
      </c>
    </row>
    <row r="528" spans="2:10" x14ac:dyDescent="0.45">
      <c r="B528" t="s">
        <v>448</v>
      </c>
      <c r="C528" t="s">
        <v>21</v>
      </c>
      <c r="D528">
        <v>2.0262387118904646E-2</v>
      </c>
      <c r="E528" t="s">
        <v>6</v>
      </c>
      <c r="G528" t="s">
        <v>449</v>
      </c>
      <c r="H528" t="s">
        <v>21</v>
      </c>
      <c r="I528">
        <v>2.6703146356690181E-2</v>
      </c>
      <c r="J528" t="s">
        <v>6</v>
      </c>
    </row>
    <row r="529" spans="2:10" x14ac:dyDescent="0.45">
      <c r="B529" t="s">
        <v>448</v>
      </c>
      <c r="C529" t="s">
        <v>22</v>
      </c>
      <c r="D529">
        <v>0.10462056219908743</v>
      </c>
      <c r="E529" t="s">
        <v>6</v>
      </c>
      <c r="G529" t="s">
        <v>449</v>
      </c>
      <c r="H529" t="s">
        <v>22</v>
      </c>
      <c r="I529">
        <v>1.9182163227722607E-2</v>
      </c>
      <c r="J529" t="s">
        <v>6</v>
      </c>
    </row>
    <row r="530" spans="2:10" x14ac:dyDescent="0.45">
      <c r="B530" t="s">
        <v>448</v>
      </c>
      <c r="C530" t="s">
        <v>23</v>
      </c>
      <c r="D530">
        <v>0.13722446841893504</v>
      </c>
      <c r="E530" t="s">
        <v>6</v>
      </c>
      <c r="G530" t="s">
        <v>449</v>
      </c>
      <c r="H530" t="s">
        <v>23</v>
      </c>
      <c r="I530">
        <v>2.0174879340141179E-2</v>
      </c>
      <c r="J530" t="s">
        <v>6</v>
      </c>
    </row>
    <row r="531" spans="2:10" x14ac:dyDescent="0.45">
      <c r="B531" t="s">
        <v>448</v>
      </c>
      <c r="C531" t="s">
        <v>24</v>
      </c>
      <c r="D531">
        <v>9.8160143254811608E-2</v>
      </c>
      <c r="E531" t="s">
        <v>6</v>
      </c>
      <c r="G531" t="s">
        <v>449</v>
      </c>
      <c r="H531" t="s">
        <v>24</v>
      </c>
      <c r="I531">
        <v>2.1256242908134076E-2</v>
      </c>
      <c r="J531" t="s">
        <v>6</v>
      </c>
    </row>
    <row r="532" spans="2:10" x14ac:dyDescent="0.45">
      <c r="B532" t="s">
        <v>448</v>
      </c>
      <c r="C532" t="s">
        <v>25</v>
      </c>
      <c r="D532">
        <v>2.0560513045834658E-2</v>
      </c>
      <c r="E532" t="s">
        <v>6</v>
      </c>
      <c r="G532" t="s">
        <v>449</v>
      </c>
      <c r="H532" t="s">
        <v>25</v>
      </c>
      <c r="I532">
        <v>2.0148019867701691E-2</v>
      </c>
      <c r="J532" t="s">
        <v>6</v>
      </c>
    </row>
    <row r="533" spans="2:10" x14ac:dyDescent="0.45">
      <c r="B533" t="s">
        <v>448</v>
      </c>
      <c r="C533" t="s">
        <v>26</v>
      </c>
      <c r="D533">
        <v>0</v>
      </c>
      <c r="E533" t="s">
        <v>6</v>
      </c>
      <c r="G533" t="s">
        <v>449</v>
      </c>
      <c r="H533" t="s">
        <v>26</v>
      </c>
      <c r="I533">
        <v>9.4594127922478566E-2</v>
      </c>
      <c r="J533" t="s">
        <v>6</v>
      </c>
    </row>
    <row r="534" spans="2:10" x14ac:dyDescent="0.45">
      <c r="B534" t="s">
        <v>448</v>
      </c>
      <c r="C534" t="s">
        <v>27</v>
      </c>
      <c r="D534">
        <v>3.3012586611020716E-3</v>
      </c>
      <c r="E534" t="s">
        <v>6</v>
      </c>
      <c r="G534" t="s">
        <v>449</v>
      </c>
      <c r="H534" t="s">
        <v>27</v>
      </c>
      <c r="I534">
        <v>4.839899836907826E-2</v>
      </c>
      <c r="J534" t="s">
        <v>6</v>
      </c>
    </row>
    <row r="535" spans="2:10" x14ac:dyDescent="0.45">
      <c r="B535" t="s">
        <v>448</v>
      </c>
      <c r="C535" t="s">
        <v>28</v>
      </c>
      <c r="D535">
        <v>5.2447546106536722E-2</v>
      </c>
      <c r="E535" t="s">
        <v>6</v>
      </c>
      <c r="G535" t="s">
        <v>449</v>
      </c>
      <c r="H535" t="s">
        <v>28</v>
      </c>
      <c r="I535">
        <v>3.4390796076161759E-2</v>
      </c>
      <c r="J535" t="s">
        <v>6</v>
      </c>
    </row>
    <row r="536" spans="2:10" x14ac:dyDescent="0.45">
      <c r="B536" t="s">
        <v>448</v>
      </c>
      <c r="C536" t="s">
        <v>29</v>
      </c>
      <c r="D536">
        <v>8.5143551555066505E-2</v>
      </c>
      <c r="E536" t="s">
        <v>6</v>
      </c>
      <c r="G536" t="s">
        <v>449</v>
      </c>
      <c r="H536" t="s">
        <v>29</v>
      </c>
      <c r="I536">
        <v>3.3665408672197417E-2</v>
      </c>
      <c r="J536" t="s">
        <v>6</v>
      </c>
    </row>
    <row r="537" spans="2:10" x14ac:dyDescent="0.45">
      <c r="B537" t="s">
        <v>448</v>
      </c>
      <c r="C537" t="s">
        <v>30</v>
      </c>
      <c r="D537">
        <v>4.5892320539706148E-2</v>
      </c>
      <c r="E537" t="s">
        <v>6</v>
      </c>
      <c r="G537" t="s">
        <v>449</v>
      </c>
      <c r="H537" t="s">
        <v>30</v>
      </c>
      <c r="I537">
        <v>3.4303941711394857E-2</v>
      </c>
      <c r="J537" t="s">
        <v>6</v>
      </c>
    </row>
    <row r="538" spans="2:10" x14ac:dyDescent="0.45">
      <c r="B538" t="s">
        <v>448</v>
      </c>
      <c r="C538" t="s">
        <v>31</v>
      </c>
      <c r="D538">
        <v>2.1712635336787311E-3</v>
      </c>
      <c r="E538" t="s">
        <v>6</v>
      </c>
      <c r="G538" t="s">
        <v>449</v>
      </c>
      <c r="H538" t="s">
        <v>31</v>
      </c>
      <c r="I538">
        <v>3.579992607792809E-2</v>
      </c>
      <c r="J538" t="s">
        <v>6</v>
      </c>
    </row>
    <row r="539" spans="2:10" x14ac:dyDescent="0.45">
      <c r="B539" t="s">
        <v>450</v>
      </c>
      <c r="C539" t="s">
        <v>5</v>
      </c>
      <c r="D539">
        <v>0</v>
      </c>
      <c r="E539" t="s">
        <v>6</v>
      </c>
    </row>
    <row r="540" spans="2:10" x14ac:dyDescent="0.45">
      <c r="B540" t="s">
        <v>450</v>
      </c>
      <c r="C540" t="s">
        <v>9</v>
      </c>
      <c r="D540">
        <v>1.650042358490172E-5</v>
      </c>
      <c r="E540" t="s">
        <v>6</v>
      </c>
    </row>
    <row r="541" spans="2:10" x14ac:dyDescent="0.45">
      <c r="B541" t="s">
        <v>450</v>
      </c>
      <c r="C541" t="s">
        <v>10</v>
      </c>
      <c r="D541">
        <v>2.490722341339948E-2</v>
      </c>
      <c r="E541" t="s">
        <v>6</v>
      </c>
    </row>
    <row r="542" spans="2:10" x14ac:dyDescent="0.45">
      <c r="B542" t="s">
        <v>450</v>
      </c>
      <c r="C542" t="s">
        <v>11</v>
      </c>
      <c r="D542">
        <v>6.0291555677006774E-2</v>
      </c>
      <c r="E542" t="s">
        <v>6</v>
      </c>
    </row>
    <row r="543" spans="2:10" x14ac:dyDescent="0.45">
      <c r="B543" t="s">
        <v>450</v>
      </c>
      <c r="C543" t="s">
        <v>12</v>
      </c>
      <c r="D543">
        <v>2.7941657995034841E-2</v>
      </c>
      <c r="E543" t="s">
        <v>6</v>
      </c>
    </row>
    <row r="544" spans="2:10" x14ac:dyDescent="0.45">
      <c r="B544" t="s">
        <v>450</v>
      </c>
      <c r="C544" t="s">
        <v>13</v>
      </c>
      <c r="D544">
        <v>3.9502006400379363E-4</v>
      </c>
      <c r="E544" t="s">
        <v>6</v>
      </c>
    </row>
    <row r="545" spans="2:5" x14ac:dyDescent="0.45">
      <c r="B545" t="s">
        <v>450</v>
      </c>
      <c r="C545" t="s">
        <v>14</v>
      </c>
      <c r="D545">
        <v>0</v>
      </c>
      <c r="E545" t="s">
        <v>6</v>
      </c>
    </row>
    <row r="546" spans="2:5" x14ac:dyDescent="0.45">
      <c r="B546" t="s">
        <v>450</v>
      </c>
      <c r="C546" t="s">
        <v>15</v>
      </c>
      <c r="D546">
        <v>1.1479884590389027E-2</v>
      </c>
      <c r="E546" t="s">
        <v>6</v>
      </c>
    </row>
    <row r="547" spans="2:5" x14ac:dyDescent="0.45">
      <c r="B547" t="s">
        <v>450</v>
      </c>
      <c r="C547" t="s">
        <v>16</v>
      </c>
      <c r="D547">
        <v>8.6490092311145947E-2</v>
      </c>
      <c r="E547" t="s">
        <v>6</v>
      </c>
    </row>
    <row r="548" spans="2:5" x14ac:dyDescent="0.45">
      <c r="B548" t="s">
        <v>450</v>
      </c>
      <c r="C548" t="s">
        <v>17</v>
      </c>
      <c r="D548">
        <v>0.12189715467241277</v>
      </c>
      <c r="E548" t="s">
        <v>6</v>
      </c>
    </row>
    <row r="549" spans="2:5" x14ac:dyDescent="0.45">
      <c r="B549" t="s">
        <v>450</v>
      </c>
      <c r="C549" t="s">
        <v>18</v>
      </c>
      <c r="D549">
        <v>8.0307049943647096E-2</v>
      </c>
      <c r="E549" t="s">
        <v>6</v>
      </c>
    </row>
    <row r="550" spans="2:5" x14ac:dyDescent="0.45">
      <c r="B550" t="s">
        <v>450</v>
      </c>
      <c r="C550" t="s">
        <v>19</v>
      </c>
      <c r="D550">
        <v>1.1628995049017005E-2</v>
      </c>
      <c r="E550" t="s">
        <v>6</v>
      </c>
    </row>
    <row r="551" spans="2:5" x14ac:dyDescent="0.45">
      <c r="B551" t="s">
        <v>450</v>
      </c>
      <c r="C551" t="s">
        <v>20</v>
      </c>
      <c r="D551">
        <v>2.6821094632688078E-6</v>
      </c>
      <c r="E551" t="s">
        <v>6</v>
      </c>
    </row>
    <row r="552" spans="2:5" x14ac:dyDescent="0.45">
      <c r="B552" t="s">
        <v>450</v>
      </c>
      <c r="C552" t="s">
        <v>21</v>
      </c>
      <c r="D552">
        <v>2.0604195651961997E-2</v>
      </c>
      <c r="E552" t="s">
        <v>6</v>
      </c>
    </row>
    <row r="553" spans="2:5" x14ac:dyDescent="0.45">
      <c r="B553" t="s">
        <v>450</v>
      </c>
      <c r="C553" t="s">
        <v>22</v>
      </c>
      <c r="D553">
        <v>0.10616244480932126</v>
      </c>
      <c r="E553" t="s">
        <v>6</v>
      </c>
    </row>
    <row r="554" spans="2:5" x14ac:dyDescent="0.45">
      <c r="B554" t="s">
        <v>450</v>
      </c>
      <c r="C554" t="s">
        <v>23</v>
      </c>
      <c r="D554">
        <v>0.14071930105989863</v>
      </c>
      <c r="E554" t="s">
        <v>6</v>
      </c>
    </row>
    <row r="555" spans="2:5" x14ac:dyDescent="0.45">
      <c r="B555" t="s">
        <v>450</v>
      </c>
      <c r="C555" t="s">
        <v>24</v>
      </c>
      <c r="D555">
        <v>0.10005024441074846</v>
      </c>
      <c r="E555" t="s">
        <v>6</v>
      </c>
    </row>
    <row r="556" spans="2:5" x14ac:dyDescent="0.45">
      <c r="B556" t="s">
        <v>450</v>
      </c>
      <c r="C556" t="s">
        <v>25</v>
      </c>
      <c r="D556">
        <v>2.1629807921710566E-2</v>
      </c>
      <c r="E556" t="s">
        <v>6</v>
      </c>
    </row>
    <row r="557" spans="2:5" x14ac:dyDescent="0.45">
      <c r="B557" t="s">
        <v>450</v>
      </c>
      <c r="C557" t="s">
        <v>26</v>
      </c>
      <c r="D557">
        <v>0</v>
      </c>
      <c r="E557" t="s">
        <v>6</v>
      </c>
    </row>
    <row r="558" spans="2:5" x14ac:dyDescent="0.45">
      <c r="B558" t="s">
        <v>450</v>
      </c>
      <c r="C558" t="s">
        <v>27</v>
      </c>
      <c r="D558">
        <v>3.0889901562017254E-3</v>
      </c>
      <c r="E558" t="s">
        <v>6</v>
      </c>
    </row>
    <row r="559" spans="2:5" x14ac:dyDescent="0.45">
      <c r="B559" t="s">
        <v>450</v>
      </c>
      <c r="C559" t="s">
        <v>28</v>
      </c>
      <c r="D559">
        <v>5.1372908559151852E-2</v>
      </c>
      <c r="E559" t="s">
        <v>6</v>
      </c>
    </row>
    <row r="560" spans="2:5" x14ac:dyDescent="0.45">
      <c r="B560" t="s">
        <v>450</v>
      </c>
      <c r="C560" t="s">
        <v>29</v>
      </c>
      <c r="D560">
        <v>8.3759543801093322E-2</v>
      </c>
      <c r="E560" t="s">
        <v>6</v>
      </c>
    </row>
    <row r="561" spans="2:5" x14ac:dyDescent="0.45">
      <c r="B561" t="s">
        <v>450</v>
      </c>
      <c r="C561" t="s">
        <v>30</v>
      </c>
      <c r="D561">
        <v>4.5005570713323964E-2</v>
      </c>
      <c r="E561" t="s">
        <v>6</v>
      </c>
    </row>
    <row r="562" spans="2:5" x14ac:dyDescent="0.45">
      <c r="B562" t="s">
        <v>450</v>
      </c>
      <c r="C562" t="s">
        <v>31</v>
      </c>
      <c r="D562">
        <v>2.2491766674818904E-3</v>
      </c>
      <c r="E562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61E6B-B5A2-4304-A639-766426547C53}">
  <dimension ref="B9:DH65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other_indexes=ACT; region=DEU")</f>
        <v>~TFM_DINS-TSL: attribute=FLO_EMIS; other_indexes=ACT; region=DEU</v>
      </c>
      <c r="AC9" t="str">
        <f>IF(A11="x","DeActivated","~TFM_INS-TSL: attribute=FLO_SHAR; limtype=FX; region=DEU")</f>
        <v>~TFM_INS-TSL: attribute=FLO_SHAR; limtype=FX; region=DEU</v>
      </c>
      <c r="BD9" t="str">
        <f>IF(A11="x","DeActivated","~TFM_INS-TSL: attribute=FLO_SHAR; limtype=FX; region=DEU")</f>
        <v>~TFM_INS-TSL: attribute=FLO_SHAR; limtype=FX; region=DEU</v>
      </c>
      <c r="CE9" t="str">
        <f>IF(A11="x","DeActivated","~TFM_DINS-TSL: attribute=NCAP_PKCNT; region=DEU")</f>
        <v>~TFM_DINS-TSL: attribute=NCAP_PKCNT; region=DEU</v>
      </c>
      <c r="DE9" t="str">
        <f>IF(A11="x","DeActivated","~TFM_DINS-AT: region=DEU")</f>
        <v>~TFM_DINS-AT: region=DEU</v>
      </c>
    </row>
    <row r="10" spans="2:112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C10" t="s">
        <v>3</v>
      </c>
      <c r="AD10" t="s">
        <v>0</v>
      </c>
      <c r="AE10" t="s">
        <v>5</v>
      </c>
      <c r="AF10" t="s">
        <v>9</v>
      </c>
      <c r="AG10" t="s">
        <v>10</v>
      </c>
      <c r="AH10" t="s">
        <v>11</v>
      </c>
      <c r="AI10" t="s">
        <v>12</v>
      </c>
      <c r="AJ10" t="s">
        <v>13</v>
      </c>
      <c r="AK10" t="s">
        <v>14</v>
      </c>
      <c r="AL10" t="s">
        <v>15</v>
      </c>
      <c r="AM10" t="s">
        <v>16</v>
      </c>
      <c r="AN10" t="s">
        <v>17</v>
      </c>
      <c r="AO10" t="s">
        <v>18</v>
      </c>
      <c r="AP10" t="s">
        <v>19</v>
      </c>
      <c r="AQ10" t="s">
        <v>20</v>
      </c>
      <c r="AR10" t="s">
        <v>21</v>
      </c>
      <c r="AS10" t="s">
        <v>22</v>
      </c>
      <c r="AT10" t="s">
        <v>23</v>
      </c>
      <c r="AU10" t="s">
        <v>24</v>
      </c>
      <c r="AV10" t="s">
        <v>25</v>
      </c>
      <c r="AW10" t="s">
        <v>26</v>
      </c>
      <c r="AX10" t="s">
        <v>27</v>
      </c>
      <c r="AY10" t="s">
        <v>28</v>
      </c>
      <c r="AZ10" t="s">
        <v>29</v>
      </c>
      <c r="BA10" t="s">
        <v>30</v>
      </c>
      <c r="BB10" t="s">
        <v>31</v>
      </c>
      <c r="BD10" t="s">
        <v>3</v>
      </c>
      <c r="BE10" t="s">
        <v>0</v>
      </c>
      <c r="BF10" t="s">
        <v>5</v>
      </c>
      <c r="BG10" t="s">
        <v>9</v>
      </c>
      <c r="BH10" t="s">
        <v>10</v>
      </c>
      <c r="BI10" t="s">
        <v>11</v>
      </c>
      <c r="BJ10" t="s">
        <v>12</v>
      </c>
      <c r="BK10" t="s">
        <v>13</v>
      </c>
      <c r="BL10" t="s">
        <v>14</v>
      </c>
      <c r="BM10" t="s">
        <v>15</v>
      </c>
      <c r="BN10" t="s">
        <v>16</v>
      </c>
      <c r="BO10" t="s">
        <v>17</v>
      </c>
      <c r="BP10" t="s">
        <v>18</v>
      </c>
      <c r="BQ10" t="s">
        <v>19</v>
      </c>
      <c r="BR10" t="s">
        <v>20</v>
      </c>
      <c r="BS10" t="s">
        <v>21</v>
      </c>
      <c r="BT10" t="s">
        <v>22</v>
      </c>
      <c r="BU10" t="s">
        <v>23</v>
      </c>
      <c r="BV10" t="s">
        <v>24</v>
      </c>
      <c r="BW10" t="s">
        <v>25</v>
      </c>
      <c r="BX10" t="s">
        <v>26</v>
      </c>
      <c r="BY10" t="s">
        <v>27</v>
      </c>
      <c r="BZ10" t="s">
        <v>28</v>
      </c>
      <c r="CA10" t="s">
        <v>29</v>
      </c>
      <c r="CB10" t="s">
        <v>30</v>
      </c>
      <c r="CC10" t="s">
        <v>31</v>
      </c>
      <c r="CE10" t="s">
        <v>3</v>
      </c>
      <c r="CF10" t="s">
        <v>5</v>
      </c>
      <c r="CG10" t="s">
        <v>9</v>
      </c>
      <c r="CH10" t="s">
        <v>10</v>
      </c>
      <c r="CI10" t="s">
        <v>11</v>
      </c>
      <c r="CJ10" t="s">
        <v>12</v>
      </c>
      <c r="CK10" t="s">
        <v>13</v>
      </c>
      <c r="CL10" t="s">
        <v>14</v>
      </c>
      <c r="CM10" t="s">
        <v>15</v>
      </c>
      <c r="CN10" t="s">
        <v>16</v>
      </c>
      <c r="CO10" t="s">
        <v>17</v>
      </c>
      <c r="CP10" t="s">
        <v>18</v>
      </c>
      <c r="CQ10" t="s">
        <v>19</v>
      </c>
      <c r="CR10" t="s">
        <v>20</v>
      </c>
      <c r="CS10" t="s">
        <v>21</v>
      </c>
      <c r="CT10" t="s">
        <v>22</v>
      </c>
      <c r="CU10" t="s">
        <v>23</v>
      </c>
      <c r="CV10" t="s">
        <v>24</v>
      </c>
      <c r="CW10" t="s">
        <v>25</v>
      </c>
      <c r="CX10" t="s">
        <v>26</v>
      </c>
      <c r="CY10" t="s">
        <v>27</v>
      </c>
      <c r="CZ10" t="s">
        <v>28</v>
      </c>
      <c r="DA10" t="s">
        <v>29</v>
      </c>
      <c r="DB10" t="s">
        <v>30</v>
      </c>
      <c r="DC10" t="s">
        <v>31</v>
      </c>
      <c r="DE10" t="s">
        <v>3</v>
      </c>
      <c r="DF10" t="s">
        <v>0</v>
      </c>
      <c r="DG10" t="s">
        <v>104</v>
      </c>
      <c r="DH10" t="s">
        <v>105</v>
      </c>
    </row>
    <row r="11" spans="2:112" x14ac:dyDescent="0.45">
      <c r="B11" t="s">
        <v>451</v>
      </c>
      <c r="C11" t="s">
        <v>107</v>
      </c>
      <c r="D11">
        <v>0</v>
      </c>
      <c r="E11">
        <v>0.97777777777777797</v>
      </c>
      <c r="F11">
        <v>0.45041555825697566</v>
      </c>
      <c r="G11">
        <v>0.32474795521573541</v>
      </c>
      <c r="H11">
        <v>0.47015869754006145</v>
      </c>
      <c r="I11">
        <v>0.96323921416331537</v>
      </c>
      <c r="J11">
        <v>0</v>
      </c>
      <c r="K11">
        <v>0.59426975709782637</v>
      </c>
      <c r="L11">
        <v>0.23365225611862731</v>
      </c>
      <c r="M11">
        <v>0.19886758675930252</v>
      </c>
      <c r="N11">
        <v>0.21668162301176599</v>
      </c>
      <c r="O11">
        <v>0.52493220024418974</v>
      </c>
      <c r="P11">
        <v>0.98097826086956519</v>
      </c>
      <c r="Q11">
        <v>0.46626112999251601</v>
      </c>
      <c r="R11">
        <v>0.1427226479873262</v>
      </c>
      <c r="S11">
        <v>0.11501947186081445</v>
      </c>
      <c r="T11">
        <v>0.1651138537555725</v>
      </c>
      <c r="U11">
        <v>0.38593156957099972</v>
      </c>
      <c r="V11">
        <v>0</v>
      </c>
      <c r="W11">
        <v>0.79308129581129183</v>
      </c>
      <c r="X11">
        <v>0.34138788615812499</v>
      </c>
      <c r="Y11">
        <v>0.25676988463968281</v>
      </c>
      <c r="Z11">
        <v>0.37262257216399808</v>
      </c>
      <c r="AA11">
        <v>0.85556344714590427</v>
      </c>
      <c r="AC11" t="s">
        <v>108</v>
      </c>
      <c r="AD11" t="s">
        <v>109</v>
      </c>
      <c r="AE11">
        <v>0</v>
      </c>
      <c r="AF11">
        <v>0.91510795211727225</v>
      </c>
      <c r="AG11">
        <v>0.22483661524847806</v>
      </c>
      <c r="AH11">
        <v>0.10851068147957429</v>
      </c>
      <c r="AI11">
        <v>4.1958541104820869E-2</v>
      </c>
      <c r="AJ11">
        <v>0.51108834078609</v>
      </c>
      <c r="AK11">
        <v>0.98376211011342163</v>
      </c>
      <c r="AL11">
        <v>0.39594824135913653</v>
      </c>
      <c r="AM11">
        <v>9.4315164105005359E-2</v>
      </c>
      <c r="AN11">
        <v>4.6672126788182715E-2</v>
      </c>
      <c r="AO11">
        <v>1.9371280852371765E-2</v>
      </c>
      <c r="AP11">
        <v>0.35003281833057015</v>
      </c>
      <c r="AQ11">
        <v>0.87621223349143063</v>
      </c>
      <c r="AR11">
        <v>0.30831861538531985</v>
      </c>
      <c r="AS11">
        <v>6.9749804030262194E-2</v>
      </c>
      <c r="AT11">
        <v>2.8199891722196373E-2</v>
      </c>
      <c r="AU11">
        <v>1.0148999614521819E-2</v>
      </c>
      <c r="AV11">
        <v>0.2306093491541529</v>
      </c>
      <c r="AW11">
        <v>0</v>
      </c>
      <c r="AX11">
        <v>0.60490281393816214</v>
      </c>
      <c r="AY11">
        <v>0.16159132106861512</v>
      </c>
      <c r="AZ11">
        <v>4.0787383223285581E-2</v>
      </c>
      <c r="BA11">
        <v>1.7618133342601469E-2</v>
      </c>
      <c r="BB11">
        <v>0.36319895018346249</v>
      </c>
      <c r="BD11" t="s">
        <v>108</v>
      </c>
      <c r="BE11" t="s">
        <v>110</v>
      </c>
      <c r="BF11">
        <v>0</v>
      </c>
      <c r="BG11">
        <v>0</v>
      </c>
      <c r="BH11">
        <v>0</v>
      </c>
      <c r="BI11">
        <v>8.2636259619786028E-3</v>
      </c>
      <c r="BJ11">
        <v>0.19601458010541623</v>
      </c>
      <c r="BK11">
        <v>0.17000420136548419</v>
      </c>
      <c r="BL11">
        <v>0</v>
      </c>
      <c r="BM11">
        <v>0</v>
      </c>
      <c r="BN11">
        <v>0</v>
      </c>
      <c r="BO11">
        <v>1.8788862456258774E-2</v>
      </c>
      <c r="BP11">
        <v>7.844164551806293E-2</v>
      </c>
      <c r="BQ11">
        <v>0</v>
      </c>
      <c r="BR11">
        <v>0</v>
      </c>
      <c r="BS11">
        <v>0</v>
      </c>
      <c r="BT11">
        <v>0</v>
      </c>
      <c r="BU11">
        <v>1.9729157454712248E-2</v>
      </c>
      <c r="BV11">
        <v>6.824999059728333E-2</v>
      </c>
      <c r="BW11">
        <v>5.533269723859798E-3</v>
      </c>
      <c r="BX11">
        <v>0</v>
      </c>
      <c r="BY11">
        <v>0</v>
      </c>
      <c r="BZ11">
        <v>0</v>
      </c>
      <c r="CA11">
        <v>6.8675735300332358E-2</v>
      </c>
      <c r="CB11">
        <v>0.17250357594890217</v>
      </c>
      <c r="CC11">
        <v>7.4888697577606134E-2</v>
      </c>
      <c r="CE11" t="s">
        <v>451</v>
      </c>
      <c r="CF11">
        <v>0</v>
      </c>
      <c r="CG11">
        <v>5.7895566142332478E-5</v>
      </c>
      <c r="CH11">
        <v>8.3529556342389566E-2</v>
      </c>
      <c r="CI11">
        <v>0.18672691993675652</v>
      </c>
      <c r="CJ11">
        <v>7.9078332655881517E-2</v>
      </c>
      <c r="CK11">
        <v>3.9290039715602336E-4</v>
      </c>
      <c r="CL11">
        <v>0</v>
      </c>
      <c r="CM11">
        <v>4.1924149754290096E-2</v>
      </c>
      <c r="CN11">
        <v>0.3227305964059351</v>
      </c>
      <c r="CO11">
        <v>0.43612139779662479</v>
      </c>
      <c r="CP11">
        <v>0.26571072684264974</v>
      </c>
      <c r="CQ11">
        <v>3.2495281079320391E-2</v>
      </c>
      <c r="CR11">
        <v>5.8910401976348095E-7</v>
      </c>
      <c r="CS11">
        <v>7.1901468997360163E-2</v>
      </c>
      <c r="CT11">
        <v>0.40633476144369907</v>
      </c>
      <c r="CU11">
        <v>0.51434193879128309</v>
      </c>
      <c r="CV11">
        <v>0.3367689000647105</v>
      </c>
      <c r="CW11">
        <v>6.4236425290112434E-2</v>
      </c>
      <c r="CX11">
        <v>0</v>
      </c>
      <c r="CY11">
        <v>1.0351721425389858E-2</v>
      </c>
      <c r="CZ11">
        <v>0.19379958690700097</v>
      </c>
      <c r="DA11">
        <v>0.30130974041641784</v>
      </c>
      <c r="DB11">
        <v>0.14168073040413609</v>
      </c>
      <c r="DC11">
        <v>4.9369074203960139E-3</v>
      </c>
      <c r="DE11" t="s">
        <v>451</v>
      </c>
      <c r="DF11" t="s">
        <v>111</v>
      </c>
      <c r="DG11" t="s">
        <v>112</v>
      </c>
      <c r="DH11">
        <v>0.4548561992984364</v>
      </c>
    </row>
    <row r="12" spans="2:112" x14ac:dyDescent="0.45">
      <c r="B12" t="s">
        <v>452</v>
      </c>
      <c r="C12" t="s">
        <v>107</v>
      </c>
      <c r="D12">
        <v>0</v>
      </c>
      <c r="E12">
        <v>0.96974345079749313</v>
      </c>
      <c r="F12">
        <v>0.42253576343442517</v>
      </c>
      <c r="G12">
        <v>0.32086792834449934</v>
      </c>
      <c r="H12">
        <v>0.47025164674748815</v>
      </c>
      <c r="I12">
        <v>0.98432358787055863</v>
      </c>
      <c r="J12">
        <v>0</v>
      </c>
      <c r="K12">
        <v>0.56330877533696633</v>
      </c>
      <c r="L12">
        <v>0.19915609213056043</v>
      </c>
      <c r="M12">
        <v>0.19502173387566188</v>
      </c>
      <c r="N12">
        <v>0.22230945016921888</v>
      </c>
      <c r="O12">
        <v>0.53843729562691378</v>
      </c>
      <c r="P12">
        <v>0</v>
      </c>
      <c r="Q12">
        <v>0.45438869673707283</v>
      </c>
      <c r="R12">
        <v>0.14051333137249392</v>
      </c>
      <c r="S12">
        <v>0.11344627346485935</v>
      </c>
      <c r="T12">
        <v>0.16856739370545082</v>
      </c>
      <c r="U12">
        <v>0.40309479406214871</v>
      </c>
      <c r="V12">
        <v>0</v>
      </c>
      <c r="W12">
        <v>0.77387701976068135</v>
      </c>
      <c r="X12">
        <v>0.35965527962337673</v>
      </c>
      <c r="Y12">
        <v>0.27534704085876749</v>
      </c>
      <c r="Z12">
        <v>0.36938826770877525</v>
      </c>
      <c r="AA12">
        <v>0.86941565128745912</v>
      </c>
      <c r="AC12" t="s">
        <v>114</v>
      </c>
      <c r="AD12" t="s">
        <v>109</v>
      </c>
      <c r="AE12">
        <v>4.9027188922324142E-3</v>
      </c>
      <c r="AF12">
        <v>9.6316341461032324E-4</v>
      </c>
      <c r="AG12">
        <v>5.0423778993649018E-4</v>
      </c>
      <c r="AH12">
        <v>7.6920767203294141E-3</v>
      </c>
      <c r="AI12">
        <v>9.8107968605152249E-5</v>
      </c>
      <c r="AJ12">
        <v>6.8700097864359867E-4</v>
      </c>
      <c r="AK12">
        <v>1.1175282913998219E-2</v>
      </c>
      <c r="AL12">
        <v>8.5789484612136483E-3</v>
      </c>
      <c r="AM12">
        <v>1.458469623567848E-3</v>
      </c>
      <c r="AN12">
        <v>3.9388612184484886E-3</v>
      </c>
      <c r="AO12">
        <v>2.5305134339461757E-3</v>
      </c>
      <c r="AP12">
        <v>7.9458190420083463E-3</v>
      </c>
      <c r="AQ12">
        <v>1.789538973583887E-2</v>
      </c>
      <c r="AR12">
        <v>3.4116439216224951E-3</v>
      </c>
      <c r="AS12">
        <v>1.1236641570673622E-2</v>
      </c>
      <c r="AT12">
        <v>6.3498835212888764E-3</v>
      </c>
      <c r="AU12">
        <v>6.8932485842206125E-4</v>
      </c>
      <c r="AV12">
        <v>5.4933728543765511E-3</v>
      </c>
      <c r="AW12">
        <v>4.5283695767979566E-3</v>
      </c>
      <c r="AX12">
        <v>3.6287582341580169E-3</v>
      </c>
      <c r="AY12">
        <v>2.7959776462890747E-4</v>
      </c>
      <c r="AZ12">
        <v>2.6508891460727602E-3</v>
      </c>
      <c r="BA12">
        <v>6.2707624378050657E-3</v>
      </c>
      <c r="BB12">
        <v>2.8698709592864589E-3</v>
      </c>
      <c r="BD12" t="s">
        <v>114</v>
      </c>
      <c r="BE12" t="s">
        <v>110</v>
      </c>
      <c r="BF12">
        <v>6.4957349687939829E-3</v>
      </c>
      <c r="BG12">
        <v>1.0116989134447345E-2</v>
      </c>
      <c r="BH12">
        <v>1.0816970166696737E-2</v>
      </c>
      <c r="BI12">
        <v>9.1174229118364744E-3</v>
      </c>
      <c r="BJ12">
        <v>1.6148327753069486E-2</v>
      </c>
      <c r="BK12">
        <v>1.312241877220291E-2</v>
      </c>
      <c r="BL12">
        <v>1.9009120361666992E-2</v>
      </c>
      <c r="BM12">
        <v>2.8157212334646645E-2</v>
      </c>
      <c r="BN12">
        <v>4.4027539100285402E-2</v>
      </c>
      <c r="BO12">
        <v>7.6209150246774491E-3</v>
      </c>
      <c r="BP12">
        <v>8.4880597182032478E-3</v>
      </c>
      <c r="BQ12">
        <v>8.1342787151739617E-3</v>
      </c>
      <c r="BR12">
        <v>1.7962934509621397E-2</v>
      </c>
      <c r="BS12">
        <v>4.3312943459114871E-2</v>
      </c>
      <c r="BT12">
        <v>1.4268212554802751E-2</v>
      </c>
      <c r="BU12">
        <v>2.2529836742035663E-2</v>
      </c>
      <c r="BV12">
        <v>2.9320891633526008E-2</v>
      </c>
      <c r="BW12">
        <v>1.1409229184972048E-2</v>
      </c>
      <c r="BX12">
        <v>1.6209523190098808E-2</v>
      </c>
      <c r="BY12">
        <v>1.7624843214598167E-2</v>
      </c>
      <c r="BZ12">
        <v>2.3452076844493991E-2</v>
      </c>
      <c r="CA12">
        <v>4.4001005336337159E-3</v>
      </c>
      <c r="CB12">
        <v>1.5038335032258869E-2</v>
      </c>
      <c r="CC12">
        <v>2.1562025861866205E-2</v>
      </c>
      <c r="CE12" t="s">
        <v>452</v>
      </c>
      <c r="CF12">
        <v>0</v>
      </c>
      <c r="CG12">
        <v>2.2082842803677763E-4</v>
      </c>
      <c r="CH12">
        <v>9.3057617799868486E-2</v>
      </c>
      <c r="CI12">
        <v>0.18215151783030631</v>
      </c>
      <c r="CJ12">
        <v>6.5637649816158702E-2</v>
      </c>
      <c r="CK12">
        <v>1.4854149509322564E-4</v>
      </c>
      <c r="CL12">
        <v>0</v>
      </c>
      <c r="CM12">
        <v>5.270335332593825E-2</v>
      </c>
      <c r="CN12">
        <v>0.35674279247281121</v>
      </c>
      <c r="CO12">
        <v>0.44006823167527676</v>
      </c>
      <c r="CP12">
        <v>0.2543136659770559</v>
      </c>
      <c r="CQ12">
        <v>2.8987939017281892E-2</v>
      </c>
      <c r="CR12">
        <v>0</v>
      </c>
      <c r="CS12">
        <v>7.918929349755173E-2</v>
      </c>
      <c r="CT12">
        <v>0.41696020691540919</v>
      </c>
      <c r="CU12">
        <v>0.51509660071665198</v>
      </c>
      <c r="CV12">
        <v>0.32656985909559483</v>
      </c>
      <c r="CW12">
        <v>5.661837717566099E-2</v>
      </c>
      <c r="CX12">
        <v>0</v>
      </c>
      <c r="CY12">
        <v>1.3053849180121421E-2</v>
      </c>
      <c r="CZ12">
        <v>0.19110217177904892</v>
      </c>
      <c r="DA12">
        <v>0.29393349574153094</v>
      </c>
      <c r="DB12">
        <v>0.13203550672819067</v>
      </c>
      <c r="DC12">
        <v>3.9275908220532995E-3</v>
      </c>
      <c r="DE12" t="s">
        <v>452</v>
      </c>
      <c r="DF12" t="s">
        <v>111</v>
      </c>
      <c r="DG12" t="s">
        <v>112</v>
      </c>
      <c r="DH12">
        <v>0.42168763858143349</v>
      </c>
    </row>
    <row r="13" spans="2:112" x14ac:dyDescent="0.45">
      <c r="B13" t="s">
        <v>453</v>
      </c>
      <c r="C13" t="s">
        <v>107</v>
      </c>
      <c r="D13">
        <v>0</v>
      </c>
      <c r="E13">
        <v>0.95749444735951583</v>
      </c>
      <c r="F13">
        <v>0.36248448739804429</v>
      </c>
      <c r="G13">
        <v>0.26474840116794435</v>
      </c>
      <c r="H13">
        <v>0.46215479920025787</v>
      </c>
      <c r="I13">
        <v>0.9888888888888886</v>
      </c>
      <c r="J13">
        <v>0</v>
      </c>
      <c r="K13">
        <v>0.56582957993918459</v>
      </c>
      <c r="L13">
        <v>0.220543021186873</v>
      </c>
      <c r="M13">
        <v>0.19514223181712853</v>
      </c>
      <c r="N13">
        <v>0.23064986170157711</v>
      </c>
      <c r="O13">
        <v>0.56191794365928194</v>
      </c>
      <c r="P13">
        <v>0</v>
      </c>
      <c r="Q13">
        <v>0.46310507011249707</v>
      </c>
      <c r="R13">
        <v>0.14424027826964819</v>
      </c>
      <c r="S13">
        <v>0.13168384017947571</v>
      </c>
      <c r="T13">
        <v>0.1647113226918778</v>
      </c>
      <c r="U13">
        <v>0.42967608653276668</v>
      </c>
      <c r="V13">
        <v>0</v>
      </c>
      <c r="W13">
        <v>0.74546145854659795</v>
      </c>
      <c r="X13">
        <v>0.33467206859147941</v>
      </c>
      <c r="Y13">
        <v>0.28450281772812824</v>
      </c>
      <c r="Z13">
        <v>0.40061848096273417</v>
      </c>
      <c r="AA13">
        <v>0.88591382053734413</v>
      </c>
      <c r="AC13" t="s">
        <v>116</v>
      </c>
      <c r="AD13" t="s">
        <v>109</v>
      </c>
      <c r="AE13">
        <v>1.7726702198244666E-3</v>
      </c>
      <c r="AF13">
        <v>2.8480761863522506E-3</v>
      </c>
      <c r="AG13">
        <v>1.6993227554464112E-3</v>
      </c>
      <c r="AH13">
        <v>3.9721869381129787E-3</v>
      </c>
      <c r="AI13">
        <v>0</v>
      </c>
      <c r="AJ13">
        <v>8.5092039725730791E-4</v>
      </c>
      <c r="AK13">
        <v>5.7112101208836455E-3</v>
      </c>
      <c r="AL13">
        <v>3.0886881168967219E-4</v>
      </c>
      <c r="AM13">
        <v>8.1811780505802723E-4</v>
      </c>
      <c r="AN13">
        <v>2.8682741639219243E-3</v>
      </c>
      <c r="AO13">
        <v>5.2639948589397953E-3</v>
      </c>
      <c r="AP13">
        <v>5.3835471465461309E-3</v>
      </c>
      <c r="AQ13">
        <v>8.5576085117472032E-3</v>
      </c>
      <c r="AR13">
        <v>1.5455558578804629E-2</v>
      </c>
      <c r="AS13">
        <v>5.0507140880808659E-3</v>
      </c>
      <c r="AT13">
        <v>4.5209339920932604E-3</v>
      </c>
      <c r="AU13">
        <v>2.0912622780279353E-3</v>
      </c>
      <c r="AV13">
        <v>1.5436986575907629E-3</v>
      </c>
      <c r="AW13">
        <v>2.8671606353840601E-3</v>
      </c>
      <c r="AX13">
        <v>4.9615989614955024E-3</v>
      </c>
      <c r="AY13">
        <v>5.076245428509759E-3</v>
      </c>
      <c r="AZ13">
        <v>5.8676647502921044E-3</v>
      </c>
      <c r="BA13">
        <v>3.6486087416931221E-3</v>
      </c>
      <c r="BB13">
        <v>4.0357897834062935E-3</v>
      </c>
      <c r="BD13" t="s">
        <v>116</v>
      </c>
      <c r="BE13" t="s">
        <v>110</v>
      </c>
      <c r="BF13">
        <v>4.1492290163553007E-3</v>
      </c>
      <c r="BG13">
        <v>4.5147486642263404E-3</v>
      </c>
      <c r="BH13">
        <v>1.1449068422338058E-2</v>
      </c>
      <c r="BI13">
        <v>7.9887130058381422E-3</v>
      </c>
      <c r="BJ13">
        <v>8.647995427294209E-3</v>
      </c>
      <c r="BK13">
        <v>3.6127384448193627E-3</v>
      </c>
      <c r="BL13">
        <v>1.5934755280821153E-2</v>
      </c>
      <c r="BM13">
        <v>2.0691581928741792E-2</v>
      </c>
      <c r="BN13">
        <v>5.2584322464947989E-3</v>
      </c>
      <c r="BO13">
        <v>1.0174127596420529E-3</v>
      </c>
      <c r="BP13">
        <v>5.6153316843190696E-3</v>
      </c>
      <c r="BQ13">
        <v>1.2405911579711085E-2</v>
      </c>
      <c r="BR13">
        <v>1.1010385032846048E-2</v>
      </c>
      <c r="BS13">
        <v>1.2653972884768215E-2</v>
      </c>
      <c r="BT13">
        <v>2.6263811744903019E-2</v>
      </c>
      <c r="BU13">
        <v>1.5194274834098919E-2</v>
      </c>
      <c r="BV13">
        <v>7.3922878910629587E-3</v>
      </c>
      <c r="BW13">
        <v>1.3524017122887776E-2</v>
      </c>
      <c r="BX13">
        <v>1.1974377986409376E-2</v>
      </c>
      <c r="BY13">
        <v>1.2151803009841946E-2</v>
      </c>
      <c r="BZ13">
        <v>1.2128706143296794E-2</v>
      </c>
      <c r="CA13">
        <v>1.0609907500092735E-2</v>
      </c>
      <c r="CB13">
        <v>1.4045256006272521E-2</v>
      </c>
      <c r="CC13">
        <v>8.4573204022650866E-3</v>
      </c>
      <c r="CE13" t="s">
        <v>453</v>
      </c>
      <c r="CF13">
        <v>0</v>
      </c>
      <c r="CG13">
        <v>3.3358181786804489E-4</v>
      </c>
      <c r="CH13">
        <v>0.10743795884225141</v>
      </c>
      <c r="CI13">
        <v>0.19796036166448153</v>
      </c>
      <c r="CJ13">
        <v>6.3398545679530724E-2</v>
      </c>
      <c r="CK13">
        <v>1.5854678487356709E-5</v>
      </c>
      <c r="CL13">
        <v>0</v>
      </c>
      <c r="CM13">
        <v>5.5744936904804962E-2</v>
      </c>
      <c r="CN13">
        <v>0.35303853406803648</v>
      </c>
      <c r="CO13">
        <v>0.4232688634512019</v>
      </c>
      <c r="CP13">
        <v>0.2382163220910522</v>
      </c>
      <c r="CQ13">
        <v>2.3232735697311456E-2</v>
      </c>
      <c r="CR13">
        <v>0</v>
      </c>
      <c r="CS13">
        <v>8.3180087549218365E-2</v>
      </c>
      <c r="CT13">
        <v>0.42116839541442264</v>
      </c>
      <c r="CU13">
        <v>0.48846781915415888</v>
      </c>
      <c r="CV13">
        <v>0.30606990445709187</v>
      </c>
      <c r="CW13">
        <v>4.8325916595411404E-2</v>
      </c>
      <c r="CX13">
        <v>0</v>
      </c>
      <c r="CY13">
        <v>1.7513860239360565E-2</v>
      </c>
      <c r="CZ13">
        <v>0.21144356132849398</v>
      </c>
      <c r="DA13">
        <v>0.29581767258282515</v>
      </c>
      <c r="DB13">
        <v>0.12297201770051179</v>
      </c>
      <c r="DC13">
        <v>2.7359835374181555E-3</v>
      </c>
      <c r="DE13" t="s">
        <v>453</v>
      </c>
      <c r="DF13" t="s">
        <v>111</v>
      </c>
      <c r="DG13" t="s">
        <v>112</v>
      </c>
      <c r="DH13">
        <v>0.45245949117102569</v>
      </c>
    </row>
    <row r="14" spans="2:112" x14ac:dyDescent="0.45">
      <c r="B14" t="s">
        <v>454</v>
      </c>
      <c r="C14" t="s">
        <v>107</v>
      </c>
      <c r="D14">
        <v>0</v>
      </c>
      <c r="E14">
        <v>0.97478364638348181</v>
      </c>
      <c r="F14">
        <v>0.39411543190822312</v>
      </c>
      <c r="G14">
        <v>0.28527057462329841</v>
      </c>
      <c r="H14">
        <v>0.44676323012352098</v>
      </c>
      <c r="I14">
        <v>0.96666666666666645</v>
      </c>
      <c r="J14">
        <v>0</v>
      </c>
      <c r="K14">
        <v>0.58870718531182575</v>
      </c>
      <c r="L14">
        <v>0.22649294598186934</v>
      </c>
      <c r="M14">
        <v>0.19029264992510736</v>
      </c>
      <c r="N14">
        <v>0.22777371208017544</v>
      </c>
      <c r="O14">
        <v>0.54462153194368901</v>
      </c>
      <c r="P14">
        <v>0</v>
      </c>
      <c r="Q14">
        <v>0.46069730913526563</v>
      </c>
      <c r="R14">
        <v>0.13768804695195686</v>
      </c>
      <c r="S14">
        <v>0.11047925766187947</v>
      </c>
      <c r="T14">
        <v>0.16125115624852024</v>
      </c>
      <c r="U14">
        <v>0.40738723730394971</v>
      </c>
      <c r="V14">
        <v>0</v>
      </c>
      <c r="W14">
        <v>0.77364093422769953</v>
      </c>
      <c r="X14">
        <v>0.34309314797883361</v>
      </c>
      <c r="Y14">
        <v>0.27482282965030458</v>
      </c>
      <c r="Z14">
        <v>0.37633847469769732</v>
      </c>
      <c r="AA14">
        <v>0.86084462104382131</v>
      </c>
      <c r="CE14" t="s">
        <v>454</v>
      </c>
      <c r="CF14">
        <v>0</v>
      </c>
      <c r="CG14">
        <v>1.2363116402090479E-4</v>
      </c>
      <c r="CH14">
        <v>9.7523957991923302E-2</v>
      </c>
      <c r="CI14">
        <v>0.20575316127139656</v>
      </c>
      <c r="CJ14">
        <v>8.3516332396992438E-2</v>
      </c>
      <c r="CK14">
        <v>2.0468430566716463E-4</v>
      </c>
      <c r="CL14">
        <v>0</v>
      </c>
      <c r="CM14">
        <v>4.3468445688264974E-2</v>
      </c>
      <c r="CN14">
        <v>0.3205946553559475</v>
      </c>
      <c r="CO14">
        <v>0.42975668175490905</v>
      </c>
      <c r="CP14">
        <v>0.25752737420725397</v>
      </c>
      <c r="CQ14">
        <v>2.8968579399603553E-2</v>
      </c>
      <c r="CR14">
        <v>0</v>
      </c>
      <c r="CS14">
        <v>7.6766275114257668E-2</v>
      </c>
      <c r="CT14">
        <v>0.4171697148792069</v>
      </c>
      <c r="CU14">
        <v>0.51089206947709487</v>
      </c>
      <c r="CV14">
        <v>0.33013328809503034</v>
      </c>
      <c r="CW14">
        <v>5.8726754035994179E-2</v>
      </c>
      <c r="CX14">
        <v>0</v>
      </c>
      <c r="CY14">
        <v>1.3647202950804092E-2</v>
      </c>
      <c r="CZ14">
        <v>0.20338406967972864</v>
      </c>
      <c r="DA14">
        <v>0.29776337742499287</v>
      </c>
      <c r="DB14">
        <v>0.13632349038478431</v>
      </c>
      <c r="DC14">
        <v>4.4965116778586294E-3</v>
      </c>
      <c r="DE14" t="s">
        <v>454</v>
      </c>
      <c r="DF14" t="s">
        <v>111</v>
      </c>
      <c r="DG14" t="s">
        <v>112</v>
      </c>
      <c r="DH14">
        <v>0.42927118438248663</v>
      </c>
    </row>
    <row r="15" spans="2:112" x14ac:dyDescent="0.45">
      <c r="B15" t="s">
        <v>455</v>
      </c>
      <c r="C15" t="s">
        <v>107</v>
      </c>
      <c r="D15">
        <v>0</v>
      </c>
      <c r="E15">
        <v>0.96111111111111114</v>
      </c>
      <c r="F15">
        <v>0.35821223040387234</v>
      </c>
      <c r="G15">
        <v>0.24518046607025956</v>
      </c>
      <c r="H15">
        <v>0.43833709434181556</v>
      </c>
      <c r="I15">
        <v>0.97407407407407409</v>
      </c>
      <c r="J15">
        <v>0</v>
      </c>
      <c r="K15">
        <v>0.57723579316079632</v>
      </c>
      <c r="L15">
        <v>0.21796092595155589</v>
      </c>
      <c r="M15">
        <v>0.1853490009669567</v>
      </c>
      <c r="N15">
        <v>0.21801329687552945</v>
      </c>
      <c r="O15">
        <v>0.55570767468547999</v>
      </c>
      <c r="P15">
        <v>0</v>
      </c>
      <c r="Q15">
        <v>0.46114404048141161</v>
      </c>
      <c r="R15">
        <v>0.1367259230953253</v>
      </c>
      <c r="S15">
        <v>0.11452974212633567</v>
      </c>
      <c r="T15">
        <v>0.16397937433675708</v>
      </c>
      <c r="U15">
        <v>0.43130148052159606</v>
      </c>
      <c r="V15">
        <v>0</v>
      </c>
      <c r="W15">
        <v>0.75271574043387879</v>
      </c>
      <c r="X15">
        <v>0.32647015500691495</v>
      </c>
      <c r="Y15">
        <v>0.26270538844775182</v>
      </c>
      <c r="Z15">
        <v>0.37666416077583664</v>
      </c>
      <c r="AA15">
        <v>0.86692486915830846</v>
      </c>
      <c r="CE15" t="s">
        <v>455</v>
      </c>
      <c r="CF15">
        <v>0</v>
      </c>
      <c r="CG15">
        <v>2.2253728843040738E-4</v>
      </c>
      <c r="CH15">
        <v>0.11235199345308669</v>
      </c>
      <c r="CI15">
        <v>0.2200309459335465</v>
      </c>
      <c r="CJ15">
        <v>8.1973525399023806E-2</v>
      </c>
      <c r="CK15">
        <v>7.1878676518271896E-5</v>
      </c>
      <c r="CL15">
        <v>0</v>
      </c>
      <c r="CM15">
        <v>4.814594952275951E-2</v>
      </c>
      <c r="CN15">
        <v>0.33070439683122743</v>
      </c>
      <c r="CO15">
        <v>0.42551162057283598</v>
      </c>
      <c r="CP15">
        <v>0.25026398701035812</v>
      </c>
      <c r="CQ15">
        <v>2.6042750879606464E-2</v>
      </c>
      <c r="CR15">
        <v>0</v>
      </c>
      <c r="CS15">
        <v>8.0310573633478585E-2</v>
      </c>
      <c r="CT15">
        <v>0.42533055542427256</v>
      </c>
      <c r="CU15">
        <v>0.50586523943376072</v>
      </c>
      <c r="CV15">
        <v>0.31873807386325165</v>
      </c>
      <c r="CW15">
        <v>5.3406347620293025E-2</v>
      </c>
      <c r="CX15">
        <v>0</v>
      </c>
      <c r="CY15">
        <v>1.5972461154517122E-2</v>
      </c>
      <c r="CZ15">
        <v>0.21491515132275529</v>
      </c>
      <c r="DA15">
        <v>0.31138292182617977</v>
      </c>
      <c r="DB15">
        <v>0.13754914786283418</v>
      </c>
      <c r="DC15">
        <v>3.7582494120980137E-3</v>
      </c>
      <c r="DE15" t="s">
        <v>455</v>
      </c>
      <c r="DF15" t="s">
        <v>111</v>
      </c>
      <c r="DG15" t="s">
        <v>112</v>
      </c>
      <c r="DH15">
        <v>0.4580218219390188</v>
      </c>
    </row>
    <row r="16" spans="2:112" x14ac:dyDescent="0.45">
      <c r="B16" t="s">
        <v>456</v>
      </c>
      <c r="C16" t="s">
        <v>107</v>
      </c>
      <c r="D16">
        <v>0</v>
      </c>
      <c r="E16">
        <v>0.96678429471648264</v>
      </c>
      <c r="F16">
        <v>0.38817151241367798</v>
      </c>
      <c r="G16">
        <v>0.28100228897351087</v>
      </c>
      <c r="H16">
        <v>0.48700961257129327</v>
      </c>
      <c r="I16">
        <v>0.99629629629629635</v>
      </c>
      <c r="J16">
        <v>0</v>
      </c>
      <c r="K16">
        <v>0.5467495956821522</v>
      </c>
      <c r="L16">
        <v>0.17063854011080939</v>
      </c>
      <c r="M16">
        <v>0.15982740936942175</v>
      </c>
      <c r="N16">
        <v>0.21147129890595517</v>
      </c>
      <c r="O16">
        <v>0.54590770516996345</v>
      </c>
      <c r="P16">
        <v>0</v>
      </c>
      <c r="Q16">
        <v>0.45151350008341351</v>
      </c>
      <c r="R16">
        <v>0.14406692490465395</v>
      </c>
      <c r="S16">
        <v>0.11203427884583497</v>
      </c>
      <c r="T16">
        <v>0.16905087685533221</v>
      </c>
      <c r="U16">
        <v>0.42234544975917521</v>
      </c>
      <c r="V16">
        <v>0</v>
      </c>
      <c r="W16">
        <v>0.75479102251458663</v>
      </c>
      <c r="X16">
        <v>0.33120622835248298</v>
      </c>
      <c r="Y16">
        <v>0.26736366517221</v>
      </c>
      <c r="Z16">
        <v>0.38729070603550125</v>
      </c>
      <c r="AA16">
        <v>0.8856896749583506</v>
      </c>
      <c r="CE16" t="s">
        <v>456</v>
      </c>
      <c r="CF16">
        <v>0</v>
      </c>
      <c r="CG16">
        <v>4.4404770859708057E-4</v>
      </c>
      <c r="CH16">
        <v>9.6558367376560802E-2</v>
      </c>
      <c r="CI16">
        <v>0.17915800907900631</v>
      </c>
      <c r="CJ16">
        <v>5.5923961814607188E-2</v>
      </c>
      <c r="CK16">
        <v>2.079296001678431E-5</v>
      </c>
      <c r="CL16">
        <v>0</v>
      </c>
      <c r="CM16">
        <v>6.3701702303296456E-2</v>
      </c>
      <c r="CN16">
        <v>0.39811792585167011</v>
      </c>
      <c r="CO16">
        <v>0.48006837787661188</v>
      </c>
      <c r="CP16">
        <v>0.27213904629322272</v>
      </c>
      <c r="CQ16">
        <v>2.666536472163911E-2</v>
      </c>
      <c r="CR16">
        <v>0</v>
      </c>
      <c r="CS16">
        <v>8.6078938513313191E-2</v>
      </c>
      <c r="CT16">
        <v>0.41856848458252255</v>
      </c>
      <c r="CU16">
        <v>0.51107674587733831</v>
      </c>
      <c r="CV16">
        <v>0.31936758963334144</v>
      </c>
      <c r="CW16">
        <v>5.2235809597758184E-2</v>
      </c>
      <c r="CX16">
        <v>0</v>
      </c>
      <c r="CY16">
        <v>1.6544720999450275E-2</v>
      </c>
      <c r="CZ16">
        <v>0.20597102328557337</v>
      </c>
      <c r="DA16">
        <v>0.28413437321225965</v>
      </c>
      <c r="DB16">
        <v>0.12005803299545892</v>
      </c>
      <c r="DC16">
        <v>2.749014265454409E-3</v>
      </c>
      <c r="DE16" t="s">
        <v>456</v>
      </c>
      <c r="DF16" t="s">
        <v>111</v>
      </c>
      <c r="DG16" t="s">
        <v>112</v>
      </c>
      <c r="DH16">
        <v>0.47824757168747001</v>
      </c>
    </row>
    <row r="17" spans="2:112" x14ac:dyDescent="0.45">
      <c r="B17" t="s">
        <v>457</v>
      </c>
      <c r="C17" t="s">
        <v>107</v>
      </c>
      <c r="D17">
        <v>0</v>
      </c>
      <c r="E17">
        <v>0.97484053655526215</v>
      </c>
      <c r="F17">
        <v>0.43908591141129966</v>
      </c>
      <c r="G17">
        <v>0.32699397222333376</v>
      </c>
      <c r="H17">
        <v>0.48488480317582705</v>
      </c>
      <c r="I17">
        <v>0.98256691949036656</v>
      </c>
      <c r="J17">
        <v>0</v>
      </c>
      <c r="K17">
        <v>0.55698108442393957</v>
      </c>
      <c r="L17">
        <v>0.18656380338796499</v>
      </c>
      <c r="M17">
        <v>0.15592348263093328</v>
      </c>
      <c r="N17">
        <v>0.20467273199818453</v>
      </c>
      <c r="O17">
        <v>0.52735333892001901</v>
      </c>
      <c r="P17">
        <v>0.97010869565217372</v>
      </c>
      <c r="Q17">
        <v>0.44255633736462807</v>
      </c>
      <c r="R17">
        <v>0.13710887808881386</v>
      </c>
      <c r="S17">
        <v>0.10990957844291525</v>
      </c>
      <c r="T17">
        <v>0.15963153744147934</v>
      </c>
      <c r="U17">
        <v>0.39043426115514929</v>
      </c>
      <c r="V17">
        <v>0</v>
      </c>
      <c r="W17">
        <v>0.77033659900375795</v>
      </c>
      <c r="X17">
        <v>0.31941569485701793</v>
      </c>
      <c r="Y17">
        <v>0.24322008525698788</v>
      </c>
      <c r="Z17">
        <v>0.37109157893727424</v>
      </c>
      <c r="AA17">
        <v>0.86632239387660126</v>
      </c>
      <c r="CE17" t="s">
        <v>457</v>
      </c>
      <c r="CF17">
        <v>0</v>
      </c>
      <c r="CG17">
        <v>2.2779942130204159E-4</v>
      </c>
      <c r="CH17">
        <v>8.6044455918342089E-2</v>
      </c>
      <c r="CI17">
        <v>0.1837723588577953</v>
      </c>
      <c r="CJ17">
        <v>6.8603629978975456E-2</v>
      </c>
      <c r="CK17">
        <v>1.3531846348947081E-4</v>
      </c>
      <c r="CL17">
        <v>0</v>
      </c>
      <c r="CM17">
        <v>5.5649213223994368E-2</v>
      </c>
      <c r="CN17">
        <v>0.38321510663893343</v>
      </c>
      <c r="CO17">
        <v>0.48212959979700482</v>
      </c>
      <c r="CP17">
        <v>0.28775902195294073</v>
      </c>
      <c r="CQ17">
        <v>3.307293251296553E-2</v>
      </c>
      <c r="CR17">
        <v>4.7325433366601941E-6</v>
      </c>
      <c r="CS17">
        <v>8.0340517520380017E-2</v>
      </c>
      <c r="CT17">
        <v>0.41574389878674933</v>
      </c>
      <c r="CU17">
        <v>0.52087295386819221</v>
      </c>
      <c r="CV17">
        <v>0.34181166076288449</v>
      </c>
      <c r="CW17">
        <v>6.1306303728575151E-2</v>
      </c>
      <c r="CX17">
        <v>0</v>
      </c>
      <c r="CY17">
        <v>1.3270235583259618E-2</v>
      </c>
      <c r="CZ17">
        <v>0.20175282889022045</v>
      </c>
      <c r="DA17">
        <v>0.30044121596900675</v>
      </c>
      <c r="DB17">
        <v>0.13479061478579962</v>
      </c>
      <c r="DC17">
        <v>4.2357972595952155E-3</v>
      </c>
      <c r="DE17" t="s">
        <v>457</v>
      </c>
      <c r="DF17" t="s">
        <v>111</v>
      </c>
      <c r="DG17" t="s">
        <v>112</v>
      </c>
      <c r="DH17">
        <v>0.43544097982172059</v>
      </c>
    </row>
    <row r="18" spans="2:112" x14ac:dyDescent="0.45">
      <c r="B18" t="s">
        <v>458</v>
      </c>
      <c r="C18" t="s">
        <v>107</v>
      </c>
      <c r="D18">
        <v>0</v>
      </c>
      <c r="E18">
        <v>0.97359651100735933</v>
      </c>
      <c r="F18">
        <v>0.44501370057659384</v>
      </c>
      <c r="G18">
        <v>0.32034454413131419</v>
      </c>
      <c r="H18">
        <v>0.49603351923455868</v>
      </c>
      <c r="I18">
        <v>0.98518518518518539</v>
      </c>
      <c r="J18">
        <v>0</v>
      </c>
      <c r="K18">
        <v>0.55392595678682943</v>
      </c>
      <c r="L18">
        <v>0.17832112979226586</v>
      </c>
      <c r="M18">
        <v>0.13409195352951558</v>
      </c>
      <c r="N18">
        <v>0.19650391577046669</v>
      </c>
      <c r="O18">
        <v>0.53757072541073514</v>
      </c>
      <c r="P18">
        <v>0.95119723042210769</v>
      </c>
      <c r="Q18">
        <v>0.43991171127417861</v>
      </c>
      <c r="R18">
        <v>0.12496144958483874</v>
      </c>
      <c r="S18">
        <v>9.9480549856437242E-2</v>
      </c>
      <c r="T18">
        <v>0.145225307638846</v>
      </c>
      <c r="U18">
        <v>0.39784603611143304</v>
      </c>
      <c r="V18">
        <v>0</v>
      </c>
      <c r="W18">
        <v>0.75869949384708302</v>
      </c>
      <c r="X18">
        <v>0.29025624539911793</v>
      </c>
      <c r="Y18">
        <v>0.22362618668868298</v>
      </c>
      <c r="Z18">
        <v>0.3754260726884141</v>
      </c>
      <c r="AA18">
        <v>0.86181481413382666</v>
      </c>
      <c r="CE18" t="s">
        <v>458</v>
      </c>
      <c r="CF18">
        <v>0</v>
      </c>
      <c r="CG18">
        <v>3.1149505506625121E-4</v>
      </c>
      <c r="CH18">
        <v>8.4474595925244381E-2</v>
      </c>
      <c r="CI18">
        <v>0.19237798641242138</v>
      </c>
      <c r="CJ18">
        <v>7.6283845068219933E-2</v>
      </c>
      <c r="CK18">
        <v>1.0741213178319702E-4</v>
      </c>
      <c r="CL18">
        <v>0</v>
      </c>
      <c r="CM18">
        <v>5.9142921338684012E-2</v>
      </c>
      <c r="CN18">
        <v>0.40135440021557001</v>
      </c>
      <c r="CO18">
        <v>0.53537811016212045</v>
      </c>
      <c r="CP18">
        <v>0.33138487453067533</v>
      </c>
      <c r="CQ18">
        <v>3.6056061730594141E-2</v>
      </c>
      <c r="CR18">
        <v>1.5569172495406745E-5</v>
      </c>
      <c r="CS18">
        <v>8.4235602641552818E-2</v>
      </c>
      <c r="CT18">
        <v>0.4316339984451103</v>
      </c>
      <c r="CU18">
        <v>0.55471355465643413</v>
      </c>
      <c r="CV18">
        <v>0.37418957078714754</v>
      </c>
      <c r="CW18">
        <v>6.662469195906523E-2</v>
      </c>
      <c r="CX18">
        <v>0</v>
      </c>
      <c r="CY18">
        <v>1.534928209723777E-2</v>
      </c>
      <c r="CZ18">
        <v>0.22341746010675806</v>
      </c>
      <c r="DA18">
        <v>0.32619448026367881</v>
      </c>
      <c r="DB18">
        <v>0.1432781161247369</v>
      </c>
      <c r="DC18">
        <v>4.1902673827448481E-3</v>
      </c>
      <c r="DE18" t="s">
        <v>458</v>
      </c>
      <c r="DF18" t="s">
        <v>111</v>
      </c>
      <c r="DG18" t="s">
        <v>112</v>
      </c>
      <c r="DH18">
        <v>0.45070777832104758</v>
      </c>
    </row>
    <row r="19" spans="2:112" x14ac:dyDescent="0.45">
      <c r="B19" t="s">
        <v>459</v>
      </c>
      <c r="C19" t="s">
        <v>107</v>
      </c>
      <c r="D19">
        <v>0</v>
      </c>
      <c r="E19">
        <v>0.99138825321121449</v>
      </c>
      <c r="F19">
        <v>0.4892065332566426</v>
      </c>
      <c r="G19">
        <v>0.34149466059603151</v>
      </c>
      <c r="H19">
        <v>0.47756537770597007</v>
      </c>
      <c r="I19">
        <v>0.96625785425832</v>
      </c>
      <c r="J19">
        <v>0</v>
      </c>
      <c r="K19">
        <v>0.57505888386534909</v>
      </c>
      <c r="L19">
        <v>0.22802794783138</v>
      </c>
      <c r="M19">
        <v>0.18119138883383917</v>
      </c>
      <c r="N19">
        <v>0.20819417989749325</v>
      </c>
      <c r="O19">
        <v>0.52525394516260604</v>
      </c>
      <c r="P19">
        <v>0.94472243746932327</v>
      </c>
      <c r="Q19">
        <v>0.46031594350637706</v>
      </c>
      <c r="R19">
        <v>0.15103012063020985</v>
      </c>
      <c r="S19">
        <v>0.10903777477662731</v>
      </c>
      <c r="T19">
        <v>0.14951401739703454</v>
      </c>
      <c r="U19">
        <v>0.37853162112925687</v>
      </c>
      <c r="V19">
        <v>0</v>
      </c>
      <c r="W19">
        <v>0.7920611678074041</v>
      </c>
      <c r="X19">
        <v>0.32294258403484644</v>
      </c>
      <c r="Y19">
        <v>0.25195512383753221</v>
      </c>
      <c r="Z19">
        <v>0.35331553873152777</v>
      </c>
      <c r="AA19">
        <v>0.84781735954610637</v>
      </c>
      <c r="CE19" t="s">
        <v>459</v>
      </c>
      <c r="CF19">
        <v>0</v>
      </c>
      <c r="CG19">
        <v>1.2401195689659171E-4</v>
      </c>
      <c r="CH19">
        <v>8.2303100137436816E-2</v>
      </c>
      <c r="CI19">
        <v>0.17892583499216944</v>
      </c>
      <c r="CJ19">
        <v>7.3215022858646714E-2</v>
      </c>
      <c r="CK19">
        <v>3.0487596531224878E-4</v>
      </c>
      <c r="CL19">
        <v>0</v>
      </c>
      <c r="CM19">
        <v>4.3440565982514244E-2</v>
      </c>
      <c r="CN19">
        <v>0.33707491157067454</v>
      </c>
      <c r="CO19">
        <v>0.46144033374166349</v>
      </c>
      <c r="CP19">
        <v>0.29220974152326479</v>
      </c>
      <c r="CQ19">
        <v>3.8494456863311384E-2</v>
      </c>
      <c r="CR19">
        <v>4.5219396687346974E-5</v>
      </c>
      <c r="CS19">
        <v>6.943084173701139E-2</v>
      </c>
      <c r="CT19">
        <v>0.39087306477130868</v>
      </c>
      <c r="CU19">
        <v>0.51694815269919825</v>
      </c>
      <c r="CV19">
        <v>0.35260434658921086</v>
      </c>
      <c r="CW19">
        <v>7.1822866248723527E-2</v>
      </c>
      <c r="CX19">
        <v>0</v>
      </c>
      <c r="CY19">
        <v>1.0335750767174945E-2</v>
      </c>
      <c r="CZ19">
        <v>0.1993022651360434</v>
      </c>
      <c r="DA19">
        <v>0.30168763845770874</v>
      </c>
      <c r="DB19">
        <v>0.14448340741104504</v>
      </c>
      <c r="DC19">
        <v>5.3635765526616813E-3</v>
      </c>
      <c r="DE19" t="s">
        <v>459</v>
      </c>
      <c r="DF19" t="s">
        <v>111</v>
      </c>
      <c r="DG19" t="s">
        <v>112</v>
      </c>
      <c r="DH19">
        <v>0.43398021088311184</v>
      </c>
    </row>
    <row r="20" spans="2:112" x14ac:dyDescent="0.45">
      <c r="B20" t="s">
        <v>460</v>
      </c>
      <c r="C20" t="s">
        <v>107</v>
      </c>
      <c r="D20">
        <v>0</v>
      </c>
      <c r="E20">
        <v>0.99122784124962071</v>
      </c>
      <c r="F20">
        <v>0.4890538167863846</v>
      </c>
      <c r="G20">
        <v>0.34163182488584887</v>
      </c>
      <c r="H20">
        <v>0.47579664869909533</v>
      </c>
      <c r="I20">
        <v>0.96639186261686105</v>
      </c>
      <c r="J20">
        <v>0</v>
      </c>
      <c r="K20">
        <v>0.58814443678985262</v>
      </c>
      <c r="L20">
        <v>0.22810555913318162</v>
      </c>
      <c r="M20">
        <v>0.18700886565695263</v>
      </c>
      <c r="N20">
        <v>0.21337643867648165</v>
      </c>
      <c r="O20">
        <v>0.51582800670144813</v>
      </c>
      <c r="P20">
        <v>0.94593399312933746</v>
      </c>
      <c r="Q20">
        <v>0.46821857680465212</v>
      </c>
      <c r="R20">
        <v>0.15195748317285243</v>
      </c>
      <c r="S20">
        <v>0.12214354900201457</v>
      </c>
      <c r="T20">
        <v>0.16191573539114357</v>
      </c>
      <c r="U20">
        <v>0.38046620090616212</v>
      </c>
      <c r="V20">
        <v>0</v>
      </c>
      <c r="W20">
        <v>0.79610250602783239</v>
      </c>
      <c r="X20">
        <v>0.33508346893216201</v>
      </c>
      <c r="Y20">
        <v>0.25368641873012604</v>
      </c>
      <c r="Z20">
        <v>0.35619728806385953</v>
      </c>
      <c r="AA20">
        <v>0.84448399550694075</v>
      </c>
      <c r="CE20" t="s">
        <v>460</v>
      </c>
      <c r="CF20">
        <v>0</v>
      </c>
      <c r="CG20">
        <v>8.5103662680048898E-5</v>
      </c>
      <c r="CH20">
        <v>7.697634873414877E-2</v>
      </c>
      <c r="CI20">
        <v>0.17829105393396388</v>
      </c>
      <c r="CJ20">
        <v>7.4805048735008137E-2</v>
      </c>
      <c r="CK20">
        <v>4.9133886031666656E-4</v>
      </c>
      <c r="CL20">
        <v>0</v>
      </c>
      <c r="CM20">
        <v>4.0370321480353084E-2</v>
      </c>
      <c r="CN20">
        <v>0.31807650471323257</v>
      </c>
      <c r="CO20">
        <v>0.44300553853717461</v>
      </c>
      <c r="CP20">
        <v>0.27591779639756581</v>
      </c>
      <c r="CQ20">
        <v>3.6481595781517086E-2</v>
      </c>
      <c r="CR20">
        <v>2.8451437521409079E-5</v>
      </c>
      <c r="CS20">
        <v>6.6373985359368823E-2</v>
      </c>
      <c r="CT20">
        <v>0.39056551520219041</v>
      </c>
      <c r="CU20">
        <v>0.50415593542936532</v>
      </c>
      <c r="CV20">
        <v>0.33671976702123307</v>
      </c>
      <c r="CW20">
        <v>7.0358152169009119E-2</v>
      </c>
      <c r="CX20">
        <v>0</v>
      </c>
      <c r="CY20">
        <v>9.3266528710910825E-3</v>
      </c>
      <c r="CZ20">
        <v>0.19214066741050087</v>
      </c>
      <c r="DA20">
        <v>0.30226832856752345</v>
      </c>
      <c r="DB20">
        <v>0.14523888589792039</v>
      </c>
      <c r="DC20">
        <v>5.3303480178894429E-3</v>
      </c>
      <c r="DE20" t="s">
        <v>460</v>
      </c>
      <c r="DF20" t="s">
        <v>111</v>
      </c>
      <c r="DG20" t="s">
        <v>112</v>
      </c>
      <c r="DH20">
        <v>0.43269068137134797</v>
      </c>
    </row>
    <row r="21" spans="2:112" x14ac:dyDescent="0.45">
      <c r="B21" t="s">
        <v>461</v>
      </c>
      <c r="C21" t="s">
        <v>107</v>
      </c>
      <c r="D21">
        <v>0</v>
      </c>
      <c r="E21">
        <v>0.99082287002290304</v>
      </c>
      <c r="F21">
        <v>0.50360114627260555</v>
      </c>
      <c r="G21">
        <v>0.30293621793964809</v>
      </c>
      <c r="H21">
        <v>0.45220574041184863</v>
      </c>
      <c r="I21">
        <v>0.96650165000693278</v>
      </c>
      <c r="J21">
        <v>0.99456521739130466</v>
      </c>
      <c r="K21">
        <v>0.57500834231821185</v>
      </c>
      <c r="L21">
        <v>0.20767096809877991</v>
      </c>
      <c r="M21">
        <v>0.17038165943797207</v>
      </c>
      <c r="N21">
        <v>0.20272768460385199</v>
      </c>
      <c r="O21">
        <v>0.51780331308628635</v>
      </c>
      <c r="P21">
        <v>0.93522319479593996</v>
      </c>
      <c r="Q21">
        <v>0.46311397509492808</v>
      </c>
      <c r="R21">
        <v>0.16013441518689667</v>
      </c>
      <c r="S21">
        <v>0.11322114160192936</v>
      </c>
      <c r="T21">
        <v>0.13372545097062505</v>
      </c>
      <c r="U21">
        <v>0.37212294575052768</v>
      </c>
      <c r="V21">
        <v>0</v>
      </c>
      <c r="W21">
        <v>0.79289514329347177</v>
      </c>
      <c r="X21">
        <v>0.30946024999760319</v>
      </c>
      <c r="Y21">
        <v>0.24338572577183362</v>
      </c>
      <c r="Z21">
        <v>0.3649836214970022</v>
      </c>
      <c r="AA21">
        <v>0.84649016043252812</v>
      </c>
      <c r="CE21" t="s">
        <v>461</v>
      </c>
      <c r="CF21">
        <v>0</v>
      </c>
      <c r="CG21">
        <v>1.4476853467838312E-4</v>
      </c>
      <c r="CH21">
        <v>8.1780444559277424E-2</v>
      </c>
      <c r="CI21">
        <v>0.18774614845462767</v>
      </c>
      <c r="CJ21">
        <v>7.9593268262326058E-2</v>
      </c>
      <c r="CK21">
        <v>3.6179929869192086E-4</v>
      </c>
      <c r="CL21">
        <v>3.3956388676198244E-7</v>
      </c>
      <c r="CM21">
        <v>4.4545827103731048E-2</v>
      </c>
      <c r="CN21">
        <v>0.35245717125200043</v>
      </c>
      <c r="CO21">
        <v>0.49127375415389657</v>
      </c>
      <c r="CP21">
        <v>0.32518377510988872</v>
      </c>
      <c r="CQ21">
        <v>4.4591755905968367E-2</v>
      </c>
      <c r="CR21">
        <v>1.0936937410033945E-4</v>
      </c>
      <c r="CS21">
        <v>6.7890464752957694E-2</v>
      </c>
      <c r="CT21">
        <v>0.38237521746011338</v>
      </c>
      <c r="CU21">
        <v>0.52065581551291118</v>
      </c>
      <c r="CV21">
        <v>0.38457442381007695</v>
      </c>
      <c r="CW21">
        <v>7.9829676677273767E-2</v>
      </c>
      <c r="CX21">
        <v>0</v>
      </c>
      <c r="CY21">
        <v>1.0651743017683254E-2</v>
      </c>
      <c r="CZ21">
        <v>0.20245163163460519</v>
      </c>
      <c r="DA21">
        <v>0.30530483540736031</v>
      </c>
      <c r="DB21">
        <v>0.14091909893331114</v>
      </c>
      <c r="DC21">
        <v>5.5505393688361415E-3</v>
      </c>
      <c r="DE21" t="s">
        <v>461</v>
      </c>
      <c r="DF21" t="s">
        <v>111</v>
      </c>
      <c r="DG21" t="s">
        <v>112</v>
      </c>
      <c r="DH21">
        <v>0.42965646913385114</v>
      </c>
    </row>
    <row r="22" spans="2:112" x14ac:dyDescent="0.45">
      <c r="B22" t="s">
        <v>462</v>
      </c>
      <c r="C22" t="s">
        <v>107</v>
      </c>
      <c r="D22">
        <v>0</v>
      </c>
      <c r="E22">
        <v>0.99691216716162456</v>
      </c>
      <c r="F22">
        <v>0.50238777804889823</v>
      </c>
      <c r="G22">
        <v>0.31530589539721954</v>
      </c>
      <c r="H22">
        <v>0.44658574044618932</v>
      </c>
      <c r="I22">
        <v>0.94824377101266222</v>
      </c>
      <c r="J22">
        <v>0.99184782608695665</v>
      </c>
      <c r="K22">
        <v>0.60252235510207863</v>
      </c>
      <c r="L22">
        <v>0.21256063079597207</v>
      </c>
      <c r="M22">
        <v>0.16672704099251609</v>
      </c>
      <c r="N22">
        <v>0.20776076853577688</v>
      </c>
      <c r="O22">
        <v>0.49883260266822205</v>
      </c>
      <c r="P22">
        <v>0.93352044456896599</v>
      </c>
      <c r="Q22">
        <v>0.47822879332237972</v>
      </c>
      <c r="R22">
        <v>0.15720491102369893</v>
      </c>
      <c r="S22">
        <v>0.11260230049785251</v>
      </c>
      <c r="T22">
        <v>0.15945768403167027</v>
      </c>
      <c r="U22">
        <v>0.35947684481468711</v>
      </c>
      <c r="V22">
        <v>0</v>
      </c>
      <c r="W22">
        <v>0.80993457865390617</v>
      </c>
      <c r="X22">
        <v>0.3233613413829089</v>
      </c>
      <c r="Y22">
        <v>0.23905460817396632</v>
      </c>
      <c r="Z22">
        <v>0.33890907655620389</v>
      </c>
      <c r="AA22">
        <v>0.81843630892610675</v>
      </c>
      <c r="CE22" t="s">
        <v>462</v>
      </c>
      <c r="CF22">
        <v>0</v>
      </c>
      <c r="CG22">
        <v>3.0764557584777401E-5</v>
      </c>
      <c r="CH22">
        <v>7.8733193547366867E-2</v>
      </c>
      <c r="CI22">
        <v>0.20565202994566931</v>
      </c>
      <c r="CJ22">
        <v>9.2623114366637296E-2</v>
      </c>
      <c r="CK22">
        <v>7.2545467953927841E-4</v>
      </c>
      <c r="CL22">
        <v>7.4691006375472433E-7</v>
      </c>
      <c r="CM22">
        <v>3.6999109777815925E-2</v>
      </c>
      <c r="CN22">
        <v>0.32954208286173597</v>
      </c>
      <c r="CO22">
        <v>0.47589745186210042</v>
      </c>
      <c r="CP22">
        <v>0.3057838589697649</v>
      </c>
      <c r="CQ22">
        <v>4.5973789968308997E-2</v>
      </c>
      <c r="CR22">
        <v>1.1844231821265405E-4</v>
      </c>
      <c r="CS22">
        <v>5.8010941284241724E-2</v>
      </c>
      <c r="CT22">
        <v>0.37040898054283078</v>
      </c>
      <c r="CU22">
        <v>0.50472460578053679</v>
      </c>
      <c r="CV22">
        <v>0.36929318575185632</v>
      </c>
      <c r="CW22">
        <v>8.3194012169798007E-2</v>
      </c>
      <c r="CX22">
        <v>0</v>
      </c>
      <c r="CY22">
        <v>8.9175519751506713E-3</v>
      </c>
      <c r="CZ22">
        <v>0.19980622204917359</v>
      </c>
      <c r="DA22">
        <v>0.31283831834515735</v>
      </c>
      <c r="DB22">
        <v>0.15660277724508467</v>
      </c>
      <c r="DC22">
        <v>7.020854034065699E-3</v>
      </c>
      <c r="DE22" t="s">
        <v>462</v>
      </c>
      <c r="DF22" t="s">
        <v>111</v>
      </c>
      <c r="DG22" t="s">
        <v>112</v>
      </c>
      <c r="DH22">
        <v>0.45204532208437742</v>
      </c>
    </row>
    <row r="23" spans="2:112" x14ac:dyDescent="0.45">
      <c r="B23" t="s">
        <v>463</v>
      </c>
      <c r="C23" t="s">
        <v>107</v>
      </c>
      <c r="D23">
        <v>0</v>
      </c>
      <c r="E23">
        <v>0.9706132915349508</v>
      </c>
      <c r="F23">
        <v>0.33312371954470943</v>
      </c>
      <c r="G23">
        <v>0.19775917286978595</v>
      </c>
      <c r="H23">
        <v>0.35922098081638215</v>
      </c>
      <c r="I23">
        <v>0.92507369560109309</v>
      </c>
      <c r="J23">
        <v>0</v>
      </c>
      <c r="K23">
        <v>0.60019610939430756</v>
      </c>
      <c r="L23">
        <v>0.21543131723997869</v>
      </c>
      <c r="M23">
        <v>0.17686666742852683</v>
      </c>
      <c r="N23">
        <v>0.21491875596849461</v>
      </c>
      <c r="O23">
        <v>0.5349988879890164</v>
      </c>
      <c r="P23">
        <v>0</v>
      </c>
      <c r="Q23">
        <v>0.50285579440345307</v>
      </c>
      <c r="R23">
        <v>0.16335680279764808</v>
      </c>
      <c r="S23">
        <v>0.12932595569967553</v>
      </c>
      <c r="T23">
        <v>0.15782026901287652</v>
      </c>
      <c r="U23">
        <v>0.4049041783180295</v>
      </c>
      <c r="V23">
        <v>0</v>
      </c>
      <c r="W23">
        <v>0.76984655291282988</v>
      </c>
      <c r="X23">
        <v>0.29577471492183421</v>
      </c>
      <c r="Y23">
        <v>0.22046866239338581</v>
      </c>
      <c r="Z23">
        <v>0.31898823901264373</v>
      </c>
      <c r="AA23">
        <v>0.82533056126668158</v>
      </c>
      <c r="CE23" t="s">
        <v>463</v>
      </c>
      <c r="CF23">
        <v>0</v>
      </c>
      <c r="CG23">
        <v>4.8545592708977429E-4</v>
      </c>
      <c r="CH23">
        <v>0.16456721279046563</v>
      </c>
      <c r="CI23">
        <v>0.36164006172585356</v>
      </c>
      <c r="CJ23">
        <v>0.17073489885133927</v>
      </c>
      <c r="CK23">
        <v>2.2653069266048674E-3</v>
      </c>
      <c r="CL23">
        <v>0</v>
      </c>
      <c r="CM23">
        <v>3.7923290211438872E-2</v>
      </c>
      <c r="CN23">
        <v>0.33967204090988129</v>
      </c>
      <c r="CO23">
        <v>0.47905336144177763</v>
      </c>
      <c r="CP23">
        <v>0.30145124735163753</v>
      </c>
      <c r="CQ23">
        <v>3.6765287224532574E-2</v>
      </c>
      <c r="CR23">
        <v>0</v>
      </c>
      <c r="CS23">
        <v>6.1359126524407649E-2</v>
      </c>
      <c r="CT23">
        <v>0.40790285382845015</v>
      </c>
      <c r="CU23">
        <v>0.53314021441610437</v>
      </c>
      <c r="CV23">
        <v>0.36974152719955994</v>
      </c>
      <c r="CW23">
        <v>6.9516908791955628E-2</v>
      </c>
      <c r="CX23">
        <v>0</v>
      </c>
      <c r="CY23">
        <v>1.2041149528103305E-2</v>
      </c>
      <c r="CZ23">
        <v>0.22501411471400587</v>
      </c>
      <c r="DA23">
        <v>0.36836407437172669</v>
      </c>
      <c r="DB23">
        <v>0.19601414568864342</v>
      </c>
      <c r="DC23">
        <v>7.8444009223681433E-3</v>
      </c>
      <c r="DE23" t="s">
        <v>463</v>
      </c>
      <c r="DF23" t="s">
        <v>111</v>
      </c>
      <c r="DG23" t="s">
        <v>112</v>
      </c>
      <c r="DH23">
        <v>0.48281209460487817</v>
      </c>
    </row>
    <row r="24" spans="2:112" x14ac:dyDescent="0.45">
      <c r="B24" t="s">
        <v>464</v>
      </c>
      <c r="C24" t="s">
        <v>107</v>
      </c>
      <c r="D24">
        <v>0</v>
      </c>
      <c r="E24">
        <v>0.96846884957182078</v>
      </c>
      <c r="F24">
        <v>0.35309687094109338</v>
      </c>
      <c r="G24">
        <v>0.22728221197267193</v>
      </c>
      <c r="H24">
        <v>0.39347115531089905</v>
      </c>
      <c r="I24">
        <v>0.94342377949627876</v>
      </c>
      <c r="J24">
        <v>0</v>
      </c>
      <c r="K24">
        <v>0.59192437438426593</v>
      </c>
      <c r="L24">
        <v>0.21162466908452113</v>
      </c>
      <c r="M24">
        <v>0.17121179817944795</v>
      </c>
      <c r="N24">
        <v>0.21763151117371676</v>
      </c>
      <c r="O24">
        <v>0.5398187345705675</v>
      </c>
      <c r="P24">
        <v>0</v>
      </c>
      <c r="Q24">
        <v>0.48647353763669432</v>
      </c>
      <c r="R24">
        <v>0.15382348173809221</v>
      </c>
      <c r="S24">
        <v>0.12288610349324799</v>
      </c>
      <c r="T24">
        <v>0.16267599752366535</v>
      </c>
      <c r="U24">
        <v>0.40471547407022035</v>
      </c>
      <c r="V24">
        <v>0</v>
      </c>
      <c r="W24">
        <v>0.77136700216677034</v>
      </c>
      <c r="X24">
        <v>0.33115221682564855</v>
      </c>
      <c r="Y24">
        <v>0.25761353720526398</v>
      </c>
      <c r="Z24">
        <v>0.35750048561921838</v>
      </c>
      <c r="AA24">
        <v>0.84034608889535212</v>
      </c>
      <c r="CE24" t="s">
        <v>464</v>
      </c>
      <c r="CF24">
        <v>0</v>
      </c>
      <c r="CG24">
        <v>2.6900447706526337E-4</v>
      </c>
      <c r="CH24">
        <v>0.12701419593903243</v>
      </c>
      <c r="CI24">
        <v>0.26589356557233046</v>
      </c>
      <c r="CJ24">
        <v>0.11720026704897256</v>
      </c>
      <c r="CK24">
        <v>7.5637801775646008E-4</v>
      </c>
      <c r="CL24">
        <v>0</v>
      </c>
      <c r="CM24">
        <v>4.0431689590872649E-2</v>
      </c>
      <c r="CN24">
        <v>0.3359818869799191</v>
      </c>
      <c r="CO24">
        <v>0.45344419068485592</v>
      </c>
      <c r="CP24">
        <v>0.28572784114340061</v>
      </c>
      <c r="CQ24">
        <v>3.3796234201737732E-2</v>
      </c>
      <c r="CR24">
        <v>0</v>
      </c>
      <c r="CS24">
        <v>6.8482644695931058E-2</v>
      </c>
      <c r="CT24">
        <v>0.41100372607170582</v>
      </c>
      <c r="CU24">
        <v>0.51445982603954432</v>
      </c>
      <c r="CV24">
        <v>0.35011971467793374</v>
      </c>
      <c r="CW24">
        <v>6.646094389313946E-2</v>
      </c>
      <c r="CX24">
        <v>0</v>
      </c>
      <c r="CY24">
        <v>1.1817462362672377E-2</v>
      </c>
      <c r="CZ24">
        <v>0.20104072186553434</v>
      </c>
      <c r="DA24">
        <v>0.32218343601121585</v>
      </c>
      <c r="DB24">
        <v>0.16657094687634161</v>
      </c>
      <c r="DC24">
        <v>6.4741844606976771E-3</v>
      </c>
      <c r="DE24" t="s">
        <v>464</v>
      </c>
      <c r="DF24" t="s">
        <v>111</v>
      </c>
      <c r="DG24" t="s">
        <v>112</v>
      </c>
      <c r="DH24">
        <v>0.44941007726162435</v>
      </c>
    </row>
    <row r="25" spans="2:112" x14ac:dyDescent="0.45">
      <c r="B25" t="s">
        <v>465</v>
      </c>
      <c r="C25" t="s">
        <v>107</v>
      </c>
      <c r="D25">
        <v>0</v>
      </c>
      <c r="E25">
        <v>0.95225044523343338</v>
      </c>
      <c r="F25">
        <v>0.34642256933441035</v>
      </c>
      <c r="G25">
        <v>0.23265478781108409</v>
      </c>
      <c r="H25">
        <v>0.41123243032562723</v>
      </c>
      <c r="I25">
        <v>0.96666639457364445</v>
      </c>
      <c r="J25">
        <v>0</v>
      </c>
      <c r="K25">
        <v>0.57526208194641504</v>
      </c>
      <c r="L25">
        <v>0.19676929105786395</v>
      </c>
      <c r="M25">
        <v>0.15920245099151584</v>
      </c>
      <c r="N25">
        <v>0.20900768762695654</v>
      </c>
      <c r="O25">
        <v>0.55682534874276934</v>
      </c>
      <c r="P25">
        <v>0</v>
      </c>
      <c r="Q25">
        <v>0.47299849052783716</v>
      </c>
      <c r="R25">
        <v>0.13961811771924401</v>
      </c>
      <c r="S25">
        <v>0.11269031164584878</v>
      </c>
      <c r="T25">
        <v>0.16928114147680728</v>
      </c>
      <c r="U25">
        <v>0.44803467315771256</v>
      </c>
      <c r="V25">
        <v>0</v>
      </c>
      <c r="W25">
        <v>0.73459423485572695</v>
      </c>
      <c r="X25">
        <v>0.28219201921210652</v>
      </c>
      <c r="Y25">
        <v>0.22400963797681289</v>
      </c>
      <c r="Z25">
        <v>0.35499700776339604</v>
      </c>
      <c r="AA25">
        <v>0.86752773252870152</v>
      </c>
      <c r="CE25" t="s">
        <v>465</v>
      </c>
      <c r="CF25">
        <v>0</v>
      </c>
      <c r="CG25">
        <v>8.1481827899487953E-4</v>
      </c>
      <c r="CH25">
        <v>0.13808958055433071</v>
      </c>
      <c r="CI25">
        <v>0.26388299466468923</v>
      </c>
      <c r="CJ25">
        <v>0.10432203843554332</v>
      </c>
      <c r="CK25">
        <v>4.0447436348126374E-4</v>
      </c>
      <c r="CL25">
        <v>0</v>
      </c>
      <c r="CM25">
        <v>5.064762576078518E-2</v>
      </c>
      <c r="CN25">
        <v>0.35965599474044585</v>
      </c>
      <c r="CO25">
        <v>0.47032910776364245</v>
      </c>
      <c r="CP25">
        <v>0.27851588288434936</v>
      </c>
      <c r="CQ25">
        <v>2.74442734692441E-2</v>
      </c>
      <c r="CR25">
        <v>0</v>
      </c>
      <c r="CS25">
        <v>7.8342875653454061E-2</v>
      </c>
      <c r="CT25">
        <v>0.42753093431644051</v>
      </c>
      <c r="CU25">
        <v>0.52725393489129047</v>
      </c>
      <c r="CV25">
        <v>0.33938761551643576</v>
      </c>
      <c r="CW25">
        <v>5.2587637674610256E-2</v>
      </c>
      <c r="CX25">
        <v>0</v>
      </c>
      <c r="CY25">
        <v>1.7435482928273297E-2</v>
      </c>
      <c r="CZ25">
        <v>0.24052230471071956</v>
      </c>
      <c r="DA25">
        <v>0.34820113910467482</v>
      </c>
      <c r="DB25">
        <v>0.15735969418356704</v>
      </c>
      <c r="DC25">
        <v>4.2546217694531575E-3</v>
      </c>
      <c r="DE25" t="s">
        <v>465</v>
      </c>
      <c r="DF25" t="s">
        <v>111</v>
      </c>
      <c r="DG25" t="s">
        <v>112</v>
      </c>
      <c r="DH25">
        <v>0.45377452062895429</v>
      </c>
    </row>
    <row r="26" spans="2:112" x14ac:dyDescent="0.45">
      <c r="B26" t="s">
        <v>466</v>
      </c>
      <c r="C26" t="s">
        <v>107</v>
      </c>
      <c r="D26">
        <v>0</v>
      </c>
      <c r="E26">
        <v>0.9541859148415226</v>
      </c>
      <c r="F26">
        <v>0.33391234679681692</v>
      </c>
      <c r="G26">
        <v>0.20933012719688573</v>
      </c>
      <c r="H26">
        <v>0.38466620336966362</v>
      </c>
      <c r="I26">
        <v>0.95262033604289365</v>
      </c>
      <c r="J26">
        <v>0</v>
      </c>
      <c r="K26">
        <v>0.58368422918477825</v>
      </c>
      <c r="L26">
        <v>0.18964892481391196</v>
      </c>
      <c r="M26">
        <v>0.15775727535124159</v>
      </c>
      <c r="N26">
        <v>0.20979688387475939</v>
      </c>
      <c r="O26">
        <v>0.55631545034267382</v>
      </c>
      <c r="P26">
        <v>0</v>
      </c>
      <c r="Q26">
        <v>0.48538885549406857</v>
      </c>
      <c r="R26">
        <v>0.15376014127466217</v>
      </c>
      <c r="S26">
        <v>0.12612442101208601</v>
      </c>
      <c r="T26">
        <v>0.17421299624096043</v>
      </c>
      <c r="U26">
        <v>0.44679761971827586</v>
      </c>
      <c r="V26">
        <v>0</v>
      </c>
      <c r="W26">
        <v>0.74617050597327927</v>
      </c>
      <c r="X26">
        <v>0.27610679983973252</v>
      </c>
      <c r="Y26">
        <v>0.22835494704869364</v>
      </c>
      <c r="Z26">
        <v>0.33525988676153035</v>
      </c>
      <c r="AA26">
        <v>0.86202719385602078</v>
      </c>
      <c r="CE26" t="s">
        <v>466</v>
      </c>
      <c r="CF26">
        <v>0</v>
      </c>
      <c r="CG26">
        <v>8.6946194980363123E-4</v>
      </c>
      <c r="CH26">
        <v>0.16830313403207234</v>
      </c>
      <c r="CI26">
        <v>0.33323382055991152</v>
      </c>
      <c r="CJ26">
        <v>0.13909758585766097</v>
      </c>
      <c r="CK26">
        <v>8.5439793209776856E-4</v>
      </c>
      <c r="CL26">
        <v>0</v>
      </c>
      <c r="CM26">
        <v>4.7680696764208171E-2</v>
      </c>
      <c r="CN26">
        <v>0.36501640768748139</v>
      </c>
      <c r="CO26">
        <v>0.48764219910647516</v>
      </c>
      <c r="CP26">
        <v>0.29439967460374306</v>
      </c>
      <c r="CQ26">
        <v>3.0303770932688656E-2</v>
      </c>
      <c r="CR26">
        <v>0</v>
      </c>
      <c r="CS26">
        <v>7.1847257557922678E-2</v>
      </c>
      <c r="CT26">
        <v>0.42137229311916224</v>
      </c>
      <c r="CU26">
        <v>0.52190637185297428</v>
      </c>
      <c r="CV26">
        <v>0.34091122534204565</v>
      </c>
      <c r="CW26">
        <v>5.5581090495808255E-2</v>
      </c>
      <c r="CX26">
        <v>0</v>
      </c>
      <c r="CY26">
        <v>1.5583737673378464E-2</v>
      </c>
      <c r="CZ26">
        <v>0.23950083502476899</v>
      </c>
      <c r="DA26">
        <v>0.34961541271604429</v>
      </c>
      <c r="DB26">
        <v>0.16862509897844444</v>
      </c>
      <c r="DC26">
        <v>5.0496745964902258E-3</v>
      </c>
      <c r="DE26" t="s">
        <v>466</v>
      </c>
      <c r="DF26" t="s">
        <v>111</v>
      </c>
      <c r="DG26" t="s">
        <v>112</v>
      </c>
      <c r="DH26">
        <v>0.450884081026663</v>
      </c>
    </row>
    <row r="27" spans="2:112" x14ac:dyDescent="0.45">
      <c r="B27" t="s">
        <v>467</v>
      </c>
      <c r="C27" t="s">
        <v>107</v>
      </c>
      <c r="D27">
        <v>0</v>
      </c>
      <c r="E27">
        <v>0.98805565315633437</v>
      </c>
      <c r="F27">
        <v>0.46836197141318003</v>
      </c>
      <c r="G27">
        <v>0.27513996457031575</v>
      </c>
      <c r="H27">
        <v>0.41039648931767803</v>
      </c>
      <c r="I27">
        <v>0.92915557196709053</v>
      </c>
      <c r="J27">
        <v>0.9986413043478265</v>
      </c>
      <c r="K27">
        <v>0.62565268523299467</v>
      </c>
      <c r="L27">
        <v>0.22832198072990847</v>
      </c>
      <c r="M27">
        <v>0.18623705802618956</v>
      </c>
      <c r="N27">
        <v>0.20971915876098193</v>
      </c>
      <c r="O27">
        <v>0.49029445704134439</v>
      </c>
      <c r="P27">
        <v>0.94226828572322507</v>
      </c>
      <c r="Q27">
        <v>0.49645968488914577</v>
      </c>
      <c r="R27">
        <v>0.15504867085399932</v>
      </c>
      <c r="S27">
        <v>0.12525321586874438</v>
      </c>
      <c r="T27">
        <v>0.15930501169395758</v>
      </c>
      <c r="U27">
        <v>0.35931262482282939</v>
      </c>
      <c r="V27">
        <v>0</v>
      </c>
      <c r="W27">
        <v>0.81250684876823032</v>
      </c>
      <c r="X27">
        <v>0.32304632107360509</v>
      </c>
      <c r="Y27">
        <v>0.23724789237282379</v>
      </c>
      <c r="Z27">
        <v>0.34141749699384699</v>
      </c>
      <c r="AA27">
        <v>0.81542926143005601</v>
      </c>
      <c r="CE27" t="s">
        <v>467</v>
      </c>
      <c r="CF27">
        <v>0</v>
      </c>
      <c r="CG27">
        <v>2.2311090600102992E-5</v>
      </c>
      <c r="CH27">
        <v>8.6946130319649359E-2</v>
      </c>
      <c r="CI27">
        <v>0.22509880378560121</v>
      </c>
      <c r="CJ27">
        <v>0.10634299347889668</v>
      </c>
      <c r="CK27">
        <v>1.1384156734421625E-3</v>
      </c>
      <c r="CL27">
        <v>3.1160537177482889E-9</v>
      </c>
      <c r="CM27">
        <v>3.2244268553087131E-2</v>
      </c>
      <c r="CN27">
        <v>0.31515374490459303</v>
      </c>
      <c r="CO27">
        <v>0.44652993744846009</v>
      </c>
      <c r="CP27">
        <v>0.29467489186382101</v>
      </c>
      <c r="CQ27">
        <v>4.4117421908121103E-2</v>
      </c>
      <c r="CR27">
        <v>3.702466801821788E-5</v>
      </c>
      <c r="CS27">
        <v>5.2139262349831898E-2</v>
      </c>
      <c r="CT27">
        <v>0.35990011906564418</v>
      </c>
      <c r="CU27">
        <v>0.48668223151600654</v>
      </c>
      <c r="CV27">
        <v>0.34551673155443635</v>
      </c>
      <c r="CW27">
        <v>7.8522837265355722E-2</v>
      </c>
      <c r="CX27">
        <v>0</v>
      </c>
      <c r="CY27">
        <v>8.342665246418272E-3</v>
      </c>
      <c r="CZ27">
        <v>0.18983208358459441</v>
      </c>
      <c r="DA27">
        <v>0.30534095044578169</v>
      </c>
      <c r="DB27">
        <v>0.15760711420172069</v>
      </c>
      <c r="DC27">
        <v>7.2381948580422682E-3</v>
      </c>
      <c r="DE27" t="s">
        <v>467</v>
      </c>
      <c r="DF27" t="s">
        <v>111</v>
      </c>
      <c r="DG27" t="s">
        <v>112</v>
      </c>
      <c r="DH27">
        <v>0.37621680221101639</v>
      </c>
    </row>
    <row r="28" spans="2:112" x14ac:dyDescent="0.45">
      <c r="B28" t="s">
        <v>468</v>
      </c>
      <c r="C28" t="s">
        <v>107</v>
      </c>
      <c r="D28">
        <v>0</v>
      </c>
      <c r="E28">
        <v>0</v>
      </c>
      <c r="F28">
        <v>0.4915575117946287</v>
      </c>
      <c r="G28">
        <v>0.31549360503883145</v>
      </c>
      <c r="H28">
        <v>0.43878289897801359</v>
      </c>
      <c r="I28">
        <v>0.94074074074074066</v>
      </c>
      <c r="J28">
        <v>0.99728260869565222</v>
      </c>
      <c r="K28">
        <v>0.61706078063256276</v>
      </c>
      <c r="L28">
        <v>0.22351323304104853</v>
      </c>
      <c r="M28">
        <v>0.18798586796362024</v>
      </c>
      <c r="N28">
        <v>0.21576712826706743</v>
      </c>
      <c r="O28">
        <v>0.49281756575284968</v>
      </c>
      <c r="P28">
        <v>0.93679306319688016</v>
      </c>
      <c r="Q28">
        <v>0.49050901196930363</v>
      </c>
      <c r="R28">
        <v>0.16607706972988714</v>
      </c>
      <c r="S28">
        <v>0.13196225376148582</v>
      </c>
      <c r="T28">
        <v>0.16149232011774464</v>
      </c>
      <c r="U28">
        <v>0.35543858752478585</v>
      </c>
      <c r="V28">
        <v>0</v>
      </c>
      <c r="W28">
        <v>0.81996918993159829</v>
      </c>
      <c r="X28">
        <v>0.3304217709018164</v>
      </c>
      <c r="Y28">
        <v>0.2628992870466812</v>
      </c>
      <c r="Z28">
        <v>0.35489659501700382</v>
      </c>
      <c r="AA28">
        <v>0.81565864133560773</v>
      </c>
      <c r="CE28" t="s">
        <v>468</v>
      </c>
      <c r="CF28">
        <v>0</v>
      </c>
      <c r="CG28">
        <v>0</v>
      </c>
      <c r="CH28">
        <v>8.4697981233083308E-2</v>
      </c>
      <c r="CI28">
        <v>0.21422176624289374</v>
      </c>
      <c r="CJ28">
        <v>0.10091311510002085</v>
      </c>
      <c r="CK28">
        <v>9.3759231158393401E-4</v>
      </c>
      <c r="CL28">
        <v>9.6262633893251405E-8</v>
      </c>
      <c r="CM28">
        <v>3.3127843423378496E-2</v>
      </c>
      <c r="CN28">
        <v>0.31392994661510554</v>
      </c>
      <c r="CO28">
        <v>0.4459249455695502</v>
      </c>
      <c r="CP28">
        <v>0.29430844288622421</v>
      </c>
      <c r="CQ28">
        <v>4.5232288926679409E-2</v>
      </c>
      <c r="CR28">
        <v>9.9367111281194409E-5</v>
      </c>
      <c r="CS28">
        <v>5.1915744660778217E-2</v>
      </c>
      <c r="CT28">
        <v>0.34590655159631661</v>
      </c>
      <c r="CU28">
        <v>0.47413997917575146</v>
      </c>
      <c r="CV28">
        <v>0.3523093399174666</v>
      </c>
      <c r="CW28">
        <v>8.2902172371744243E-2</v>
      </c>
      <c r="CX28">
        <v>0</v>
      </c>
      <c r="CY28">
        <v>8.8554003123121408E-3</v>
      </c>
      <c r="CZ28">
        <v>0.19588416896473074</v>
      </c>
      <c r="DA28">
        <v>0.30349338156421368</v>
      </c>
      <c r="DB28">
        <v>0.15686898222950083</v>
      </c>
      <c r="DC28">
        <v>7.074209628845393E-3</v>
      </c>
      <c r="DE28" t="s">
        <v>468</v>
      </c>
      <c r="DF28" t="s">
        <v>111</v>
      </c>
      <c r="DG28" t="s">
        <v>112</v>
      </c>
      <c r="DH28">
        <v>0.42785077997284826</v>
      </c>
    </row>
    <row r="29" spans="2:112" x14ac:dyDescent="0.45">
      <c r="B29" t="s">
        <v>469</v>
      </c>
      <c r="C29" t="s">
        <v>107</v>
      </c>
      <c r="D29">
        <v>0</v>
      </c>
      <c r="E29">
        <v>0.99151867936466953</v>
      </c>
      <c r="F29">
        <v>0.47943688584679317</v>
      </c>
      <c r="G29">
        <v>0.30954731317969059</v>
      </c>
      <c r="H29">
        <v>0.44762691402508226</v>
      </c>
      <c r="I29">
        <v>0.94814814814814841</v>
      </c>
      <c r="J29">
        <v>0</v>
      </c>
      <c r="K29">
        <v>0.60701642673553735</v>
      </c>
      <c r="L29">
        <v>0.2193876126063149</v>
      </c>
      <c r="M29">
        <v>0.18364223132423235</v>
      </c>
      <c r="N29">
        <v>0.2268941591948293</v>
      </c>
      <c r="O29">
        <v>0.50466996560575295</v>
      </c>
      <c r="P29">
        <v>0.95078067500670949</v>
      </c>
      <c r="Q29">
        <v>0.47945874246970821</v>
      </c>
      <c r="R29">
        <v>0.15530410499783229</v>
      </c>
      <c r="S29">
        <v>0.13055806052632404</v>
      </c>
      <c r="T29">
        <v>0.16156846982160172</v>
      </c>
      <c r="U29">
        <v>0.36953045547608798</v>
      </c>
      <c r="V29">
        <v>0</v>
      </c>
      <c r="W29">
        <v>0.80599037002917973</v>
      </c>
      <c r="X29">
        <v>0.33197779006158717</v>
      </c>
      <c r="Y29">
        <v>0.26112172908058595</v>
      </c>
      <c r="Z29">
        <v>0.35936775769177942</v>
      </c>
      <c r="AA29">
        <v>0.8265457677902166</v>
      </c>
      <c r="CE29" t="s">
        <v>469</v>
      </c>
      <c r="CF29">
        <v>0</v>
      </c>
      <c r="CG29">
        <v>6.3127010826103245E-5</v>
      </c>
      <c r="CH29">
        <v>8.1652260884920669E-2</v>
      </c>
      <c r="CI29">
        <v>0.19938239173787306</v>
      </c>
      <c r="CJ29">
        <v>8.9708335092854752E-2</v>
      </c>
      <c r="CK29">
        <v>7.2975242551696613E-4</v>
      </c>
      <c r="CL29">
        <v>0</v>
      </c>
      <c r="CM29">
        <v>3.5830767930116456E-2</v>
      </c>
      <c r="CN29">
        <v>0.31505549762518081</v>
      </c>
      <c r="CO29">
        <v>0.44721467809368642</v>
      </c>
      <c r="CP29">
        <v>0.28636671320355483</v>
      </c>
      <c r="CQ29">
        <v>3.929371670764871E-2</v>
      </c>
      <c r="CR29">
        <v>3.2826288728617621E-5</v>
      </c>
      <c r="CS29">
        <v>5.8076806118373701E-2</v>
      </c>
      <c r="CT29">
        <v>0.36788637374659117</v>
      </c>
      <c r="CU29">
        <v>0.47657301027381233</v>
      </c>
      <c r="CV29">
        <v>0.33663463803311666</v>
      </c>
      <c r="CW29">
        <v>7.2404731575084147E-2</v>
      </c>
      <c r="CX29">
        <v>0</v>
      </c>
      <c r="CY29">
        <v>9.2793615992260402E-3</v>
      </c>
      <c r="CZ29">
        <v>0.19639308458911292</v>
      </c>
      <c r="DA29">
        <v>0.30265484537567383</v>
      </c>
      <c r="DB29">
        <v>0.14870882418471168</v>
      </c>
      <c r="DC29">
        <v>6.1173165293855157E-3</v>
      </c>
      <c r="DE29" t="s">
        <v>469</v>
      </c>
      <c r="DF29" t="s">
        <v>111</v>
      </c>
      <c r="DG29" t="s">
        <v>112</v>
      </c>
      <c r="DH29">
        <v>0.41748157589194423</v>
      </c>
    </row>
    <row r="30" spans="2:112" x14ac:dyDescent="0.45">
      <c r="B30" t="s">
        <v>470</v>
      </c>
      <c r="C30" t="s">
        <v>107</v>
      </c>
      <c r="D30">
        <v>0</v>
      </c>
      <c r="E30">
        <v>0.97777777777777752</v>
      </c>
      <c r="F30">
        <v>0.44124930650783034</v>
      </c>
      <c r="G30">
        <v>0.29511122119938632</v>
      </c>
      <c r="H30">
        <v>0.44614406697773823</v>
      </c>
      <c r="I30">
        <v>0.95265930188535708</v>
      </c>
      <c r="J30">
        <v>0</v>
      </c>
      <c r="K30">
        <v>0.60348173746792122</v>
      </c>
      <c r="L30">
        <v>0.2260141326214534</v>
      </c>
      <c r="M30">
        <v>0.1731429498071517</v>
      </c>
      <c r="N30">
        <v>0.21731993698042526</v>
      </c>
      <c r="O30">
        <v>0.52097373080345288</v>
      </c>
      <c r="P30">
        <v>0.9945652173913041</v>
      </c>
      <c r="Q30">
        <v>0.47132748906867089</v>
      </c>
      <c r="R30">
        <v>0.13604155084410116</v>
      </c>
      <c r="S30">
        <v>0.10782661365328503</v>
      </c>
      <c r="T30">
        <v>0.16175146493433998</v>
      </c>
      <c r="U30">
        <v>0.37852962800293694</v>
      </c>
      <c r="V30">
        <v>0</v>
      </c>
      <c r="W30">
        <v>0.79309910623828561</v>
      </c>
      <c r="X30">
        <v>0.34342680802372672</v>
      </c>
      <c r="Y30">
        <v>0.26578722851062597</v>
      </c>
      <c r="Z30">
        <v>0.37417172113649305</v>
      </c>
      <c r="AA30">
        <v>0.84540372188131852</v>
      </c>
      <c r="CE30" t="s">
        <v>470</v>
      </c>
      <c r="CF30">
        <v>0</v>
      </c>
      <c r="CG30">
        <v>7.5567700121868076E-5</v>
      </c>
      <c r="CH30">
        <v>8.9991433749997074E-2</v>
      </c>
      <c r="CI30">
        <v>0.20792447991393323</v>
      </c>
      <c r="CJ30">
        <v>8.9733793338184015E-2</v>
      </c>
      <c r="CK30">
        <v>6.3303216211694547E-4</v>
      </c>
      <c r="CL30">
        <v>0</v>
      </c>
      <c r="CM30">
        <v>3.5756065133597845E-2</v>
      </c>
      <c r="CN30">
        <v>0.30510996922348349</v>
      </c>
      <c r="CO30">
        <v>0.43846765948086508</v>
      </c>
      <c r="CP30">
        <v>0.27744319365644898</v>
      </c>
      <c r="CQ30">
        <v>3.4199942934745833E-2</v>
      </c>
      <c r="CR30">
        <v>9.7088486534733678E-8</v>
      </c>
      <c r="CS30">
        <v>6.6689369597308104E-2</v>
      </c>
      <c r="CT30">
        <v>0.40244638440963093</v>
      </c>
      <c r="CU30">
        <v>0.50786309770125471</v>
      </c>
      <c r="CV30">
        <v>0.33726507502854214</v>
      </c>
      <c r="CW30">
        <v>6.6175139303185124E-2</v>
      </c>
      <c r="CX30">
        <v>0</v>
      </c>
      <c r="CY30">
        <v>1.0010180637274088E-2</v>
      </c>
      <c r="CZ30">
        <v>0.18828104274847693</v>
      </c>
      <c r="DA30">
        <v>0.29521896877592624</v>
      </c>
      <c r="DB30">
        <v>0.14460244052921029</v>
      </c>
      <c r="DC30">
        <v>6.0144863734562532E-3</v>
      </c>
      <c r="DE30" t="s">
        <v>470</v>
      </c>
      <c r="DF30" t="s">
        <v>111</v>
      </c>
      <c r="DG30" t="s">
        <v>112</v>
      </c>
      <c r="DH30">
        <v>0.44077255913280411</v>
      </c>
    </row>
    <row r="31" spans="2:112" x14ac:dyDescent="0.45">
      <c r="B31" t="s">
        <v>471</v>
      </c>
      <c r="C31" t="s">
        <v>107</v>
      </c>
      <c r="D31">
        <v>0</v>
      </c>
      <c r="E31">
        <v>0.96666666666666667</v>
      </c>
      <c r="F31">
        <v>0.40282545054538815</v>
      </c>
      <c r="G31">
        <v>0.29247420946805835</v>
      </c>
      <c r="H31">
        <v>0.43795872108700867</v>
      </c>
      <c r="I31">
        <v>0.95082018277729896</v>
      </c>
      <c r="J31">
        <v>0</v>
      </c>
      <c r="K31">
        <v>0.58922403991255878</v>
      </c>
      <c r="L31">
        <v>0.20265801979127782</v>
      </c>
      <c r="M31">
        <v>0.15776795949767186</v>
      </c>
      <c r="N31">
        <v>0.19737440116803578</v>
      </c>
      <c r="O31">
        <v>0.5339037119273079</v>
      </c>
      <c r="P31">
        <v>0</v>
      </c>
      <c r="Q31">
        <v>0.4753067172723715</v>
      </c>
      <c r="R31">
        <v>0.14286684757834106</v>
      </c>
      <c r="S31">
        <v>0.11555919642068803</v>
      </c>
      <c r="T31">
        <v>0.1555134194248726</v>
      </c>
      <c r="U31">
        <v>0.39740705831789175</v>
      </c>
      <c r="V31">
        <v>0</v>
      </c>
      <c r="W31">
        <v>0.77257835321696389</v>
      </c>
      <c r="X31">
        <v>0.3312166060202128</v>
      </c>
      <c r="Y31">
        <v>0.26052877122116647</v>
      </c>
      <c r="Z31">
        <v>0.36822072032732833</v>
      </c>
      <c r="AA31">
        <v>0.84448414454910048</v>
      </c>
      <c r="CE31" t="s">
        <v>471</v>
      </c>
      <c r="CF31">
        <v>0</v>
      </c>
      <c r="CG31">
        <v>1.9012254687145308E-4</v>
      </c>
      <c r="CH31">
        <v>0.1074285983336651</v>
      </c>
      <c r="CI31">
        <v>0.22523248042140362</v>
      </c>
      <c r="CJ31">
        <v>9.6174419679574213E-2</v>
      </c>
      <c r="CK31">
        <v>6.5060168098669965E-4</v>
      </c>
      <c r="CL31">
        <v>0</v>
      </c>
      <c r="CM31">
        <v>3.9453103365968904E-2</v>
      </c>
      <c r="CN31">
        <v>0.32473739182027656</v>
      </c>
      <c r="CO31">
        <v>0.44173290667987575</v>
      </c>
      <c r="CP31">
        <v>0.27747079482948384</v>
      </c>
      <c r="CQ31">
        <v>3.2309402227592078E-2</v>
      </c>
      <c r="CR31">
        <v>0</v>
      </c>
      <c r="CS31">
        <v>7.1074910561559013E-2</v>
      </c>
      <c r="CT31">
        <v>0.41389359388715974</v>
      </c>
      <c r="CU31">
        <v>0.51392304216949325</v>
      </c>
      <c r="CV31">
        <v>0.34343282042091533</v>
      </c>
      <c r="CW31">
        <v>6.365652814302597E-2</v>
      </c>
      <c r="CX31">
        <v>0</v>
      </c>
      <c r="CY31">
        <v>1.2206440085767245E-2</v>
      </c>
      <c r="CZ31">
        <v>0.20193949612208156</v>
      </c>
      <c r="DA31">
        <v>0.31056127647182658</v>
      </c>
      <c r="DB31">
        <v>0.15219062563920238</v>
      </c>
      <c r="DC31">
        <v>5.7410009115467613E-3</v>
      </c>
      <c r="DE31" t="s">
        <v>471</v>
      </c>
      <c r="DF31" t="s">
        <v>111</v>
      </c>
      <c r="DG31" t="s">
        <v>112</v>
      </c>
      <c r="DH31">
        <v>0.44735447630424341</v>
      </c>
    </row>
    <row r="32" spans="2:112" x14ac:dyDescent="0.45">
      <c r="B32" t="s">
        <v>472</v>
      </c>
      <c r="C32" t="s">
        <v>107</v>
      </c>
      <c r="D32">
        <v>0</v>
      </c>
      <c r="E32">
        <v>0.98326877042473948</v>
      </c>
      <c r="F32">
        <v>0.41655601391009284</v>
      </c>
      <c r="G32">
        <v>0.26972755987071512</v>
      </c>
      <c r="H32">
        <v>0.39944747577768203</v>
      </c>
      <c r="I32">
        <v>0.92460897729851499</v>
      </c>
      <c r="J32">
        <v>0</v>
      </c>
      <c r="K32">
        <v>0.61648999282954131</v>
      </c>
      <c r="L32">
        <v>0.21890646045895143</v>
      </c>
      <c r="M32">
        <v>0.20100912974615581</v>
      </c>
      <c r="N32">
        <v>0.2237314869771159</v>
      </c>
      <c r="O32">
        <v>0.51759788416346586</v>
      </c>
      <c r="P32">
        <v>0</v>
      </c>
      <c r="Q32">
        <v>0.51322708269416062</v>
      </c>
      <c r="R32">
        <v>0.1531327825816885</v>
      </c>
      <c r="S32">
        <v>0.11476596622705595</v>
      </c>
      <c r="T32">
        <v>0.1388242021705435</v>
      </c>
      <c r="U32">
        <v>0.37929059200969539</v>
      </c>
      <c r="V32">
        <v>0</v>
      </c>
      <c r="W32">
        <v>0.80357473852327832</v>
      </c>
      <c r="X32">
        <v>0.3265288206898273</v>
      </c>
      <c r="Y32">
        <v>0.25428990012097785</v>
      </c>
      <c r="Z32">
        <v>0.33904238210767568</v>
      </c>
      <c r="AA32">
        <v>0.81450594462845349</v>
      </c>
      <c r="CE32" t="s">
        <v>472</v>
      </c>
      <c r="CF32">
        <v>0</v>
      </c>
      <c r="CG32">
        <v>1.1104979240236009E-4</v>
      </c>
      <c r="CH32">
        <v>0.12370327570369505</v>
      </c>
      <c r="CI32">
        <v>0.26411977947356224</v>
      </c>
      <c r="CJ32">
        <v>0.11824556354865841</v>
      </c>
      <c r="CK32">
        <v>1.7473791358251997E-3</v>
      </c>
      <c r="CL32">
        <v>0</v>
      </c>
      <c r="CM32">
        <v>3.3276059599214224E-2</v>
      </c>
      <c r="CN32">
        <v>0.32676422778730407</v>
      </c>
      <c r="CO32">
        <v>0.45502586163491665</v>
      </c>
      <c r="CP32">
        <v>0.29572806164476023</v>
      </c>
      <c r="CQ32">
        <v>3.977015617040236E-2</v>
      </c>
      <c r="CR32">
        <v>0</v>
      </c>
      <c r="CS32">
        <v>5.8586987078478987E-2</v>
      </c>
      <c r="CT32">
        <v>0.4033354010220877</v>
      </c>
      <c r="CU32">
        <v>0.52903066888964534</v>
      </c>
      <c r="CV32">
        <v>0.37842905746123351</v>
      </c>
      <c r="CW32">
        <v>7.9265324141356244E-2</v>
      </c>
      <c r="CX32">
        <v>0</v>
      </c>
      <c r="CY32">
        <v>9.6502051196429659E-3</v>
      </c>
      <c r="CZ32">
        <v>0.2044188312833983</v>
      </c>
      <c r="DA32">
        <v>0.33185433051242835</v>
      </c>
      <c r="DB32">
        <v>0.17886927465688629</v>
      </c>
      <c r="DC32">
        <v>8.4626867587147096E-3</v>
      </c>
      <c r="DE32" t="s">
        <v>472</v>
      </c>
      <c r="DF32" t="s">
        <v>111</v>
      </c>
      <c r="DG32" t="s">
        <v>112</v>
      </c>
      <c r="DH32">
        <v>0.46723651436609331</v>
      </c>
    </row>
    <row r="33" spans="2:112" x14ac:dyDescent="0.45">
      <c r="B33" t="s">
        <v>473</v>
      </c>
      <c r="C33" t="s">
        <v>107</v>
      </c>
      <c r="D33">
        <v>0</v>
      </c>
      <c r="E33">
        <v>0.98611111111111116</v>
      </c>
      <c r="F33">
        <v>0.44425732597532691</v>
      </c>
      <c r="G33">
        <v>0.27315816294733214</v>
      </c>
      <c r="H33">
        <v>0.40407945493234909</v>
      </c>
      <c r="I33">
        <v>0.92453782940286122</v>
      </c>
      <c r="J33">
        <v>0</v>
      </c>
      <c r="K33">
        <v>0.62029959774813914</v>
      </c>
      <c r="L33">
        <v>0.22323389210948727</v>
      </c>
      <c r="M33">
        <v>0.17281459339078706</v>
      </c>
      <c r="N33">
        <v>0.20311444264287204</v>
      </c>
      <c r="O33">
        <v>0.49811942075958276</v>
      </c>
      <c r="P33">
        <v>0.9656571525008707</v>
      </c>
      <c r="Q33">
        <v>0.50874159291381216</v>
      </c>
      <c r="R33">
        <v>0.1571515221732829</v>
      </c>
      <c r="S33">
        <v>0.11975397048286469</v>
      </c>
      <c r="T33">
        <v>0.15208215292653515</v>
      </c>
      <c r="U33">
        <v>0.36399255507201816</v>
      </c>
      <c r="V33">
        <v>0</v>
      </c>
      <c r="W33">
        <v>0.81335851176017315</v>
      </c>
      <c r="X33">
        <v>0.33062936077702987</v>
      </c>
      <c r="Y33">
        <v>0.23530740633446015</v>
      </c>
      <c r="Z33">
        <v>0.33858367774356929</v>
      </c>
      <c r="AA33">
        <v>0.81548791336151205</v>
      </c>
      <c r="CE33" t="s">
        <v>473</v>
      </c>
      <c r="CF33">
        <v>0</v>
      </c>
      <c r="CG33">
        <v>4.6267707205548913E-5</v>
      </c>
      <c r="CH33">
        <v>9.3120851454895015E-2</v>
      </c>
      <c r="CI33">
        <v>0.22541256032427401</v>
      </c>
      <c r="CJ33">
        <v>0.10446571825261473</v>
      </c>
      <c r="CK33">
        <v>1.4768649275459249E-3</v>
      </c>
      <c r="CL33">
        <v>0</v>
      </c>
      <c r="CM33">
        <v>3.1490176114713345E-2</v>
      </c>
      <c r="CN33">
        <v>0.31633166316393019</v>
      </c>
      <c r="CO33">
        <v>0.44583059911367412</v>
      </c>
      <c r="CP33">
        <v>0.29371760387390561</v>
      </c>
      <c r="CQ33">
        <v>4.2532262904136101E-2</v>
      </c>
      <c r="CR33">
        <v>3.678612737447907E-6</v>
      </c>
      <c r="CS33">
        <v>5.6518839076613668E-2</v>
      </c>
      <c r="CT33">
        <v>0.38828196195315856</v>
      </c>
      <c r="CU33">
        <v>0.51467132655386294</v>
      </c>
      <c r="CV33">
        <v>0.36592700237332465</v>
      </c>
      <c r="CW33">
        <v>7.9109559614949157E-2</v>
      </c>
      <c r="CX33">
        <v>0</v>
      </c>
      <c r="CY33">
        <v>8.5664429474994492E-3</v>
      </c>
      <c r="CZ33">
        <v>0.18995769618992644</v>
      </c>
      <c r="DA33">
        <v>0.30971129376595302</v>
      </c>
      <c r="DB33">
        <v>0.16641367538246676</v>
      </c>
      <c r="DC33">
        <v>8.3166094749541619E-3</v>
      </c>
      <c r="DE33" t="s">
        <v>473</v>
      </c>
      <c r="DF33" t="s">
        <v>111</v>
      </c>
      <c r="DG33" t="s">
        <v>112</v>
      </c>
      <c r="DH33">
        <v>0.43674788720502478</v>
      </c>
    </row>
    <row r="34" spans="2:112" x14ac:dyDescent="0.45">
      <c r="B34" t="s">
        <v>474</v>
      </c>
      <c r="C34" t="s">
        <v>107</v>
      </c>
      <c r="D34">
        <v>0.23843026540039788</v>
      </c>
      <c r="E34">
        <v>0.25472309345800764</v>
      </c>
      <c r="F34">
        <v>0.25379226265894905</v>
      </c>
      <c r="G34">
        <v>0.25800884304179666</v>
      </c>
      <c r="H34">
        <v>0.25735768571398238</v>
      </c>
      <c r="I34">
        <v>0.24818315483744982</v>
      </c>
      <c r="J34">
        <v>0.27693064554400992</v>
      </c>
      <c r="K34">
        <v>0.30316177422391327</v>
      </c>
      <c r="L34">
        <v>0.29545066044422386</v>
      </c>
      <c r="M34">
        <v>0.2919939648737841</v>
      </c>
      <c r="N34">
        <v>0.27260746340562098</v>
      </c>
      <c r="O34">
        <v>0.25515108684230176</v>
      </c>
      <c r="P34">
        <v>0.32789605975741104</v>
      </c>
      <c r="Q34">
        <v>0.32231241453973053</v>
      </c>
      <c r="R34">
        <v>0.31933340060401566</v>
      </c>
      <c r="S34">
        <v>0.33060416398622899</v>
      </c>
      <c r="T34">
        <v>0.30909900141118107</v>
      </c>
      <c r="U34">
        <v>0.30470209343027799</v>
      </c>
      <c r="V34">
        <v>0.25248432190598341</v>
      </c>
      <c r="W34">
        <v>0.25251947765810095</v>
      </c>
      <c r="X34">
        <v>0.25620558966794271</v>
      </c>
      <c r="Y34">
        <v>0.26871583405807908</v>
      </c>
      <c r="Z34">
        <v>0.24807729461157782</v>
      </c>
      <c r="AA34">
        <v>0.23536960281510852</v>
      </c>
      <c r="CE34" t="s">
        <v>474</v>
      </c>
      <c r="CF34">
        <v>0.65823101564160114</v>
      </c>
      <c r="CG34">
        <v>0.64591358365611551</v>
      </c>
      <c r="CH34">
        <v>0.64954391220238505</v>
      </c>
      <c r="CI34">
        <v>0.65289047922846732</v>
      </c>
      <c r="CJ34">
        <v>0.6560709619912225</v>
      </c>
      <c r="CK34">
        <v>0.65997672375408201</v>
      </c>
      <c r="CL34">
        <v>0.59320993060560512</v>
      </c>
      <c r="CM34">
        <v>0.55887640770725466</v>
      </c>
      <c r="CN34">
        <v>0.56064388927280662</v>
      </c>
      <c r="CO34">
        <v>0.57535897101742783</v>
      </c>
      <c r="CP34">
        <v>0.60147980265724821</v>
      </c>
      <c r="CQ34">
        <v>0.61120666881902519</v>
      </c>
      <c r="CR34">
        <v>0.42058340981331438</v>
      </c>
      <c r="CS34">
        <v>0.44526298019034688</v>
      </c>
      <c r="CT34">
        <v>0.44637445117222846</v>
      </c>
      <c r="CU34">
        <v>0.43851015077799121</v>
      </c>
      <c r="CV34">
        <v>0.45560664222347336</v>
      </c>
      <c r="CW34">
        <v>0.44581732348763942</v>
      </c>
      <c r="CX34">
        <v>0.63818950915774042</v>
      </c>
      <c r="CY34">
        <v>0.62449431671894173</v>
      </c>
      <c r="CZ34">
        <v>0.62090997427298689</v>
      </c>
      <c r="DA34">
        <v>0.622614585779795</v>
      </c>
      <c r="DB34">
        <v>0.63528521241474833</v>
      </c>
      <c r="DC34">
        <v>0.64999638300842921</v>
      </c>
      <c r="DE34" t="s">
        <v>475</v>
      </c>
      <c r="DF34" t="s">
        <v>111</v>
      </c>
      <c r="DG34" t="s">
        <v>112</v>
      </c>
      <c r="DH34">
        <v>0.17113703475701159</v>
      </c>
    </row>
    <row r="35" spans="2:112" x14ac:dyDescent="0.45">
      <c r="B35" t="s">
        <v>476</v>
      </c>
      <c r="C35" t="s">
        <v>107</v>
      </c>
      <c r="D35">
        <v>0.23718072396131348</v>
      </c>
      <c r="E35">
        <v>0.25162592489585001</v>
      </c>
      <c r="F35">
        <v>0.24748745020922955</v>
      </c>
      <c r="G35">
        <v>0.25122312726165247</v>
      </c>
      <c r="H35">
        <v>0.25904110851760986</v>
      </c>
      <c r="I35">
        <v>0.25080596453604237</v>
      </c>
      <c r="J35">
        <v>0.27710124940560993</v>
      </c>
      <c r="K35">
        <v>0.31215206708499688</v>
      </c>
      <c r="L35">
        <v>0.29858146990893641</v>
      </c>
      <c r="M35">
        <v>0.29581779376000172</v>
      </c>
      <c r="N35">
        <v>0.27558851721309702</v>
      </c>
      <c r="O35">
        <v>0.27319915997884187</v>
      </c>
      <c r="P35">
        <v>0.31797735776305636</v>
      </c>
      <c r="Q35">
        <v>0.33083040115372808</v>
      </c>
      <c r="R35">
        <v>0.33117832457184071</v>
      </c>
      <c r="S35">
        <v>0.31981533730787753</v>
      </c>
      <c r="T35">
        <v>0.3133582916426807</v>
      </c>
      <c r="U35">
        <v>0.30147217034753426</v>
      </c>
      <c r="V35">
        <v>0.24109515513215288</v>
      </c>
      <c r="W35">
        <v>0.25606137201564183</v>
      </c>
      <c r="X35">
        <v>0.25831257191887735</v>
      </c>
      <c r="Y35">
        <v>0.2657222131702805</v>
      </c>
      <c r="Z35">
        <v>0.24799037916396785</v>
      </c>
      <c r="AA35">
        <v>0.23723996182688895</v>
      </c>
      <c r="CE35" t="s">
        <v>476</v>
      </c>
      <c r="CF35">
        <v>0.65605572822019043</v>
      </c>
      <c r="CG35">
        <v>0.64858396625979398</v>
      </c>
      <c r="CH35">
        <v>0.64915514775910688</v>
      </c>
      <c r="CI35">
        <v>0.65040819995323906</v>
      </c>
      <c r="CJ35">
        <v>0.65111767868076453</v>
      </c>
      <c r="CK35">
        <v>0.6603131015545497</v>
      </c>
      <c r="CL35">
        <v>0.5788192820082535</v>
      </c>
      <c r="CM35">
        <v>0.54569551312532472</v>
      </c>
      <c r="CN35">
        <v>0.54221601713805756</v>
      </c>
      <c r="CO35">
        <v>0.54842986264492288</v>
      </c>
      <c r="CP35">
        <v>0.56855553949328141</v>
      </c>
      <c r="CQ35">
        <v>0.58263880207485175</v>
      </c>
      <c r="CR35">
        <v>0.43261654714441095</v>
      </c>
      <c r="CS35">
        <v>0.43756621535660695</v>
      </c>
      <c r="CT35">
        <v>0.4532581989162125</v>
      </c>
      <c r="CU35">
        <v>0.45264909088521943</v>
      </c>
      <c r="CV35">
        <v>0.46134917378598367</v>
      </c>
      <c r="CW35">
        <v>0.45876693791526701</v>
      </c>
      <c r="CX35">
        <v>0.64385698947584169</v>
      </c>
      <c r="CY35">
        <v>0.62326056537038754</v>
      </c>
      <c r="CZ35">
        <v>0.61161926201729377</v>
      </c>
      <c r="DA35">
        <v>0.61258359516030569</v>
      </c>
      <c r="DB35">
        <v>0.62480901472888417</v>
      </c>
      <c r="DC35">
        <v>0.63545237005241084</v>
      </c>
      <c r="DE35" t="s">
        <v>477</v>
      </c>
      <c r="DF35" t="s">
        <v>111</v>
      </c>
      <c r="DG35" t="s">
        <v>112</v>
      </c>
      <c r="DH35">
        <v>0.18319380983280095</v>
      </c>
    </row>
    <row r="36" spans="2:112" x14ac:dyDescent="0.45">
      <c r="B36" t="s">
        <v>478</v>
      </c>
      <c r="C36" t="s">
        <v>107</v>
      </c>
      <c r="D36">
        <v>0.24305064086025974</v>
      </c>
      <c r="E36">
        <v>0.23701008572529009</v>
      </c>
      <c r="F36">
        <v>0.23455296980652121</v>
      </c>
      <c r="G36">
        <v>0.24501583493513571</v>
      </c>
      <c r="H36">
        <v>0.25495111917344138</v>
      </c>
      <c r="I36">
        <v>0.24921007912725748</v>
      </c>
      <c r="J36">
        <v>0.28740809777429999</v>
      </c>
      <c r="K36">
        <v>0.31033202233003232</v>
      </c>
      <c r="L36">
        <v>0.3131101627085866</v>
      </c>
      <c r="M36">
        <v>0.30947022777162797</v>
      </c>
      <c r="N36">
        <v>0.28966082562621853</v>
      </c>
      <c r="O36">
        <v>0.29579770478406414</v>
      </c>
      <c r="P36">
        <v>0.32510955145926795</v>
      </c>
      <c r="Q36">
        <v>0.3557745308358059</v>
      </c>
      <c r="R36">
        <v>0.34379451382311227</v>
      </c>
      <c r="S36">
        <v>0.33414999010446128</v>
      </c>
      <c r="T36">
        <v>0.310692302393765</v>
      </c>
      <c r="U36">
        <v>0.29022838656587763</v>
      </c>
      <c r="V36">
        <v>0.2481865198360439</v>
      </c>
      <c r="W36">
        <v>0.26407336071289783</v>
      </c>
      <c r="X36">
        <v>0.28114730008064776</v>
      </c>
      <c r="Y36">
        <v>0.29070576774291573</v>
      </c>
      <c r="Z36">
        <v>0.27602199999500182</v>
      </c>
      <c r="AA36">
        <v>0.25405525392407585</v>
      </c>
      <c r="CE36" t="s">
        <v>478</v>
      </c>
      <c r="CF36">
        <v>0.6362780435469847</v>
      </c>
      <c r="CG36">
        <v>0.63656167974296107</v>
      </c>
      <c r="CH36">
        <v>0.64063072999991344</v>
      </c>
      <c r="CI36">
        <v>0.63745798137816556</v>
      </c>
      <c r="CJ36">
        <v>0.64020615736267672</v>
      </c>
      <c r="CK36">
        <v>0.64980448685677639</v>
      </c>
      <c r="CL36">
        <v>0.54239408019248248</v>
      </c>
      <c r="CM36">
        <v>0.5201427249566869</v>
      </c>
      <c r="CN36">
        <v>0.50210040868268724</v>
      </c>
      <c r="CO36">
        <v>0.49488152634037197</v>
      </c>
      <c r="CP36">
        <v>0.51759244513420832</v>
      </c>
      <c r="CQ36">
        <v>0.53358349917670944</v>
      </c>
      <c r="CR36">
        <v>0.4277636079702547</v>
      </c>
      <c r="CS36">
        <v>0.41778192596092428</v>
      </c>
      <c r="CT36">
        <v>0.43554373883380276</v>
      </c>
      <c r="CU36">
        <v>0.43749452161134628</v>
      </c>
      <c r="CV36">
        <v>0.43877433438918001</v>
      </c>
      <c r="CW36">
        <v>0.4423855655627445</v>
      </c>
      <c r="CX36">
        <v>0.60746389547330593</v>
      </c>
      <c r="CY36">
        <v>0.5951175572683286</v>
      </c>
      <c r="CZ36">
        <v>0.57494469645109381</v>
      </c>
      <c r="DA36">
        <v>0.56265803457631236</v>
      </c>
      <c r="DB36">
        <v>0.57997746575558184</v>
      </c>
      <c r="DC36">
        <v>0.593467476088823</v>
      </c>
      <c r="DE36" t="s">
        <v>479</v>
      </c>
      <c r="DF36" t="s">
        <v>111</v>
      </c>
      <c r="DG36" t="s">
        <v>112</v>
      </c>
      <c r="DH36">
        <v>0.23800611886490064</v>
      </c>
    </row>
    <row r="37" spans="2:112" x14ac:dyDescent="0.45">
      <c r="B37" t="s">
        <v>480</v>
      </c>
      <c r="C37" t="s">
        <v>107</v>
      </c>
      <c r="D37">
        <v>0.24164917957580481</v>
      </c>
      <c r="E37">
        <v>0.25102291851542524</v>
      </c>
      <c r="F37">
        <v>0.25721317596226329</v>
      </c>
      <c r="G37">
        <v>0.26550684898252458</v>
      </c>
      <c r="H37">
        <v>0.26975385917219097</v>
      </c>
      <c r="I37">
        <v>0.26005687970610708</v>
      </c>
      <c r="J37">
        <v>0.29515906594067198</v>
      </c>
      <c r="K37">
        <v>0.29838096784900148</v>
      </c>
      <c r="L37">
        <v>0.30046287468058441</v>
      </c>
      <c r="M37">
        <v>0.29480990373447213</v>
      </c>
      <c r="N37">
        <v>0.28338644648285682</v>
      </c>
      <c r="O37">
        <v>0.29756432711772834</v>
      </c>
      <c r="P37">
        <v>0.32053670303316451</v>
      </c>
      <c r="Q37">
        <v>0.32814323019747155</v>
      </c>
      <c r="R37">
        <v>0.33051012777554428</v>
      </c>
      <c r="S37">
        <v>0.33144706637825189</v>
      </c>
      <c r="T37">
        <v>0.31693168147378709</v>
      </c>
      <c r="U37">
        <v>0.31055883041913851</v>
      </c>
      <c r="V37">
        <v>0.23917999029784814</v>
      </c>
      <c r="W37">
        <v>0.27064621756278084</v>
      </c>
      <c r="X37">
        <v>0.27796293445792036</v>
      </c>
      <c r="Y37">
        <v>0.28243419895217914</v>
      </c>
      <c r="Z37">
        <v>0.26421998117167123</v>
      </c>
      <c r="AA37">
        <v>0.25402366702313817</v>
      </c>
      <c r="CE37" t="s">
        <v>480</v>
      </c>
      <c r="CF37">
        <v>0.63336527892391004</v>
      </c>
      <c r="CG37">
        <v>0.63369186438113545</v>
      </c>
      <c r="CH37">
        <v>0.63017699546265127</v>
      </c>
      <c r="CI37">
        <v>0.62406198291477588</v>
      </c>
      <c r="CJ37">
        <v>0.62896370508423916</v>
      </c>
      <c r="CK37">
        <v>0.63321441686090529</v>
      </c>
      <c r="CL37">
        <v>0.54831791437384525</v>
      </c>
      <c r="CM37">
        <v>0.52135514405580974</v>
      </c>
      <c r="CN37">
        <v>0.50484690293122025</v>
      </c>
      <c r="CO37">
        <v>0.50119644571558908</v>
      </c>
      <c r="CP37">
        <v>0.52630546866778516</v>
      </c>
      <c r="CQ37">
        <v>0.54977026110508476</v>
      </c>
      <c r="CR37">
        <v>0.40328964078020496</v>
      </c>
      <c r="CS37">
        <v>0.41635338916043529</v>
      </c>
      <c r="CT37">
        <v>0.41168665350763745</v>
      </c>
      <c r="CU37">
        <v>0.40429513276303258</v>
      </c>
      <c r="CV37">
        <v>0.41838310930904388</v>
      </c>
      <c r="CW37">
        <v>0.41860839890903528</v>
      </c>
      <c r="CX37">
        <v>0.6077586583046849</v>
      </c>
      <c r="CY37">
        <v>0.59476268031821544</v>
      </c>
      <c r="CZ37">
        <v>0.58292419631584702</v>
      </c>
      <c r="DA37">
        <v>0.57417945844673668</v>
      </c>
      <c r="DB37">
        <v>0.5895507527264171</v>
      </c>
      <c r="DC37">
        <v>0.5984684884374617</v>
      </c>
      <c r="DE37" t="s">
        <v>481</v>
      </c>
      <c r="DF37" t="s">
        <v>111</v>
      </c>
      <c r="DG37" t="s">
        <v>112</v>
      </c>
      <c r="DH37">
        <v>0.24981359363589795</v>
      </c>
    </row>
    <row r="38" spans="2:112" x14ac:dyDescent="0.45">
      <c r="B38" t="s">
        <v>482</v>
      </c>
      <c r="C38" t="s">
        <v>107</v>
      </c>
      <c r="D38">
        <v>0.25831362176823286</v>
      </c>
      <c r="E38">
        <v>0.25837388661569211</v>
      </c>
      <c r="F38">
        <v>0.26624960995278801</v>
      </c>
      <c r="G38">
        <v>0.2782063000287523</v>
      </c>
      <c r="H38">
        <v>0.28083713672443394</v>
      </c>
      <c r="I38">
        <v>0.26910285416438923</v>
      </c>
      <c r="J38">
        <v>0.31830303495335477</v>
      </c>
      <c r="K38">
        <v>0.30585568408552566</v>
      </c>
      <c r="L38">
        <v>0.32459956671697032</v>
      </c>
      <c r="M38">
        <v>0.32377523256580404</v>
      </c>
      <c r="N38">
        <v>0.32371530042165886</v>
      </c>
      <c r="O38">
        <v>0.32849261052761075</v>
      </c>
      <c r="P38">
        <v>0.33984315898363493</v>
      </c>
      <c r="Q38">
        <v>0.36508179148045888</v>
      </c>
      <c r="R38">
        <v>0.37788292170820537</v>
      </c>
      <c r="S38">
        <v>0.36596253172558074</v>
      </c>
      <c r="T38">
        <v>0.34295718695811289</v>
      </c>
      <c r="U38">
        <v>0.32864422250440062</v>
      </c>
      <c r="V38">
        <v>0.26911833890126552</v>
      </c>
      <c r="W38">
        <v>0.27393862094930871</v>
      </c>
      <c r="X38">
        <v>0.30857587624096638</v>
      </c>
      <c r="Y38">
        <v>0.31099599650074966</v>
      </c>
      <c r="Z38">
        <v>0.29457006808492942</v>
      </c>
      <c r="AA38">
        <v>0.28956998925902605</v>
      </c>
      <c r="CE38" t="s">
        <v>482</v>
      </c>
      <c r="CF38">
        <v>0.55685925890680921</v>
      </c>
      <c r="CG38">
        <v>0.56480021185897722</v>
      </c>
      <c r="CH38">
        <v>0.56481301272784767</v>
      </c>
      <c r="CI38">
        <v>0.55556248660164165</v>
      </c>
      <c r="CJ38">
        <v>0.55549121626035936</v>
      </c>
      <c r="CK38">
        <v>0.56618809817620563</v>
      </c>
      <c r="CL38">
        <v>0.44825365643527038</v>
      </c>
      <c r="CM38">
        <v>0.44281269520306532</v>
      </c>
      <c r="CN38">
        <v>0.41452901152463012</v>
      </c>
      <c r="CO38">
        <v>0.4045029864795977</v>
      </c>
      <c r="CP38">
        <v>0.41420478395023863</v>
      </c>
      <c r="CQ38">
        <v>0.43805433224467549</v>
      </c>
      <c r="CR38">
        <v>0.33787384920314567</v>
      </c>
      <c r="CS38">
        <v>0.33111502958749456</v>
      </c>
      <c r="CT38">
        <v>0.32560182009918098</v>
      </c>
      <c r="CU38">
        <v>0.32904997136617348</v>
      </c>
      <c r="CV38">
        <v>0.33149406640870449</v>
      </c>
      <c r="CW38">
        <v>0.34012562078143105</v>
      </c>
      <c r="CX38">
        <v>0.49670054859308282</v>
      </c>
      <c r="CY38">
        <v>0.50542016785710664</v>
      </c>
      <c r="CZ38">
        <v>0.48526998126392151</v>
      </c>
      <c r="DA38">
        <v>0.47936125131216434</v>
      </c>
      <c r="DB38">
        <v>0.48439743538708274</v>
      </c>
      <c r="DC38">
        <v>0.48865884580265856</v>
      </c>
      <c r="DE38" t="s">
        <v>483</v>
      </c>
      <c r="DF38" t="s">
        <v>111</v>
      </c>
      <c r="DG38" t="s">
        <v>112</v>
      </c>
      <c r="DH38">
        <v>0.20434964828391558</v>
      </c>
    </row>
    <row r="39" spans="2:112" x14ac:dyDescent="0.45">
      <c r="B39" t="s">
        <v>484</v>
      </c>
      <c r="C39" t="s">
        <v>107</v>
      </c>
      <c r="D39">
        <v>0.27431553017865151</v>
      </c>
      <c r="E39">
        <v>0.27597140921017305</v>
      </c>
      <c r="F39">
        <v>0.26519522219760794</v>
      </c>
      <c r="G39">
        <v>0.25385071695551825</v>
      </c>
      <c r="H39">
        <v>0.24612739431438072</v>
      </c>
      <c r="I39">
        <v>0.24797372575416127</v>
      </c>
      <c r="J39">
        <v>0.27443382228477392</v>
      </c>
      <c r="K39">
        <v>0.29639220624347939</v>
      </c>
      <c r="L39">
        <v>0.299831030591514</v>
      </c>
      <c r="M39">
        <v>0.32515248108299855</v>
      </c>
      <c r="N39">
        <v>0.31992262531560073</v>
      </c>
      <c r="O39">
        <v>0.29840113992485362</v>
      </c>
      <c r="P39">
        <v>0.33515905153300307</v>
      </c>
      <c r="Q39">
        <v>0.37869055603276436</v>
      </c>
      <c r="R39">
        <v>0.39966488349878709</v>
      </c>
      <c r="S39">
        <v>0.41124775417094173</v>
      </c>
      <c r="T39">
        <v>0.37588756765807257</v>
      </c>
      <c r="U39">
        <v>0.34224763389321622</v>
      </c>
      <c r="V39">
        <v>0.27249513506927797</v>
      </c>
      <c r="W39">
        <v>0.29637578120236163</v>
      </c>
      <c r="X39">
        <v>0.30839260290362208</v>
      </c>
      <c r="Y39">
        <v>0.32881579705488612</v>
      </c>
      <c r="Z39">
        <v>0.3104057081332055</v>
      </c>
      <c r="AA39">
        <v>0.27643030506255523</v>
      </c>
      <c r="CE39" t="s">
        <v>484</v>
      </c>
      <c r="CF39">
        <v>0.56845779890943793</v>
      </c>
      <c r="CG39">
        <v>0.56214169732248409</v>
      </c>
      <c r="CH39">
        <v>0.57255075023722446</v>
      </c>
      <c r="CI39">
        <v>0.58723782920690892</v>
      </c>
      <c r="CJ39">
        <v>0.59125460990625078</v>
      </c>
      <c r="CK39">
        <v>0.60841925699530042</v>
      </c>
      <c r="CL39">
        <v>0.51607930288159976</v>
      </c>
      <c r="CM39">
        <v>0.47514633620193453</v>
      </c>
      <c r="CN39">
        <v>0.46383327787622802</v>
      </c>
      <c r="CO39">
        <v>0.46130059229835108</v>
      </c>
      <c r="CP39">
        <v>0.4959031699301123</v>
      </c>
      <c r="CQ39">
        <v>0.52529101034167935</v>
      </c>
      <c r="CR39">
        <v>0.36377494451573389</v>
      </c>
      <c r="CS39">
        <v>0.33737988930214791</v>
      </c>
      <c r="CT39">
        <v>0.31380997818482009</v>
      </c>
      <c r="CU39">
        <v>0.29709269504198982</v>
      </c>
      <c r="CV39">
        <v>0.34748843442848837</v>
      </c>
      <c r="CW39">
        <v>0.38035200348376003</v>
      </c>
      <c r="CX39">
        <v>0.51302139938356262</v>
      </c>
      <c r="CY39">
        <v>0.49888567740722067</v>
      </c>
      <c r="CZ39">
        <v>0.51196101794750892</v>
      </c>
      <c r="DA39">
        <v>0.48639109173055972</v>
      </c>
      <c r="DB39">
        <v>0.51025195952483271</v>
      </c>
      <c r="DC39">
        <v>0.54035341984198448</v>
      </c>
      <c r="DE39" t="s">
        <v>485</v>
      </c>
      <c r="DF39" t="s">
        <v>111</v>
      </c>
      <c r="DG39" t="s">
        <v>112</v>
      </c>
      <c r="DH39">
        <v>0.11754113144970173</v>
      </c>
    </row>
    <row r="40" spans="2:112" x14ac:dyDescent="0.45">
      <c r="B40" t="s">
        <v>486</v>
      </c>
      <c r="C40" t="s">
        <v>107</v>
      </c>
      <c r="D40">
        <v>0.37045227713293832</v>
      </c>
      <c r="E40">
        <v>0.36479684879908714</v>
      </c>
      <c r="F40">
        <v>0.36540630206442443</v>
      </c>
      <c r="G40">
        <v>0.38043484668090793</v>
      </c>
      <c r="H40">
        <v>0.35838064326035624</v>
      </c>
      <c r="I40">
        <v>0.3448075273336379</v>
      </c>
      <c r="J40">
        <v>0.29974525141066261</v>
      </c>
      <c r="K40">
        <v>0.34195990192740972</v>
      </c>
      <c r="L40">
        <v>0.38791636159774789</v>
      </c>
      <c r="M40">
        <v>0.35007998564465403</v>
      </c>
      <c r="N40">
        <v>0.33476632910068654</v>
      </c>
      <c r="O40">
        <v>0.31511243225078711</v>
      </c>
      <c r="P40">
        <v>0.33292786575602451</v>
      </c>
      <c r="Q40">
        <v>0.39977461182482843</v>
      </c>
      <c r="R40">
        <v>0.4543393195979894</v>
      </c>
      <c r="S40">
        <v>0.43513275370915439</v>
      </c>
      <c r="T40">
        <v>0.38762849925932968</v>
      </c>
      <c r="U40">
        <v>0.35954218600532467</v>
      </c>
      <c r="V40">
        <v>0.31242391588865265</v>
      </c>
      <c r="W40">
        <v>0.309433990157365</v>
      </c>
      <c r="X40">
        <v>0.35675687250423638</v>
      </c>
      <c r="Y40">
        <v>0.35898549066269619</v>
      </c>
      <c r="Z40">
        <v>0.36425516858208601</v>
      </c>
      <c r="AA40">
        <v>0.35200990814554123</v>
      </c>
      <c r="CE40" t="s">
        <v>486</v>
      </c>
      <c r="CF40">
        <v>0.3494274883265866</v>
      </c>
      <c r="CG40">
        <v>0.35768473526372369</v>
      </c>
      <c r="CH40">
        <v>0.35943764996309591</v>
      </c>
      <c r="CI40">
        <v>0.34727419888454109</v>
      </c>
      <c r="CJ40">
        <v>0.3541265475080797</v>
      </c>
      <c r="CK40">
        <v>0.37112215034560198</v>
      </c>
      <c r="CL40">
        <v>0.28040501408585167</v>
      </c>
      <c r="CM40">
        <v>0.24043396111095638</v>
      </c>
      <c r="CN40">
        <v>0.20367739594877238</v>
      </c>
      <c r="CO40">
        <v>0.22218444670020751</v>
      </c>
      <c r="CP40">
        <v>0.24002681608207227</v>
      </c>
      <c r="CQ40">
        <v>0.27240251222848083</v>
      </c>
      <c r="CR40">
        <v>0.18964137330413391</v>
      </c>
      <c r="CS40">
        <v>0.18157725559317245</v>
      </c>
      <c r="CT40">
        <v>0.17519618778285381</v>
      </c>
      <c r="CU40">
        <v>0.18190738371281506</v>
      </c>
      <c r="CV40">
        <v>0.17815813097083752</v>
      </c>
      <c r="CW40">
        <v>0.17009136406367348</v>
      </c>
      <c r="CX40">
        <v>0.31598933329079737</v>
      </c>
      <c r="CY40">
        <v>0.31078407790506729</v>
      </c>
      <c r="CZ40">
        <v>0.29846821225379616</v>
      </c>
      <c r="DA40">
        <v>0.30117594301802936</v>
      </c>
      <c r="DB40">
        <v>0.31763795229534691</v>
      </c>
      <c r="DC40">
        <v>0.34161329893446474</v>
      </c>
      <c r="DE40" t="s">
        <v>487</v>
      </c>
      <c r="DF40" t="s">
        <v>111</v>
      </c>
      <c r="DG40" t="s">
        <v>112</v>
      </c>
      <c r="DH40">
        <v>0.22983535181042328</v>
      </c>
    </row>
    <row r="41" spans="2:112" x14ac:dyDescent="0.45">
      <c r="B41" t="s">
        <v>488</v>
      </c>
      <c r="C41" t="s">
        <v>107</v>
      </c>
      <c r="D41">
        <v>0.32882259681228448</v>
      </c>
      <c r="E41">
        <v>0.3051539356163504</v>
      </c>
      <c r="F41">
        <v>0.31910964496587491</v>
      </c>
      <c r="G41">
        <v>0.33451325813570837</v>
      </c>
      <c r="H41">
        <v>0.33465088413770716</v>
      </c>
      <c r="I41">
        <v>0.32648432177808301</v>
      </c>
      <c r="J41">
        <v>0.33846293342452505</v>
      </c>
      <c r="K41">
        <v>0.34967757711518482</v>
      </c>
      <c r="L41">
        <v>0.3904297780399848</v>
      </c>
      <c r="M41">
        <v>0.37980402690526255</v>
      </c>
      <c r="N41">
        <v>0.37336759774815609</v>
      </c>
      <c r="O41">
        <v>0.36522180395190323</v>
      </c>
      <c r="P41">
        <v>0.33588622698125864</v>
      </c>
      <c r="Q41">
        <v>0.38768758179236112</v>
      </c>
      <c r="R41">
        <v>0.42795374506850908</v>
      </c>
      <c r="S41">
        <v>0.41183959372103135</v>
      </c>
      <c r="T41">
        <v>0.39420636834612865</v>
      </c>
      <c r="U41">
        <v>0.34305339088239162</v>
      </c>
      <c r="V41">
        <v>0.30252700795905013</v>
      </c>
      <c r="W41">
        <v>0.30638569650674713</v>
      </c>
      <c r="X41">
        <v>0.34783412672542874</v>
      </c>
      <c r="Y41">
        <v>0.36342717797386787</v>
      </c>
      <c r="Z41">
        <v>0.36751556081057041</v>
      </c>
      <c r="AA41">
        <v>0.33233758073296132</v>
      </c>
      <c r="CE41" t="s">
        <v>488</v>
      </c>
      <c r="CF41">
        <v>0.40296888855033708</v>
      </c>
      <c r="CG41">
        <v>0.40961153670519124</v>
      </c>
      <c r="CH41">
        <v>0.39696616902129722</v>
      </c>
      <c r="CI41">
        <v>0.38982294257871408</v>
      </c>
      <c r="CJ41">
        <v>0.39905159409421603</v>
      </c>
      <c r="CK41">
        <v>0.41397483828666665</v>
      </c>
      <c r="CL41">
        <v>0.29241730585886594</v>
      </c>
      <c r="CM41">
        <v>0.28381050615988784</v>
      </c>
      <c r="CN41">
        <v>0.26687181195637188</v>
      </c>
      <c r="CO41">
        <v>0.28296272995145266</v>
      </c>
      <c r="CP41">
        <v>0.28337406124320702</v>
      </c>
      <c r="CQ41">
        <v>0.27927419177865026</v>
      </c>
      <c r="CR41">
        <v>0.2091060985645313</v>
      </c>
      <c r="CS41">
        <v>0.19431439701675562</v>
      </c>
      <c r="CT41">
        <v>0.18842169610606174</v>
      </c>
      <c r="CU41">
        <v>0.20518506349162699</v>
      </c>
      <c r="CV41">
        <v>0.21529507501603826</v>
      </c>
      <c r="CW41">
        <v>0.20023364629584814</v>
      </c>
      <c r="CX41">
        <v>0.33090212980435157</v>
      </c>
      <c r="CY41">
        <v>0.33842018314126432</v>
      </c>
      <c r="CZ41">
        <v>0.32714478395561564</v>
      </c>
      <c r="DA41">
        <v>0.32533947705912819</v>
      </c>
      <c r="DB41">
        <v>0.33066170091245339</v>
      </c>
      <c r="DC41">
        <v>0.33816970918961758</v>
      </c>
      <c r="DE41" t="s">
        <v>489</v>
      </c>
      <c r="DF41" t="s">
        <v>111</v>
      </c>
      <c r="DG41" t="s">
        <v>112</v>
      </c>
      <c r="DH41">
        <v>0.29853683770472822</v>
      </c>
    </row>
    <row r="42" spans="2:112" x14ac:dyDescent="0.45">
      <c r="B42" t="s">
        <v>490</v>
      </c>
      <c r="C42" t="s">
        <v>107</v>
      </c>
      <c r="D42">
        <v>0.29928952674312803</v>
      </c>
      <c r="E42">
        <v>0.25773556287191002</v>
      </c>
      <c r="F42">
        <v>0.25798040717120563</v>
      </c>
      <c r="G42">
        <v>0.27400954613953016</v>
      </c>
      <c r="H42">
        <v>0.28331765173537526</v>
      </c>
      <c r="I42">
        <v>0.28311190333160346</v>
      </c>
      <c r="J42">
        <v>0.30410350763071381</v>
      </c>
      <c r="K42">
        <v>0.31123813868181943</v>
      </c>
      <c r="L42">
        <v>0.34546359952131855</v>
      </c>
      <c r="M42">
        <v>0.37392461835255325</v>
      </c>
      <c r="N42">
        <v>0.35783743751383751</v>
      </c>
      <c r="O42">
        <v>0.32538576129900298</v>
      </c>
      <c r="P42">
        <v>0.32871982515257075</v>
      </c>
      <c r="Q42">
        <v>0.39298208254017797</v>
      </c>
      <c r="R42">
        <v>0.4134324342070641</v>
      </c>
      <c r="S42">
        <v>0.41100308288804738</v>
      </c>
      <c r="T42">
        <v>0.39137883537809259</v>
      </c>
      <c r="U42">
        <v>0.35226128439283205</v>
      </c>
      <c r="V42">
        <v>0.26944047640282537</v>
      </c>
      <c r="W42">
        <v>0.29685685436629539</v>
      </c>
      <c r="X42">
        <v>0.3140754552085655</v>
      </c>
      <c r="Y42">
        <v>0.34355846691015302</v>
      </c>
      <c r="Z42">
        <v>0.34461704862541781</v>
      </c>
      <c r="AA42">
        <v>0.31027543013980174</v>
      </c>
      <c r="CE42" t="s">
        <v>490</v>
      </c>
      <c r="CF42">
        <v>0.49988903796266898</v>
      </c>
      <c r="CG42">
        <v>0.51931256303470219</v>
      </c>
      <c r="CH42">
        <v>0.51451007617196487</v>
      </c>
      <c r="CI42">
        <v>0.49388897366319306</v>
      </c>
      <c r="CJ42">
        <v>0.49236817555451906</v>
      </c>
      <c r="CK42">
        <v>0.5079163974951878</v>
      </c>
      <c r="CL42">
        <v>0.39706882532541138</v>
      </c>
      <c r="CM42">
        <v>0.38365902304803468</v>
      </c>
      <c r="CN42">
        <v>0.35881681073012944</v>
      </c>
      <c r="CO42">
        <v>0.36721583296463611</v>
      </c>
      <c r="CP42">
        <v>0.38389344118557744</v>
      </c>
      <c r="CQ42">
        <v>0.39498586481088349</v>
      </c>
      <c r="CR42">
        <v>0.29668240641595406</v>
      </c>
      <c r="CS42">
        <v>0.25995703025726596</v>
      </c>
      <c r="CT42">
        <v>0.24693911737116866</v>
      </c>
      <c r="CU42">
        <v>0.2425067384382826</v>
      </c>
      <c r="CV42">
        <v>0.2643161340081665</v>
      </c>
      <c r="CW42">
        <v>0.27445523112050146</v>
      </c>
      <c r="CX42">
        <v>0.43229148984301274</v>
      </c>
      <c r="CY42">
        <v>0.43773276073808426</v>
      </c>
      <c r="CZ42">
        <v>0.42903085389064227</v>
      </c>
      <c r="DA42">
        <v>0.42512309483964456</v>
      </c>
      <c r="DB42">
        <v>0.42142206707787777</v>
      </c>
      <c r="DC42">
        <v>0.43393851843739334</v>
      </c>
      <c r="DE42" t="s">
        <v>491</v>
      </c>
      <c r="DF42" t="s">
        <v>111</v>
      </c>
      <c r="DG42" t="s">
        <v>112</v>
      </c>
      <c r="DH42">
        <v>0.27096434380125434</v>
      </c>
    </row>
    <row r="43" spans="2:112" x14ac:dyDescent="0.45">
      <c r="B43" t="s">
        <v>492</v>
      </c>
      <c r="C43" t="s">
        <v>107</v>
      </c>
      <c r="D43">
        <v>0.3085953673796718</v>
      </c>
      <c r="E43">
        <v>0.27025704793755273</v>
      </c>
      <c r="F43">
        <v>0.27098157249328952</v>
      </c>
      <c r="G43">
        <v>0.28377630078736993</v>
      </c>
      <c r="H43">
        <v>0.28880350420181478</v>
      </c>
      <c r="I43">
        <v>0.28979951816551719</v>
      </c>
      <c r="J43">
        <v>0.29692379376244871</v>
      </c>
      <c r="K43">
        <v>0.31269012615705655</v>
      </c>
      <c r="L43">
        <v>0.34390597526150202</v>
      </c>
      <c r="M43">
        <v>0.3621089112676833</v>
      </c>
      <c r="N43">
        <v>0.35565489931269995</v>
      </c>
      <c r="O43">
        <v>0.3276584061550884</v>
      </c>
      <c r="P43">
        <v>0.33360962132465838</v>
      </c>
      <c r="Q43">
        <v>0.39558218577659388</v>
      </c>
      <c r="R43">
        <v>0.40712155864556343</v>
      </c>
      <c r="S43">
        <v>0.4086892718608014</v>
      </c>
      <c r="T43">
        <v>0.39387945926399281</v>
      </c>
      <c r="U43">
        <v>0.34511503285236789</v>
      </c>
      <c r="V43">
        <v>0.27507788120913307</v>
      </c>
      <c r="W43">
        <v>0.30060567555107448</v>
      </c>
      <c r="X43">
        <v>0.32317461112310802</v>
      </c>
      <c r="Y43">
        <v>0.34615690917352893</v>
      </c>
      <c r="Z43">
        <v>0.35010956497338586</v>
      </c>
      <c r="AA43">
        <v>0.3236758222433529</v>
      </c>
      <c r="CE43" t="s">
        <v>492</v>
      </c>
      <c r="CF43">
        <v>0.49950807993909818</v>
      </c>
      <c r="CG43">
        <v>0.5225966997354774</v>
      </c>
      <c r="CH43">
        <v>0.5189326318077998</v>
      </c>
      <c r="CI43">
        <v>0.50210171909323154</v>
      </c>
      <c r="CJ43">
        <v>0.49586750602192786</v>
      </c>
      <c r="CK43">
        <v>0.51557761633806676</v>
      </c>
      <c r="CL43">
        <v>0.4033766533323756</v>
      </c>
      <c r="CM43">
        <v>0.37771651788067567</v>
      </c>
      <c r="CN43">
        <v>0.35406478565584604</v>
      </c>
      <c r="CO43">
        <v>0.36699128028120059</v>
      </c>
      <c r="CP43">
        <v>0.38114611978860785</v>
      </c>
      <c r="CQ43">
        <v>0.3971345983848304</v>
      </c>
      <c r="CR43">
        <v>0.29890359243915016</v>
      </c>
      <c r="CS43">
        <v>0.26998459607687669</v>
      </c>
      <c r="CT43">
        <v>0.25747429201089533</v>
      </c>
      <c r="CU43">
        <v>0.25034966170929468</v>
      </c>
      <c r="CV43">
        <v>0.27154572694122631</v>
      </c>
      <c r="CW43">
        <v>0.2743968706978443</v>
      </c>
      <c r="CX43">
        <v>0.44471815800840558</v>
      </c>
      <c r="CY43">
        <v>0.45083105839176008</v>
      </c>
      <c r="CZ43">
        <v>0.44416093914777538</v>
      </c>
      <c r="DA43">
        <v>0.43862508506168896</v>
      </c>
      <c r="DB43">
        <v>0.43612873093243193</v>
      </c>
      <c r="DC43">
        <v>0.44361344309979805</v>
      </c>
      <c r="DE43" t="s">
        <v>493</v>
      </c>
      <c r="DF43" t="s">
        <v>111</v>
      </c>
      <c r="DG43" t="s">
        <v>112</v>
      </c>
      <c r="DH43">
        <v>0.26457215884124585</v>
      </c>
    </row>
    <row r="44" spans="2:112" x14ac:dyDescent="0.45">
      <c r="B44" t="s">
        <v>475</v>
      </c>
      <c r="C44" t="s">
        <v>107</v>
      </c>
      <c r="D44">
        <v>0.49456170513007491</v>
      </c>
      <c r="E44">
        <v>0.47708135285516556</v>
      </c>
      <c r="F44">
        <v>0.49351967646933487</v>
      </c>
      <c r="G44">
        <v>0.51625514310444875</v>
      </c>
      <c r="H44">
        <v>0.51384049243526664</v>
      </c>
      <c r="I44">
        <v>0.49002403706990966</v>
      </c>
      <c r="J44">
        <v>0.36201500529900971</v>
      </c>
      <c r="K44">
        <v>0.43339779108924831</v>
      </c>
      <c r="L44">
        <v>0.53537521649556974</v>
      </c>
      <c r="M44">
        <v>0.54065104942316233</v>
      </c>
      <c r="N44">
        <v>0.44820595267920904</v>
      </c>
      <c r="O44">
        <v>0.3769578571822077</v>
      </c>
      <c r="P44">
        <v>0.44864179309432078</v>
      </c>
      <c r="Q44">
        <v>0.46467256260342371</v>
      </c>
      <c r="R44">
        <v>0.50206696444698551</v>
      </c>
      <c r="S44">
        <v>0.41654452212646947</v>
      </c>
      <c r="T44">
        <v>0.3754954499323806</v>
      </c>
      <c r="U44">
        <v>0.40834654201434911</v>
      </c>
      <c r="V44">
        <v>0.39790215436747961</v>
      </c>
      <c r="W44">
        <v>0.40116361045057813</v>
      </c>
      <c r="X44">
        <v>0.45894123029628786</v>
      </c>
      <c r="Y44">
        <v>0.4919694231887306</v>
      </c>
      <c r="Z44">
        <v>0.46673009066974552</v>
      </c>
      <c r="AA44">
        <v>0.42838378912569619</v>
      </c>
      <c r="CE44" t="s">
        <v>475</v>
      </c>
      <c r="CF44">
        <v>0.17367159759191966</v>
      </c>
      <c r="CG44">
        <v>0.16081473899685078</v>
      </c>
      <c r="CH44">
        <v>0.13676145359096387</v>
      </c>
      <c r="CI44">
        <v>0.12916951892362294</v>
      </c>
      <c r="CJ44">
        <v>0.15770756852692028</v>
      </c>
      <c r="CK44">
        <v>0.17091003573880215</v>
      </c>
      <c r="CL44">
        <v>0.11535088806598433</v>
      </c>
      <c r="CM44">
        <v>0.11076003802617947</v>
      </c>
      <c r="CN44">
        <v>9.894158836292781E-2</v>
      </c>
      <c r="CO44">
        <v>0.10600553445264174</v>
      </c>
      <c r="CP44">
        <v>0.11820437746541257</v>
      </c>
      <c r="CQ44">
        <v>0.11890770816871012</v>
      </c>
      <c r="CR44">
        <v>8.5104206141207506E-2</v>
      </c>
      <c r="CS44">
        <v>5.6230672449994135E-2</v>
      </c>
      <c r="CT44">
        <v>5.0565399178268328E-2</v>
      </c>
      <c r="CU44">
        <v>6.7225623686576433E-2</v>
      </c>
      <c r="CV44">
        <v>8.0309150715700731E-2</v>
      </c>
      <c r="CW44">
        <v>8.4777073410104029E-2</v>
      </c>
      <c r="CX44">
        <v>0.12387386237853996</v>
      </c>
      <c r="CY44">
        <v>0.12238768873537081</v>
      </c>
      <c r="CZ44">
        <v>9.7190423849140256E-2</v>
      </c>
      <c r="DA44">
        <v>9.5802328490161667E-2</v>
      </c>
      <c r="DB44">
        <v>0.10692912032954019</v>
      </c>
      <c r="DC44">
        <v>0.11335866203045941</v>
      </c>
      <c r="DE44" t="s">
        <v>494</v>
      </c>
      <c r="DF44" t="s">
        <v>111</v>
      </c>
      <c r="DG44" t="s">
        <v>112</v>
      </c>
      <c r="DH44">
        <v>0.35593192119266548</v>
      </c>
    </row>
    <row r="45" spans="2:112" x14ac:dyDescent="0.45">
      <c r="B45" t="s">
        <v>477</v>
      </c>
      <c r="C45" t="s">
        <v>107</v>
      </c>
      <c r="D45">
        <v>0.44174757267708697</v>
      </c>
      <c r="E45">
        <v>0.45843549761960228</v>
      </c>
      <c r="F45">
        <v>0.50889484853285316</v>
      </c>
      <c r="G45">
        <v>0.52727118882960777</v>
      </c>
      <c r="H45">
        <v>0.50310233513682923</v>
      </c>
      <c r="I45">
        <v>0.44547519334533392</v>
      </c>
      <c r="J45">
        <v>0.38817287942863421</v>
      </c>
      <c r="K45">
        <v>0.42099566421410234</v>
      </c>
      <c r="L45">
        <v>0.48075208989050838</v>
      </c>
      <c r="M45">
        <v>0.48672076725505459</v>
      </c>
      <c r="N45">
        <v>0.44860426766761335</v>
      </c>
      <c r="O45">
        <v>0.38366783244285951</v>
      </c>
      <c r="P45">
        <v>0.39893295573536797</v>
      </c>
      <c r="Q45">
        <v>0.48381320653903587</v>
      </c>
      <c r="R45">
        <v>0.46142445852286335</v>
      </c>
      <c r="S45">
        <v>0.4314219909851375</v>
      </c>
      <c r="T45">
        <v>0.37281719549843678</v>
      </c>
      <c r="U45">
        <v>0.31976652652729265</v>
      </c>
      <c r="V45">
        <v>0.35994291113666088</v>
      </c>
      <c r="W45">
        <v>0.34767087699684301</v>
      </c>
      <c r="X45">
        <v>0.40460233727401745</v>
      </c>
      <c r="Y45">
        <v>0.39822796269764471</v>
      </c>
      <c r="Z45">
        <v>0.38588665242561881</v>
      </c>
      <c r="AA45">
        <v>0.37243651033153263</v>
      </c>
      <c r="CE45" t="s">
        <v>477</v>
      </c>
      <c r="CF45">
        <v>0.18597576981504682</v>
      </c>
      <c r="CG45">
        <v>0.18395395870603193</v>
      </c>
      <c r="CH45">
        <v>0.15882206375958338</v>
      </c>
      <c r="CI45">
        <v>0.15317499629999368</v>
      </c>
      <c r="CJ45">
        <v>0.17273260473414082</v>
      </c>
      <c r="CK45">
        <v>0.18694000438951969</v>
      </c>
      <c r="CL45">
        <v>0.13781942786789517</v>
      </c>
      <c r="CM45">
        <v>0.13826609550293883</v>
      </c>
      <c r="CN45">
        <v>0.13464827662702528</v>
      </c>
      <c r="CO45">
        <v>0.12690009065731586</v>
      </c>
      <c r="CP45">
        <v>0.13712280872350396</v>
      </c>
      <c r="CQ45">
        <v>0.14925689993786997</v>
      </c>
      <c r="CR45">
        <v>9.1937261737896195E-2</v>
      </c>
      <c r="CS45">
        <v>6.772711713814461E-2</v>
      </c>
      <c r="CT45">
        <v>5.7180746933947917E-2</v>
      </c>
      <c r="CU45">
        <v>6.3381514457833979E-2</v>
      </c>
      <c r="CV45">
        <v>7.9684722196590341E-2</v>
      </c>
      <c r="CW45">
        <v>8.9975516593070723E-2</v>
      </c>
      <c r="CX45">
        <v>0.15728347337847218</v>
      </c>
      <c r="CY45">
        <v>0.16699741017601988</v>
      </c>
      <c r="CZ45">
        <v>0.15297998271581398</v>
      </c>
      <c r="DA45">
        <v>0.14562178483747071</v>
      </c>
      <c r="DB45">
        <v>0.13858135145882489</v>
      </c>
      <c r="DC45">
        <v>0.14949922026057938</v>
      </c>
      <c r="DE45" t="s">
        <v>495</v>
      </c>
      <c r="DF45" t="s">
        <v>111</v>
      </c>
      <c r="DG45" t="s">
        <v>112</v>
      </c>
      <c r="DH45">
        <v>0.30217264564774055</v>
      </c>
    </row>
    <row r="46" spans="2:112" x14ac:dyDescent="0.45">
      <c r="B46" t="s">
        <v>479</v>
      </c>
      <c r="C46" t="s">
        <v>107</v>
      </c>
      <c r="D46">
        <v>0.40598602520081695</v>
      </c>
      <c r="E46">
        <v>0.4017622344731373</v>
      </c>
      <c r="F46">
        <v>0.4437664367314112</v>
      </c>
      <c r="G46">
        <v>0.47519035576246188</v>
      </c>
      <c r="H46">
        <v>0.4551261015782308</v>
      </c>
      <c r="I46">
        <v>0.38936036550204595</v>
      </c>
      <c r="J46">
        <v>0.33043828982177648</v>
      </c>
      <c r="K46">
        <v>0.38576970223511947</v>
      </c>
      <c r="L46">
        <v>0.48069344957579546</v>
      </c>
      <c r="M46">
        <v>0.4919215683111981</v>
      </c>
      <c r="N46">
        <v>0.43642256097609272</v>
      </c>
      <c r="O46">
        <v>0.35805234642927253</v>
      </c>
      <c r="P46">
        <v>0.32945729971757842</v>
      </c>
      <c r="Q46">
        <v>0.3668553094846726</v>
      </c>
      <c r="R46">
        <v>0.46317956040100799</v>
      </c>
      <c r="S46">
        <v>0.40961766268763339</v>
      </c>
      <c r="T46">
        <v>0.37318517842193633</v>
      </c>
      <c r="U46">
        <v>0.34819991812374357</v>
      </c>
      <c r="V46">
        <v>0.31368777277799914</v>
      </c>
      <c r="W46">
        <v>0.32286839815314999</v>
      </c>
      <c r="X46">
        <v>0.43226097296815547</v>
      </c>
      <c r="Y46">
        <v>0.43420141772922238</v>
      </c>
      <c r="Z46">
        <v>0.43477061832367231</v>
      </c>
      <c r="AA46">
        <v>0.3802432073148394</v>
      </c>
      <c r="CE46" t="s">
        <v>479</v>
      </c>
      <c r="CF46">
        <v>0.24084527154150562</v>
      </c>
      <c r="CG46">
        <v>0.22439603718961798</v>
      </c>
      <c r="CH46">
        <v>0.19003329930746071</v>
      </c>
      <c r="CI46">
        <v>0.17125665308411447</v>
      </c>
      <c r="CJ46">
        <v>0.19880526688458947</v>
      </c>
      <c r="CK46">
        <v>0.23590650685174328</v>
      </c>
      <c r="CL46">
        <v>0.17446464213146493</v>
      </c>
      <c r="CM46">
        <v>0.17049606106548548</v>
      </c>
      <c r="CN46">
        <v>0.13633226689250877</v>
      </c>
      <c r="CO46">
        <v>0.12234589441601113</v>
      </c>
      <c r="CP46">
        <v>0.13859354445768146</v>
      </c>
      <c r="CQ46">
        <v>0.16640990049084947</v>
      </c>
      <c r="CR46">
        <v>0.13097194073420509</v>
      </c>
      <c r="CS46">
        <v>8.4212718231602687E-2</v>
      </c>
      <c r="CT46">
        <v>6.046793942072845E-2</v>
      </c>
      <c r="CU46">
        <v>6.7305896553669073E-2</v>
      </c>
      <c r="CV46">
        <v>8.1978189377877125E-2</v>
      </c>
      <c r="CW46">
        <v>0.10206916222605296</v>
      </c>
      <c r="CX46">
        <v>0.20472300115902192</v>
      </c>
      <c r="CY46">
        <v>0.19955599870257645</v>
      </c>
      <c r="CZ46">
        <v>0.16134273155844739</v>
      </c>
      <c r="DA46">
        <v>0.14245847278100415</v>
      </c>
      <c r="DB46">
        <v>0.14893017593294969</v>
      </c>
      <c r="DC46">
        <v>0.18108122408785102</v>
      </c>
      <c r="DE46" t="s">
        <v>496</v>
      </c>
      <c r="DF46" t="s">
        <v>111</v>
      </c>
      <c r="DG46" t="s">
        <v>112</v>
      </c>
      <c r="DH46">
        <v>0.31582389811719569</v>
      </c>
    </row>
    <row r="47" spans="2:112" x14ac:dyDescent="0.45">
      <c r="B47" t="s">
        <v>481</v>
      </c>
      <c r="C47" t="s">
        <v>107</v>
      </c>
      <c r="D47">
        <v>0.37871164376002192</v>
      </c>
      <c r="E47">
        <v>0.38550528817525376</v>
      </c>
      <c r="F47">
        <v>0.39283103858149132</v>
      </c>
      <c r="G47">
        <v>0.4368796733967919</v>
      </c>
      <c r="H47">
        <v>0.41709659558334033</v>
      </c>
      <c r="I47">
        <v>0.3626545937820051</v>
      </c>
      <c r="J47">
        <v>0.3288574369488374</v>
      </c>
      <c r="K47">
        <v>0.36986483197768733</v>
      </c>
      <c r="L47">
        <v>0.43584782278258283</v>
      </c>
      <c r="M47">
        <v>0.427633622663809</v>
      </c>
      <c r="N47">
        <v>0.38854642164657105</v>
      </c>
      <c r="O47">
        <v>0.36146305157241437</v>
      </c>
      <c r="P47">
        <v>0.32973419475737292</v>
      </c>
      <c r="Q47">
        <v>0.38004313560339581</v>
      </c>
      <c r="R47">
        <v>0.42067872288430036</v>
      </c>
      <c r="S47">
        <v>0.39823680573627579</v>
      </c>
      <c r="T47">
        <v>0.36957513363622446</v>
      </c>
      <c r="U47">
        <v>0.32025776819627977</v>
      </c>
      <c r="V47">
        <v>0.30438737826136275</v>
      </c>
      <c r="W47">
        <v>0.32664275011879684</v>
      </c>
      <c r="X47">
        <v>0.39642714618141783</v>
      </c>
      <c r="Y47">
        <v>0.40763813100095403</v>
      </c>
      <c r="Z47">
        <v>0.38140457173589676</v>
      </c>
      <c r="AA47">
        <v>0.34845374882771063</v>
      </c>
      <c r="CE47" t="s">
        <v>481</v>
      </c>
      <c r="CF47">
        <v>0.25244572232631735</v>
      </c>
      <c r="CG47">
        <v>0.24947334841612098</v>
      </c>
      <c r="CH47">
        <v>0.22592604526040044</v>
      </c>
      <c r="CI47">
        <v>0.2144419536413211</v>
      </c>
      <c r="CJ47">
        <v>0.22799181180528449</v>
      </c>
      <c r="CK47">
        <v>0.25588632516911586</v>
      </c>
      <c r="CL47">
        <v>0.18316831149854798</v>
      </c>
      <c r="CM47">
        <v>0.18622765929221288</v>
      </c>
      <c r="CN47">
        <v>0.16260829316308281</v>
      </c>
      <c r="CO47">
        <v>0.15121213021889826</v>
      </c>
      <c r="CP47">
        <v>0.16515897918755046</v>
      </c>
      <c r="CQ47">
        <v>0.19113769189746829</v>
      </c>
      <c r="CR47">
        <v>0.12494939201585399</v>
      </c>
      <c r="CS47">
        <v>8.8643251064324635E-2</v>
      </c>
      <c r="CT47">
        <v>7.0714535432736356E-2</v>
      </c>
      <c r="CU47">
        <v>8.0985118438289178E-2</v>
      </c>
      <c r="CV47">
        <v>9.6312163667032311E-2</v>
      </c>
      <c r="CW47">
        <v>0.11360965319311601</v>
      </c>
      <c r="CX47">
        <v>0.221783935474618</v>
      </c>
      <c r="CY47">
        <v>0.23934060607634669</v>
      </c>
      <c r="CZ47">
        <v>0.2107628018831007</v>
      </c>
      <c r="DA47">
        <v>0.18543143015787381</v>
      </c>
      <c r="DB47">
        <v>0.18486858062309139</v>
      </c>
      <c r="DC47">
        <v>0.21000721825323662</v>
      </c>
      <c r="DE47" t="s">
        <v>497</v>
      </c>
      <c r="DF47" t="s">
        <v>111</v>
      </c>
      <c r="DG47" t="s">
        <v>112</v>
      </c>
      <c r="DH47">
        <v>0.38121995084695248</v>
      </c>
    </row>
    <row r="48" spans="2:112" x14ac:dyDescent="0.45">
      <c r="B48" t="s">
        <v>483</v>
      </c>
      <c r="C48" t="s">
        <v>107</v>
      </c>
      <c r="D48">
        <v>0.42256136444984838</v>
      </c>
      <c r="E48">
        <v>0.41782961514995143</v>
      </c>
      <c r="F48">
        <v>0.44638938426836405</v>
      </c>
      <c r="G48">
        <v>0.46837521398891963</v>
      </c>
      <c r="H48">
        <v>0.4331614450993988</v>
      </c>
      <c r="I48">
        <v>0.40722517529339919</v>
      </c>
      <c r="J48">
        <v>0.36532740466688146</v>
      </c>
      <c r="K48">
        <v>0.41933627097111914</v>
      </c>
      <c r="L48">
        <v>0.47977306626933025</v>
      </c>
      <c r="M48">
        <v>0.44093131287410853</v>
      </c>
      <c r="N48">
        <v>0.39968107963031652</v>
      </c>
      <c r="O48">
        <v>0.35597930921857662</v>
      </c>
      <c r="P48">
        <v>0.35706373072644898</v>
      </c>
      <c r="Q48">
        <v>0.402492748130515</v>
      </c>
      <c r="R48">
        <v>0.44963370173573924</v>
      </c>
      <c r="S48">
        <v>0.4102726647939095</v>
      </c>
      <c r="T48">
        <v>0.38256711652160891</v>
      </c>
      <c r="U48">
        <v>0.34034826779005928</v>
      </c>
      <c r="V48">
        <v>0.40926843673730867</v>
      </c>
      <c r="W48">
        <v>0.4489613828053276</v>
      </c>
      <c r="X48">
        <v>0.48192675891378045</v>
      </c>
      <c r="Y48">
        <v>0.4706810245000107</v>
      </c>
      <c r="Z48">
        <v>0.45883806737201344</v>
      </c>
      <c r="AA48">
        <v>0.41401949239375829</v>
      </c>
      <c r="CE48" t="s">
        <v>483</v>
      </c>
      <c r="CF48">
        <v>0.204387689362379</v>
      </c>
      <c r="CG48">
        <v>0.1957969274842222</v>
      </c>
      <c r="CH48">
        <v>0.18478151106178461</v>
      </c>
      <c r="CI48">
        <v>0.17486588723718891</v>
      </c>
      <c r="CJ48">
        <v>0.19247397297884164</v>
      </c>
      <c r="CK48">
        <v>0.21158429095672909</v>
      </c>
      <c r="CL48">
        <v>0.13875101435673565</v>
      </c>
      <c r="CM48">
        <v>0.13822301928396499</v>
      </c>
      <c r="CN48">
        <v>0.1230294026230975</v>
      </c>
      <c r="CO48">
        <v>0.11234108074050946</v>
      </c>
      <c r="CP48">
        <v>0.12805736902113782</v>
      </c>
      <c r="CQ48">
        <v>0.13544317680102394</v>
      </c>
      <c r="CR48">
        <v>9.4221346562648314E-2</v>
      </c>
      <c r="CS48">
        <v>6.4114045001539471E-2</v>
      </c>
      <c r="CT48">
        <v>6.0508364452283449E-2</v>
      </c>
      <c r="CU48">
        <v>6.9991217893377644E-2</v>
      </c>
      <c r="CV48">
        <v>8.5096828159959753E-2</v>
      </c>
      <c r="CW48">
        <v>9.0735256959009192E-2</v>
      </c>
      <c r="CX48">
        <v>0.18952061937702586</v>
      </c>
      <c r="CY48">
        <v>0.18925453979279372</v>
      </c>
      <c r="CZ48">
        <v>0.15873645303445932</v>
      </c>
      <c r="DA48">
        <v>0.16128465148250476</v>
      </c>
      <c r="DB48">
        <v>0.17542448749729775</v>
      </c>
      <c r="DC48">
        <v>0.18525472451593647</v>
      </c>
      <c r="DE48" t="s">
        <v>498</v>
      </c>
      <c r="DF48" t="s">
        <v>111</v>
      </c>
      <c r="DG48" t="s">
        <v>112</v>
      </c>
      <c r="DH48">
        <v>0.42303181059163236</v>
      </c>
    </row>
    <row r="49" spans="2:112" x14ac:dyDescent="0.45">
      <c r="B49" t="s">
        <v>485</v>
      </c>
      <c r="C49" t="s">
        <v>107</v>
      </c>
      <c r="D49">
        <v>0.49775057608395978</v>
      </c>
      <c r="E49">
        <v>0.47942695182774159</v>
      </c>
      <c r="F49">
        <v>0.50938909010270272</v>
      </c>
      <c r="G49">
        <v>0.51767044095156678</v>
      </c>
      <c r="H49">
        <v>0.51262906500339722</v>
      </c>
      <c r="I49">
        <v>0.49548023189979162</v>
      </c>
      <c r="J49">
        <v>0.40735951524465008</v>
      </c>
      <c r="K49">
        <v>0.43194311564502175</v>
      </c>
      <c r="L49">
        <v>0.51887810291253844</v>
      </c>
      <c r="M49">
        <v>0.48532566106050584</v>
      </c>
      <c r="N49">
        <v>0.41474876381486625</v>
      </c>
      <c r="O49">
        <v>0.39706603269102708</v>
      </c>
      <c r="P49">
        <v>0.39109033714471608</v>
      </c>
      <c r="Q49">
        <v>0.41158843622522828</v>
      </c>
      <c r="R49">
        <v>0.46799357873267489</v>
      </c>
      <c r="S49">
        <v>0.46097180789276693</v>
      </c>
      <c r="T49">
        <v>0.43064963303095044</v>
      </c>
      <c r="U49">
        <v>0.37899038361032267</v>
      </c>
      <c r="V49">
        <v>0.45697701420536213</v>
      </c>
      <c r="W49">
        <v>0.50007784388277365</v>
      </c>
      <c r="X49">
        <v>0.52196195767653786</v>
      </c>
      <c r="Y49">
        <v>0.52108681002927482</v>
      </c>
      <c r="Z49">
        <v>0.51117830905618378</v>
      </c>
      <c r="AA49">
        <v>0.48184868187622354</v>
      </c>
      <c r="CE49" t="s">
        <v>485</v>
      </c>
      <c r="CF49">
        <v>0.11690397361145784</v>
      </c>
      <c r="CG49">
        <v>0.10199007625366904</v>
      </c>
      <c r="CH49">
        <v>9.5818812652570459E-2</v>
      </c>
      <c r="CI49">
        <v>9.6722851020660527E-2</v>
      </c>
      <c r="CJ49">
        <v>0.11095581071742801</v>
      </c>
      <c r="CK49">
        <v>0.12070537326312455</v>
      </c>
      <c r="CL49">
        <v>8.6123055173812052E-2</v>
      </c>
      <c r="CM49">
        <v>7.3023718170090179E-2</v>
      </c>
      <c r="CN49">
        <v>6.9719337820506225E-2</v>
      </c>
      <c r="CO49">
        <v>7.9362420977362638E-2</v>
      </c>
      <c r="CP49">
        <v>9.1247473807402335E-2</v>
      </c>
      <c r="CQ49">
        <v>9.024923966507796E-2</v>
      </c>
      <c r="CR49">
        <v>6.1675041299833346E-2</v>
      </c>
      <c r="CS49">
        <v>3.9057662162036932E-2</v>
      </c>
      <c r="CT49">
        <v>3.8668506995613368E-2</v>
      </c>
      <c r="CU49">
        <v>5.606268231452468E-2</v>
      </c>
      <c r="CV49">
        <v>6.609883577982914E-2</v>
      </c>
      <c r="CW49">
        <v>5.7388541467888687E-2</v>
      </c>
      <c r="CX49">
        <v>0.10065350834807785</v>
      </c>
      <c r="CY49">
        <v>9.6139756025513029E-2</v>
      </c>
      <c r="CZ49">
        <v>8.8200001706113237E-2</v>
      </c>
      <c r="DA49">
        <v>0.10675115322371398</v>
      </c>
      <c r="DB49">
        <v>0.11431666695827411</v>
      </c>
      <c r="DC49">
        <v>0.11275396856903626</v>
      </c>
      <c r="DE49" t="s">
        <v>499</v>
      </c>
      <c r="DF49" t="s">
        <v>111</v>
      </c>
      <c r="DG49" t="s">
        <v>112</v>
      </c>
      <c r="DH49">
        <v>0.41821245044900413</v>
      </c>
    </row>
    <row r="50" spans="2:112" x14ac:dyDescent="0.45">
      <c r="B50" t="s">
        <v>487</v>
      </c>
      <c r="C50" t="s">
        <v>107</v>
      </c>
      <c r="D50">
        <v>0.39723228052635645</v>
      </c>
      <c r="E50">
        <v>0.39490658880261159</v>
      </c>
      <c r="F50">
        <v>0.43175814774651927</v>
      </c>
      <c r="G50">
        <v>0.4647313433927831</v>
      </c>
      <c r="H50">
        <v>0.44620289733617913</v>
      </c>
      <c r="I50">
        <v>0.40700115466426584</v>
      </c>
      <c r="J50">
        <v>0.38052470474115785</v>
      </c>
      <c r="K50">
        <v>0.41747437991194503</v>
      </c>
      <c r="L50">
        <v>0.49160676224129585</v>
      </c>
      <c r="M50">
        <v>0.49403948615247667</v>
      </c>
      <c r="N50">
        <v>0.43674284108498795</v>
      </c>
      <c r="O50">
        <v>0.38111880254005503</v>
      </c>
      <c r="P50">
        <v>0.3278433166999814</v>
      </c>
      <c r="Q50">
        <v>0.38426218156173164</v>
      </c>
      <c r="R50">
        <v>0.46998908602023098</v>
      </c>
      <c r="S50">
        <v>0.43880045724907418</v>
      </c>
      <c r="T50">
        <v>0.40927267277409668</v>
      </c>
      <c r="U50">
        <v>0.36344381052963098</v>
      </c>
      <c r="V50">
        <v>0.37703466929602791</v>
      </c>
      <c r="W50">
        <v>0.42145915008002915</v>
      </c>
      <c r="X50">
        <v>0.49598672253002624</v>
      </c>
      <c r="Y50">
        <v>0.47102717329006499</v>
      </c>
      <c r="Z50">
        <v>0.45721457285251144</v>
      </c>
      <c r="AA50">
        <v>0.4056249952983414</v>
      </c>
      <c r="CE50" t="s">
        <v>487</v>
      </c>
      <c r="CF50">
        <v>0.23269408227556779</v>
      </c>
      <c r="CG50">
        <v>0.21715011043936722</v>
      </c>
      <c r="CH50">
        <v>0.18625142655259458</v>
      </c>
      <c r="CI50">
        <v>0.17410838132902656</v>
      </c>
      <c r="CJ50">
        <v>0.20021856081351294</v>
      </c>
      <c r="CK50">
        <v>0.22754963093636973</v>
      </c>
      <c r="CL50">
        <v>0.17532468445957536</v>
      </c>
      <c r="CM50">
        <v>0.16884607091446471</v>
      </c>
      <c r="CN50">
        <v>0.14216430288235227</v>
      </c>
      <c r="CO50">
        <v>0.13247340830420704</v>
      </c>
      <c r="CP50">
        <v>0.13711870665727702</v>
      </c>
      <c r="CQ50">
        <v>0.15982961152259212</v>
      </c>
      <c r="CR50">
        <v>0.12619967381927091</v>
      </c>
      <c r="CS50">
        <v>8.5543598448353839E-2</v>
      </c>
      <c r="CT50">
        <v>7.582663032532326E-2</v>
      </c>
      <c r="CU50">
        <v>9.3939179728722483E-2</v>
      </c>
      <c r="CV50">
        <v>9.7599182636440532E-2</v>
      </c>
      <c r="CW50">
        <v>0.10254335803890194</v>
      </c>
      <c r="CX50">
        <v>0.19942367409434672</v>
      </c>
      <c r="CY50">
        <v>0.1832153306665372</v>
      </c>
      <c r="CZ50">
        <v>0.1508387589357246</v>
      </c>
      <c r="DA50">
        <v>0.14926226973625553</v>
      </c>
      <c r="DB50">
        <v>0.17589977034810556</v>
      </c>
      <c r="DC50">
        <v>0.20613438852709501</v>
      </c>
      <c r="DE50" t="s">
        <v>500</v>
      </c>
      <c r="DF50" t="s">
        <v>111</v>
      </c>
      <c r="DG50" t="s">
        <v>112</v>
      </c>
      <c r="DH50">
        <v>0.52868840673822559</v>
      </c>
    </row>
    <row r="51" spans="2:112" x14ac:dyDescent="0.45">
      <c r="B51" t="s">
        <v>489</v>
      </c>
      <c r="C51" t="s">
        <v>107</v>
      </c>
      <c r="D51">
        <v>0.36509770269817671</v>
      </c>
      <c r="E51">
        <v>0.36761823381699321</v>
      </c>
      <c r="F51">
        <v>0.384575156908189</v>
      </c>
      <c r="G51">
        <v>0.40334983064125157</v>
      </c>
      <c r="H51">
        <v>0.37516637454538998</v>
      </c>
      <c r="I51">
        <v>0.338058953125147</v>
      </c>
      <c r="J51">
        <v>0.30107582212168765</v>
      </c>
      <c r="K51">
        <v>0.34288447847812242</v>
      </c>
      <c r="L51">
        <v>0.39517411564335492</v>
      </c>
      <c r="M51">
        <v>0.40436159891637008</v>
      </c>
      <c r="N51">
        <v>0.38491778166609847</v>
      </c>
      <c r="O51">
        <v>0.33213076402101782</v>
      </c>
      <c r="P51">
        <v>0.32585267199138535</v>
      </c>
      <c r="Q51">
        <v>0.37178656439924102</v>
      </c>
      <c r="R51">
        <v>0.41793561562816317</v>
      </c>
      <c r="S51">
        <v>0.4153145162516057</v>
      </c>
      <c r="T51">
        <v>0.38677819664618224</v>
      </c>
      <c r="U51">
        <v>0.33557207307567516</v>
      </c>
      <c r="V51">
        <v>0.34908861122362134</v>
      </c>
      <c r="W51">
        <v>0.37475378719230457</v>
      </c>
      <c r="X51">
        <v>0.41773363423728954</v>
      </c>
      <c r="Y51">
        <v>0.41255173098553288</v>
      </c>
      <c r="Z51">
        <v>0.3932007133244782</v>
      </c>
      <c r="AA51">
        <v>0.36197609899961813</v>
      </c>
      <c r="CE51" t="s">
        <v>489</v>
      </c>
      <c r="CF51">
        <v>0.30237777817334166</v>
      </c>
      <c r="CG51">
        <v>0.3009415543198104</v>
      </c>
      <c r="CH51">
        <v>0.27153258938124286</v>
      </c>
      <c r="CI51">
        <v>0.24981598289801271</v>
      </c>
      <c r="CJ51">
        <v>0.273952101638054</v>
      </c>
      <c r="CK51">
        <v>0.30364075005149282</v>
      </c>
      <c r="CL51">
        <v>0.22953778332974797</v>
      </c>
      <c r="CM51">
        <v>0.23152253180929033</v>
      </c>
      <c r="CN51">
        <v>0.20330644900845413</v>
      </c>
      <c r="CO51">
        <v>0.19184329920853435</v>
      </c>
      <c r="CP51">
        <v>0.21262716365525819</v>
      </c>
      <c r="CQ51">
        <v>0.21556353946638188</v>
      </c>
      <c r="CR51">
        <v>0.16525516708033919</v>
      </c>
      <c r="CS51">
        <v>0.13205272434235021</v>
      </c>
      <c r="CT51">
        <v>0.10515922702979061</v>
      </c>
      <c r="CU51">
        <v>0.1128463474459676</v>
      </c>
      <c r="CV51">
        <v>0.12693597792159703</v>
      </c>
      <c r="CW51">
        <v>0.13273002811566947</v>
      </c>
      <c r="CX51">
        <v>0.27773123180487214</v>
      </c>
      <c r="CY51">
        <v>0.26656494229599365</v>
      </c>
      <c r="CZ51">
        <v>0.2308145480979033</v>
      </c>
      <c r="DA51">
        <v>0.22254285816484437</v>
      </c>
      <c r="DB51">
        <v>0.24183428542958763</v>
      </c>
      <c r="DC51">
        <v>0.26913439206456907</v>
      </c>
      <c r="DE51" t="s">
        <v>501</v>
      </c>
      <c r="DF51" t="s">
        <v>111</v>
      </c>
      <c r="DG51" t="s">
        <v>112</v>
      </c>
      <c r="DH51">
        <v>0.58375303482077379</v>
      </c>
    </row>
    <row r="52" spans="2:112" x14ac:dyDescent="0.45">
      <c r="B52" t="s">
        <v>491</v>
      </c>
      <c r="C52" t="s">
        <v>107</v>
      </c>
      <c r="D52">
        <v>0.37237120882310121</v>
      </c>
      <c r="E52">
        <v>0.36679006806706815</v>
      </c>
      <c r="F52">
        <v>0.37538093803918715</v>
      </c>
      <c r="G52">
        <v>0.40928718836861611</v>
      </c>
      <c r="H52">
        <v>0.37766887793603365</v>
      </c>
      <c r="I52">
        <v>0.34418367176468867</v>
      </c>
      <c r="J52">
        <v>0.32988800854932526</v>
      </c>
      <c r="K52">
        <v>0.36422715641047049</v>
      </c>
      <c r="L52">
        <v>0.41510169097686012</v>
      </c>
      <c r="M52">
        <v>0.40252040238412407</v>
      </c>
      <c r="N52">
        <v>0.38721101301428484</v>
      </c>
      <c r="O52">
        <v>0.37437559167347167</v>
      </c>
      <c r="P52">
        <v>0.31966256476759775</v>
      </c>
      <c r="Q52">
        <v>0.39190273293966515</v>
      </c>
      <c r="R52">
        <v>0.4567878007486581</v>
      </c>
      <c r="S52">
        <v>0.40934929859813762</v>
      </c>
      <c r="T52">
        <v>0.36574265116316207</v>
      </c>
      <c r="U52">
        <v>0.35705580515147545</v>
      </c>
      <c r="V52">
        <v>0.34258010566339658</v>
      </c>
      <c r="W52">
        <v>0.36662272536894097</v>
      </c>
      <c r="X52">
        <v>0.42033890525123419</v>
      </c>
      <c r="Y52">
        <v>0.43833478332712617</v>
      </c>
      <c r="Z52">
        <v>0.4313636728316953</v>
      </c>
      <c r="AA52">
        <v>0.38705066124871429</v>
      </c>
      <c r="CE52" t="s">
        <v>491</v>
      </c>
      <c r="CF52">
        <v>0.27428121693589463</v>
      </c>
      <c r="CG52">
        <v>0.26729838017450214</v>
      </c>
      <c r="CH52">
        <v>0.25034331691132217</v>
      </c>
      <c r="CI52">
        <v>0.24084832994710451</v>
      </c>
      <c r="CJ52">
        <v>0.25501537017534615</v>
      </c>
      <c r="CK52">
        <v>0.28008413873545301</v>
      </c>
      <c r="CL52">
        <v>0.19700197912500353</v>
      </c>
      <c r="CM52">
        <v>0.19345721820265382</v>
      </c>
      <c r="CN52">
        <v>0.17536072639871828</v>
      </c>
      <c r="CO52">
        <v>0.16068050523987884</v>
      </c>
      <c r="CP52">
        <v>0.18524913575287208</v>
      </c>
      <c r="CQ52">
        <v>0.20057186640629637</v>
      </c>
      <c r="CR52">
        <v>0.13705679504193616</v>
      </c>
      <c r="CS52">
        <v>0.10069809853189786</v>
      </c>
      <c r="CT52">
        <v>8.5584896678984668E-2</v>
      </c>
      <c r="CU52">
        <v>9.1782769193119063E-2</v>
      </c>
      <c r="CV52">
        <v>0.10126187354211622</v>
      </c>
      <c r="CW52">
        <v>0.11114645110727238</v>
      </c>
      <c r="CX52">
        <v>0.24645162318667987</v>
      </c>
      <c r="CY52">
        <v>0.25630155018109158</v>
      </c>
      <c r="CZ52">
        <v>0.21266074965133994</v>
      </c>
      <c r="DA52">
        <v>0.19498388598819325</v>
      </c>
      <c r="DB52">
        <v>0.2000746816813565</v>
      </c>
      <c r="DC52">
        <v>0.2322190071043862</v>
      </c>
      <c r="DE52" t="s">
        <v>502</v>
      </c>
      <c r="DF52" t="s">
        <v>111</v>
      </c>
      <c r="DG52" t="s">
        <v>112</v>
      </c>
      <c r="DH52">
        <v>0.48986385765695634</v>
      </c>
    </row>
    <row r="53" spans="2:112" x14ac:dyDescent="0.45">
      <c r="B53" t="s">
        <v>493</v>
      </c>
      <c r="C53" t="s">
        <v>107</v>
      </c>
      <c r="D53">
        <v>0.38282265060257498</v>
      </c>
      <c r="E53">
        <v>0.36951709759207613</v>
      </c>
      <c r="F53">
        <v>0.39719414745276155</v>
      </c>
      <c r="G53">
        <v>0.43484922613186067</v>
      </c>
      <c r="H53">
        <v>0.42028545220605851</v>
      </c>
      <c r="I53">
        <v>0.36233003688621496</v>
      </c>
      <c r="J53">
        <v>0.34194095969010663</v>
      </c>
      <c r="K53">
        <v>0.39543502221619437</v>
      </c>
      <c r="L53">
        <v>0.46961539084818466</v>
      </c>
      <c r="M53">
        <v>0.45659185905985861</v>
      </c>
      <c r="N53">
        <v>0.40794357693897676</v>
      </c>
      <c r="O53">
        <v>0.36943275846289719</v>
      </c>
      <c r="P53">
        <v>0.3281856457025954</v>
      </c>
      <c r="Q53">
        <v>0.36926773133405283</v>
      </c>
      <c r="R53">
        <v>0.44650290903358381</v>
      </c>
      <c r="S53">
        <v>0.43252533224858219</v>
      </c>
      <c r="T53">
        <v>0.37754285073578614</v>
      </c>
      <c r="U53">
        <v>0.35500396754467095</v>
      </c>
      <c r="V53">
        <v>0.33630007954650037</v>
      </c>
      <c r="W53">
        <v>0.36994927718426091</v>
      </c>
      <c r="X53">
        <v>0.43969211608742981</v>
      </c>
      <c r="Y53">
        <v>0.4507907200839999</v>
      </c>
      <c r="Z53">
        <v>0.45140035960146241</v>
      </c>
      <c r="AA53">
        <v>0.39855721395296423</v>
      </c>
      <c r="CE53" t="s">
        <v>493</v>
      </c>
      <c r="CF53">
        <v>0.2701204199215379</v>
      </c>
      <c r="CG53">
        <v>0.25493232829715967</v>
      </c>
      <c r="CH53">
        <v>0.22566252191724573</v>
      </c>
      <c r="CI53">
        <v>0.20860442879586671</v>
      </c>
      <c r="CJ53">
        <v>0.23778698248126684</v>
      </c>
      <c r="CK53">
        <v>0.26818023692324772</v>
      </c>
      <c r="CL53">
        <v>0.18477928793841136</v>
      </c>
      <c r="CM53">
        <v>0.1830700429072829</v>
      </c>
      <c r="CN53">
        <v>0.15384981454328153</v>
      </c>
      <c r="CO53">
        <v>0.13750877691113672</v>
      </c>
      <c r="CP53">
        <v>0.14994574038678168</v>
      </c>
      <c r="CQ53">
        <v>0.17643485793861255</v>
      </c>
      <c r="CR53">
        <v>0.12899790655251933</v>
      </c>
      <c r="CS53">
        <v>8.6385279985565416E-2</v>
      </c>
      <c r="CT53">
        <v>7.0792055738187379E-2</v>
      </c>
      <c r="CU53">
        <v>8.1661154777616804E-2</v>
      </c>
      <c r="CV53">
        <v>9.0857323102544116E-2</v>
      </c>
      <c r="CW53">
        <v>0.105845519266306</v>
      </c>
      <c r="CX53">
        <v>0.2347873390637224</v>
      </c>
      <c r="CY53">
        <v>0.23880945734206169</v>
      </c>
      <c r="CZ53">
        <v>0.19152210773228504</v>
      </c>
      <c r="DA53">
        <v>0.1686992514313945</v>
      </c>
      <c r="DB53">
        <v>0.18274174252425182</v>
      </c>
      <c r="DC53">
        <v>0.21339006536337474</v>
      </c>
      <c r="DE53" t="s">
        <v>503</v>
      </c>
      <c r="DF53" t="s">
        <v>111</v>
      </c>
      <c r="DG53" t="s">
        <v>112</v>
      </c>
      <c r="DH53">
        <v>0.3313287559825755</v>
      </c>
    </row>
    <row r="54" spans="2:112" x14ac:dyDescent="0.45">
      <c r="B54" t="s">
        <v>494</v>
      </c>
      <c r="C54" t="s">
        <v>107</v>
      </c>
      <c r="D54">
        <v>0.34533551796664891</v>
      </c>
      <c r="E54">
        <v>0.33923633405159359</v>
      </c>
      <c r="F54">
        <v>0.34735178386227478</v>
      </c>
      <c r="G54">
        <v>0.36692583613461577</v>
      </c>
      <c r="H54">
        <v>0.35362609967993869</v>
      </c>
      <c r="I54">
        <v>0.33397326992813625</v>
      </c>
      <c r="J54">
        <v>0.30833762774710149</v>
      </c>
      <c r="K54">
        <v>0.35007101854613271</v>
      </c>
      <c r="L54">
        <v>0.40249150207620388</v>
      </c>
      <c r="M54">
        <v>0.37914593136015212</v>
      </c>
      <c r="N54">
        <v>0.35345467612943582</v>
      </c>
      <c r="O54">
        <v>0.32945416161165653</v>
      </c>
      <c r="P54">
        <v>0.28935311473484226</v>
      </c>
      <c r="Q54">
        <v>0.38049465967831314</v>
      </c>
      <c r="R54">
        <v>0.4318634621984726</v>
      </c>
      <c r="S54">
        <v>0.41855420204842975</v>
      </c>
      <c r="T54">
        <v>0.41022637214747221</v>
      </c>
      <c r="U54">
        <v>0.34064889315782748</v>
      </c>
      <c r="V54">
        <v>0.30532706726382858</v>
      </c>
      <c r="W54">
        <v>0.30146769048405692</v>
      </c>
      <c r="X54">
        <v>0.34313355149884001</v>
      </c>
      <c r="Y54">
        <v>0.35410380133757274</v>
      </c>
      <c r="Z54">
        <v>0.35125132210268123</v>
      </c>
      <c r="AA54">
        <v>0.33000755067626669</v>
      </c>
      <c r="CE54" t="s">
        <v>494</v>
      </c>
      <c r="CF54">
        <v>0.3563910552424977</v>
      </c>
      <c r="CG54">
        <v>0.36638162449805284</v>
      </c>
      <c r="CH54">
        <v>0.35739201489731964</v>
      </c>
      <c r="CI54">
        <v>0.34679547166906499</v>
      </c>
      <c r="CJ54">
        <v>0.34530962729451964</v>
      </c>
      <c r="CK54">
        <v>0.35350273624070905</v>
      </c>
      <c r="CL54">
        <v>0.2243777504031631</v>
      </c>
      <c r="CM54">
        <v>0.21041327368779103</v>
      </c>
      <c r="CN54">
        <v>0.18903189608664708</v>
      </c>
      <c r="CO54">
        <v>0.19905511800382766</v>
      </c>
      <c r="CP54">
        <v>0.21573542891915282</v>
      </c>
      <c r="CQ54">
        <v>0.21449896941398516</v>
      </c>
      <c r="CR54">
        <v>0.17135711858340183</v>
      </c>
      <c r="CS54">
        <v>0.1519908479164194</v>
      </c>
      <c r="CT54">
        <v>0.13878159936034504</v>
      </c>
      <c r="CU54">
        <v>0.15791680686004358</v>
      </c>
      <c r="CV54">
        <v>0.16713313386405937</v>
      </c>
      <c r="CW54">
        <v>0.14877588579267068</v>
      </c>
      <c r="CX54">
        <v>0.30121419328592391</v>
      </c>
      <c r="CY54">
        <v>0.30804485866120407</v>
      </c>
      <c r="CZ54">
        <v>0.28072295602433073</v>
      </c>
      <c r="DA54">
        <v>0.26268352525632116</v>
      </c>
      <c r="DB54">
        <v>0.27211204432831682</v>
      </c>
      <c r="DC54">
        <v>0.2886156083831834</v>
      </c>
      <c r="DE54" t="s">
        <v>504</v>
      </c>
      <c r="DF54" t="s">
        <v>111</v>
      </c>
      <c r="DG54" t="s">
        <v>112</v>
      </c>
      <c r="DH54">
        <v>0.37582509372149842</v>
      </c>
    </row>
    <row r="55" spans="2:112" x14ac:dyDescent="0.45">
      <c r="B55" t="s">
        <v>495</v>
      </c>
      <c r="C55" t="s">
        <v>107</v>
      </c>
      <c r="D55">
        <v>0.36494715067328365</v>
      </c>
      <c r="E55">
        <v>0.35792881856132852</v>
      </c>
      <c r="F55">
        <v>0.35973773008323934</v>
      </c>
      <c r="G55">
        <v>0.36908832246523693</v>
      </c>
      <c r="H55">
        <v>0.34928236427139364</v>
      </c>
      <c r="I55">
        <v>0.33896731451111906</v>
      </c>
      <c r="J55">
        <v>0.33153736971928022</v>
      </c>
      <c r="K55">
        <v>0.36413907445897709</v>
      </c>
      <c r="L55">
        <v>0.38468035512133153</v>
      </c>
      <c r="M55">
        <v>0.37845995722246561</v>
      </c>
      <c r="N55">
        <v>0.36512224878807981</v>
      </c>
      <c r="O55">
        <v>0.34452508653851466</v>
      </c>
      <c r="P55">
        <v>0.32276236920242513</v>
      </c>
      <c r="Q55">
        <v>0.40962355721178251</v>
      </c>
      <c r="R55">
        <v>0.44401071922970492</v>
      </c>
      <c r="S55">
        <v>0.40758106382393433</v>
      </c>
      <c r="T55">
        <v>0.38570505700513807</v>
      </c>
      <c r="U55">
        <v>0.34812268807516294</v>
      </c>
      <c r="V55">
        <v>0.33972094649603224</v>
      </c>
      <c r="W55">
        <v>0.36420586334814076</v>
      </c>
      <c r="X55">
        <v>0.3957131116294198</v>
      </c>
      <c r="Y55">
        <v>0.39696582487828402</v>
      </c>
      <c r="Z55">
        <v>0.38880209358773204</v>
      </c>
      <c r="AA55">
        <v>0.35902858916647828</v>
      </c>
      <c r="CE55" t="s">
        <v>495</v>
      </c>
      <c r="CF55">
        <v>0.30284074748671053</v>
      </c>
      <c r="CG55">
        <v>0.3091263044733899</v>
      </c>
      <c r="CH55">
        <v>0.2938707845472352</v>
      </c>
      <c r="CI55">
        <v>0.28636447167691359</v>
      </c>
      <c r="CJ55">
        <v>0.29229198912623339</v>
      </c>
      <c r="CK55">
        <v>0.30878921099980267</v>
      </c>
      <c r="CL55">
        <v>0.20897726183458309</v>
      </c>
      <c r="CM55">
        <v>0.20324030948966512</v>
      </c>
      <c r="CN55">
        <v>0.19155019197382797</v>
      </c>
      <c r="CO55">
        <v>0.18746952437694381</v>
      </c>
      <c r="CP55">
        <v>0.21102975110698327</v>
      </c>
      <c r="CQ55">
        <v>0.21269203806456319</v>
      </c>
      <c r="CR55">
        <v>0.1407555379337895</v>
      </c>
      <c r="CS55">
        <v>0.1221929742982366</v>
      </c>
      <c r="CT55">
        <v>0.11275898748562431</v>
      </c>
      <c r="CU55">
        <v>0.1272055644242531</v>
      </c>
      <c r="CV55">
        <v>0.14361028302016393</v>
      </c>
      <c r="CW55">
        <v>0.13290045390603017</v>
      </c>
      <c r="CX55">
        <v>0.26375999865377836</v>
      </c>
      <c r="CY55">
        <v>0.25804154596287299</v>
      </c>
      <c r="CZ55">
        <v>0.23442635483018387</v>
      </c>
      <c r="DA55">
        <v>0.22842069054320058</v>
      </c>
      <c r="DB55">
        <v>0.24023387686535871</v>
      </c>
      <c r="DC55">
        <v>0.25640115272742098</v>
      </c>
      <c r="DE55" t="s">
        <v>505</v>
      </c>
      <c r="DF55" t="s">
        <v>111</v>
      </c>
      <c r="DG55" t="s">
        <v>112</v>
      </c>
      <c r="DH55">
        <v>0.40326198270477404</v>
      </c>
    </row>
    <row r="56" spans="2:112" x14ac:dyDescent="0.45">
      <c r="B56" t="s">
        <v>496</v>
      </c>
      <c r="C56" t="s">
        <v>107</v>
      </c>
      <c r="D56">
        <v>0.35904268962597941</v>
      </c>
      <c r="E56">
        <v>0.35478654746889676</v>
      </c>
      <c r="F56">
        <v>0.37017797502984545</v>
      </c>
      <c r="G56">
        <v>0.384375066678246</v>
      </c>
      <c r="H56">
        <v>0.36500246286980215</v>
      </c>
      <c r="I56">
        <v>0.3410190217824125</v>
      </c>
      <c r="J56">
        <v>0.32575388958883855</v>
      </c>
      <c r="K56">
        <v>0.35422819176464537</v>
      </c>
      <c r="L56">
        <v>0.3849404165069496</v>
      </c>
      <c r="M56">
        <v>0.36885284246548622</v>
      </c>
      <c r="N56">
        <v>0.35314595983604585</v>
      </c>
      <c r="O56">
        <v>0.33201632970428563</v>
      </c>
      <c r="P56">
        <v>0.31641786489119667</v>
      </c>
      <c r="Q56">
        <v>0.38802045722649747</v>
      </c>
      <c r="R56">
        <v>0.42347552107151198</v>
      </c>
      <c r="S56">
        <v>0.40319142651863449</v>
      </c>
      <c r="T56">
        <v>0.35486351695109886</v>
      </c>
      <c r="U56">
        <v>0.31415028905724274</v>
      </c>
      <c r="V56">
        <v>0.32554668566914474</v>
      </c>
      <c r="W56">
        <v>0.33145860386664883</v>
      </c>
      <c r="X56">
        <v>0.36700772722526731</v>
      </c>
      <c r="Y56">
        <v>0.37201499358160778</v>
      </c>
      <c r="Z56">
        <v>0.36548666630243581</v>
      </c>
      <c r="AA56">
        <v>0.34598384350393652</v>
      </c>
      <c r="CE56" t="s">
        <v>496</v>
      </c>
      <c r="CF56">
        <v>0.31700316610518681</v>
      </c>
      <c r="CG56">
        <v>0.32412378490213106</v>
      </c>
      <c r="CH56">
        <v>0.31800605522717018</v>
      </c>
      <c r="CI56">
        <v>0.31454175789433725</v>
      </c>
      <c r="CJ56">
        <v>0.3091859592307441</v>
      </c>
      <c r="CK56">
        <v>0.32293689994537628</v>
      </c>
      <c r="CL56">
        <v>0.19919706052911729</v>
      </c>
      <c r="CM56">
        <v>0.20275067774027178</v>
      </c>
      <c r="CN56">
        <v>0.18275162482840032</v>
      </c>
      <c r="CO56">
        <v>0.18510366080326368</v>
      </c>
      <c r="CP56">
        <v>0.20533083100086411</v>
      </c>
      <c r="CQ56">
        <v>0.20238697458232516</v>
      </c>
      <c r="CR56">
        <v>0.13802623114463725</v>
      </c>
      <c r="CS56">
        <v>0.11658548357665123</v>
      </c>
      <c r="CT56">
        <v>0.11487713826027354</v>
      </c>
      <c r="CU56">
        <v>0.12587181817398732</v>
      </c>
      <c r="CV56">
        <v>0.13583540759331877</v>
      </c>
      <c r="CW56">
        <v>0.13434361402496756</v>
      </c>
      <c r="CX56">
        <v>0.273710379454217</v>
      </c>
      <c r="CY56">
        <v>0.28768290085918091</v>
      </c>
      <c r="CZ56">
        <v>0.25756448185841491</v>
      </c>
      <c r="DA56">
        <v>0.23750599139926742</v>
      </c>
      <c r="DB56">
        <v>0.24245901511622039</v>
      </c>
      <c r="DC56">
        <v>0.26389979931020902</v>
      </c>
      <c r="DE56" t="s">
        <v>474</v>
      </c>
      <c r="DF56" t="s">
        <v>111</v>
      </c>
      <c r="DG56" t="s">
        <v>112</v>
      </c>
      <c r="DH56">
        <v>0.65490074305769241</v>
      </c>
    </row>
    <row r="57" spans="2:112" x14ac:dyDescent="0.45">
      <c r="B57" t="s">
        <v>497</v>
      </c>
      <c r="C57" t="s">
        <v>107</v>
      </c>
      <c r="D57">
        <v>0.31553993917416739</v>
      </c>
      <c r="E57">
        <v>0.32015957381922194</v>
      </c>
      <c r="F57">
        <v>0.33580916388341536</v>
      </c>
      <c r="G57">
        <v>0.36381172606796558</v>
      </c>
      <c r="H57">
        <v>0.35402547160994763</v>
      </c>
      <c r="I57">
        <v>0.3214300139267583</v>
      </c>
      <c r="J57">
        <v>0.31819823857879215</v>
      </c>
      <c r="K57">
        <v>0.34175196679772352</v>
      </c>
      <c r="L57">
        <v>0.38162318785584276</v>
      </c>
      <c r="M57">
        <v>0.37932712232258359</v>
      </c>
      <c r="N57">
        <v>0.36225918021958908</v>
      </c>
      <c r="O57">
        <v>0.33413143064669487</v>
      </c>
      <c r="P57">
        <v>0.31566657011340504</v>
      </c>
      <c r="Q57">
        <v>0.3650713401307204</v>
      </c>
      <c r="R57">
        <v>0.42644955719928812</v>
      </c>
      <c r="S57">
        <v>0.39657653195818809</v>
      </c>
      <c r="T57">
        <v>0.39492827850420509</v>
      </c>
      <c r="U57">
        <v>0.36252141672386601</v>
      </c>
      <c r="V57">
        <v>0.32757307378934281</v>
      </c>
      <c r="W57">
        <v>0.35368016016522463</v>
      </c>
      <c r="X57">
        <v>0.38726798417476854</v>
      </c>
      <c r="Y57">
        <v>0.3782483476825465</v>
      </c>
      <c r="Z57">
        <v>0.35270287872597045</v>
      </c>
      <c r="AA57">
        <v>0.3281298453118327</v>
      </c>
      <c r="CE57" t="s">
        <v>497</v>
      </c>
      <c r="CF57">
        <v>0.38954701740031328</v>
      </c>
      <c r="CG57">
        <v>0.39014436120591162</v>
      </c>
      <c r="CH57">
        <v>0.36082367456240222</v>
      </c>
      <c r="CI57">
        <v>0.33435913204221207</v>
      </c>
      <c r="CJ57">
        <v>0.3497463480611297</v>
      </c>
      <c r="CK57">
        <v>0.38175566106557424</v>
      </c>
      <c r="CL57">
        <v>0.26448945887114694</v>
      </c>
      <c r="CM57">
        <v>0.25627951610347088</v>
      </c>
      <c r="CN57">
        <v>0.23236356597791374</v>
      </c>
      <c r="CO57">
        <v>0.22534551558141788</v>
      </c>
      <c r="CP57">
        <v>0.2461714581895299</v>
      </c>
      <c r="CQ57">
        <v>0.25744343145665555</v>
      </c>
      <c r="CR57">
        <v>0.18511918051569984</v>
      </c>
      <c r="CS57">
        <v>0.15805400811228673</v>
      </c>
      <c r="CT57">
        <v>0.14115511355598392</v>
      </c>
      <c r="CU57">
        <v>0.149925448040333</v>
      </c>
      <c r="CV57">
        <v>0.16848635758835231</v>
      </c>
      <c r="CW57">
        <v>0.1541287898629034</v>
      </c>
      <c r="CX57">
        <v>0.34013950267139453</v>
      </c>
      <c r="CY57">
        <v>0.32027315643372911</v>
      </c>
      <c r="CZ57">
        <v>0.28588818301450797</v>
      </c>
      <c r="DA57">
        <v>0.28010772333636624</v>
      </c>
      <c r="DB57">
        <v>0.29419514399195923</v>
      </c>
      <c r="DC57">
        <v>0.31384864744576185</v>
      </c>
      <c r="DE57" t="s">
        <v>476</v>
      </c>
      <c r="DF57" t="s">
        <v>111</v>
      </c>
      <c r="DG57" t="s">
        <v>112</v>
      </c>
      <c r="DH57">
        <v>0.65423327136426257</v>
      </c>
    </row>
    <row r="58" spans="2:112" x14ac:dyDescent="0.45">
      <c r="B58" t="s">
        <v>498</v>
      </c>
      <c r="C58" t="s">
        <v>107</v>
      </c>
      <c r="D58">
        <v>0.29998388623632977</v>
      </c>
      <c r="E58">
        <v>0.29843783191282353</v>
      </c>
      <c r="F58">
        <v>0.3168010229542278</v>
      </c>
      <c r="G58">
        <v>0.3519283413151954</v>
      </c>
      <c r="H58">
        <v>0.34068674342198396</v>
      </c>
      <c r="I58">
        <v>0.31502000724612705</v>
      </c>
      <c r="J58">
        <v>0.31709496443593693</v>
      </c>
      <c r="K58">
        <v>0.34459389445828126</v>
      </c>
      <c r="L58">
        <v>0.39933356201409653</v>
      </c>
      <c r="M58">
        <v>0.3826125978970577</v>
      </c>
      <c r="N58">
        <v>0.35748044427915177</v>
      </c>
      <c r="O58">
        <v>0.32544553615499244</v>
      </c>
      <c r="P58">
        <v>0.28745869979970079</v>
      </c>
      <c r="Q58">
        <v>0.36589733013256698</v>
      </c>
      <c r="R58">
        <v>0.42829004355955091</v>
      </c>
      <c r="S58">
        <v>0.38708548476969212</v>
      </c>
      <c r="T58">
        <v>0.37425532419929225</v>
      </c>
      <c r="U58">
        <v>0.33998110398121273</v>
      </c>
      <c r="V58">
        <v>0.30745176346510672</v>
      </c>
      <c r="W58">
        <v>0.33191577918225895</v>
      </c>
      <c r="X58">
        <v>0.37150507035190222</v>
      </c>
      <c r="Y58">
        <v>0.37045047296988498</v>
      </c>
      <c r="Z58">
        <v>0.34591836462596753</v>
      </c>
      <c r="AA58">
        <v>0.31979511608745714</v>
      </c>
      <c r="CE58" t="s">
        <v>498</v>
      </c>
      <c r="CF58">
        <v>0.42431435129435913</v>
      </c>
      <c r="CG58">
        <v>0.4305759082850476</v>
      </c>
      <c r="CH58">
        <v>0.41529028789503181</v>
      </c>
      <c r="CI58">
        <v>0.38764680791946904</v>
      </c>
      <c r="CJ58">
        <v>0.38934666820637986</v>
      </c>
      <c r="CK58">
        <v>0.41735765248780082</v>
      </c>
      <c r="CL58">
        <v>0.30058273336408431</v>
      </c>
      <c r="CM58">
        <v>0.29090484866997374</v>
      </c>
      <c r="CN58">
        <v>0.26792963438342543</v>
      </c>
      <c r="CO58">
        <v>0.26485407252721105</v>
      </c>
      <c r="CP58">
        <v>0.27853264466956812</v>
      </c>
      <c r="CQ58">
        <v>0.28040736778197461</v>
      </c>
      <c r="CR58">
        <v>0.21786121829595692</v>
      </c>
      <c r="CS58">
        <v>0.18813408813189464</v>
      </c>
      <c r="CT58">
        <v>0.16730827827888325</v>
      </c>
      <c r="CU58">
        <v>0.19588605634901454</v>
      </c>
      <c r="CV58">
        <v>0.2088985695930928</v>
      </c>
      <c r="CW58">
        <v>0.18851697220621144</v>
      </c>
      <c r="CX58">
        <v>0.35469559136841672</v>
      </c>
      <c r="CY58">
        <v>0.34493786639227997</v>
      </c>
      <c r="CZ58">
        <v>0.31484447492111473</v>
      </c>
      <c r="DA58">
        <v>0.31486690498590059</v>
      </c>
      <c r="DB58">
        <v>0.32057882412397415</v>
      </c>
      <c r="DC58">
        <v>0.33379017408481915</v>
      </c>
      <c r="DE58" t="s">
        <v>478</v>
      </c>
      <c r="DF58" t="s">
        <v>111</v>
      </c>
      <c r="DG58" t="s">
        <v>112</v>
      </c>
      <c r="DH58">
        <v>0.64441704876578232</v>
      </c>
    </row>
    <row r="59" spans="2:112" x14ac:dyDescent="0.45">
      <c r="B59" t="s">
        <v>499</v>
      </c>
      <c r="C59" t="s">
        <v>107</v>
      </c>
      <c r="D59">
        <v>0.31627978023654219</v>
      </c>
      <c r="E59">
        <v>0.29380755094662442</v>
      </c>
      <c r="F59">
        <v>0.31144545663534273</v>
      </c>
      <c r="G59">
        <v>0.33023503514064739</v>
      </c>
      <c r="H59">
        <v>0.33200630300038286</v>
      </c>
      <c r="I59">
        <v>0.3194099041647846</v>
      </c>
      <c r="J59">
        <v>0.3180718915701447</v>
      </c>
      <c r="K59">
        <v>0.33841434307163376</v>
      </c>
      <c r="L59">
        <v>0.39551233770798694</v>
      </c>
      <c r="M59">
        <v>0.37826029617292889</v>
      </c>
      <c r="N59">
        <v>0.35786857805449601</v>
      </c>
      <c r="O59">
        <v>0.33201165708668873</v>
      </c>
      <c r="P59">
        <v>0.29931220351647009</v>
      </c>
      <c r="Q59">
        <v>0.35882903250167397</v>
      </c>
      <c r="R59">
        <v>0.42982849344324608</v>
      </c>
      <c r="S59">
        <v>0.39770810183083272</v>
      </c>
      <c r="T59">
        <v>0.37880842812680532</v>
      </c>
      <c r="U59">
        <v>0.32260313712871136</v>
      </c>
      <c r="V59">
        <v>0.2912244113290734</v>
      </c>
      <c r="W59">
        <v>0.29300102186704369</v>
      </c>
      <c r="X59">
        <v>0.32687356323676514</v>
      </c>
      <c r="Y59">
        <v>0.34170046596810677</v>
      </c>
      <c r="Z59">
        <v>0.34710287716190552</v>
      </c>
      <c r="AA59">
        <v>0.31567742227555801</v>
      </c>
      <c r="CE59" t="s">
        <v>499</v>
      </c>
      <c r="CF59">
        <v>0.41618670201065855</v>
      </c>
      <c r="CG59">
        <v>0.42843483917242159</v>
      </c>
      <c r="CH59">
        <v>0.41911074919535884</v>
      </c>
      <c r="CI59">
        <v>0.40239801434538913</v>
      </c>
      <c r="CJ59">
        <v>0.40246351927869972</v>
      </c>
      <c r="CK59">
        <v>0.41564691776680079</v>
      </c>
      <c r="CL59">
        <v>0.30485164617089827</v>
      </c>
      <c r="CM59">
        <v>0.29410527028049133</v>
      </c>
      <c r="CN59">
        <v>0.26851200585694329</v>
      </c>
      <c r="CO59">
        <v>0.27821120341191341</v>
      </c>
      <c r="CP59">
        <v>0.28705218321310433</v>
      </c>
      <c r="CQ59">
        <v>0.29040903677325536</v>
      </c>
      <c r="CR59">
        <v>0.2251250543472478</v>
      </c>
      <c r="CS59">
        <v>0.20743483662018261</v>
      </c>
      <c r="CT59">
        <v>0.18894398338066667</v>
      </c>
      <c r="CU59">
        <v>0.21429093119512418</v>
      </c>
      <c r="CV59">
        <v>0.21829051419778361</v>
      </c>
      <c r="CW59">
        <v>0.20169735677339179</v>
      </c>
      <c r="CX59">
        <v>0.35590097041271634</v>
      </c>
      <c r="CY59">
        <v>0.36073595361886834</v>
      </c>
      <c r="CZ59">
        <v>0.33223330258650652</v>
      </c>
      <c r="DA59">
        <v>0.33023277194763478</v>
      </c>
      <c r="DB59">
        <v>0.33120124168219689</v>
      </c>
      <c r="DC59">
        <v>0.34421845729929063</v>
      </c>
      <c r="DE59" t="s">
        <v>480</v>
      </c>
      <c r="DF59" t="s">
        <v>111</v>
      </c>
      <c r="DG59" t="s">
        <v>112</v>
      </c>
      <c r="DH59">
        <v>0.62661015603375769</v>
      </c>
    </row>
    <row r="60" spans="2:112" x14ac:dyDescent="0.45">
      <c r="B60" t="s">
        <v>500</v>
      </c>
      <c r="C60" t="s">
        <v>107</v>
      </c>
      <c r="D60">
        <v>0.29166624916879308</v>
      </c>
      <c r="E60">
        <v>0.279381241186692</v>
      </c>
      <c r="F60">
        <v>0.27920454341122775</v>
      </c>
      <c r="G60">
        <v>0.27845481527504518</v>
      </c>
      <c r="H60">
        <v>0.26715214357492456</v>
      </c>
      <c r="I60">
        <v>0.26919358687692718</v>
      </c>
      <c r="J60">
        <v>0.26203747032427538</v>
      </c>
      <c r="K60">
        <v>0.28480916969256953</v>
      </c>
      <c r="L60">
        <v>0.30869691571587471</v>
      </c>
      <c r="M60">
        <v>0.31431447381800032</v>
      </c>
      <c r="N60">
        <v>0.31130673510680179</v>
      </c>
      <c r="O60">
        <v>0.29823299763831873</v>
      </c>
      <c r="P60">
        <v>0.31304203832389771</v>
      </c>
      <c r="Q60">
        <v>0.37935973933475187</v>
      </c>
      <c r="R60">
        <v>0.3971120307581299</v>
      </c>
      <c r="S60">
        <v>0.39337022307887443</v>
      </c>
      <c r="T60">
        <v>0.36237289465171568</v>
      </c>
      <c r="U60">
        <v>0.34086085273778732</v>
      </c>
      <c r="V60">
        <v>0.2665667738718373</v>
      </c>
      <c r="W60">
        <v>0.28661744832028091</v>
      </c>
      <c r="X60">
        <v>0.31573717404071722</v>
      </c>
      <c r="Y60">
        <v>0.32613384898057624</v>
      </c>
      <c r="Z60">
        <v>0.32205406439274176</v>
      </c>
      <c r="AA60">
        <v>0.29048096655474342</v>
      </c>
      <c r="CE60" t="s">
        <v>500</v>
      </c>
      <c r="CF60">
        <v>0.50460650987076194</v>
      </c>
      <c r="CG60">
        <v>0.5147622830296007</v>
      </c>
      <c r="CH60">
        <v>0.51520560991657605</v>
      </c>
      <c r="CI60">
        <v>0.51710543927722907</v>
      </c>
      <c r="CJ60">
        <v>0.51577559445087717</v>
      </c>
      <c r="CK60">
        <v>0.53365897525026518</v>
      </c>
      <c r="CL60">
        <v>0.44241840437071445</v>
      </c>
      <c r="CM60">
        <v>0.40190680992675926</v>
      </c>
      <c r="CN60">
        <v>0.38036048908247283</v>
      </c>
      <c r="CO60">
        <v>0.39529818739472705</v>
      </c>
      <c r="CP60">
        <v>0.41944813515350921</v>
      </c>
      <c r="CQ60">
        <v>0.43805397901634441</v>
      </c>
      <c r="CR60">
        <v>0.31011683880439783</v>
      </c>
      <c r="CS60">
        <v>0.28578043513988222</v>
      </c>
      <c r="CT60">
        <v>0.27293718922635857</v>
      </c>
      <c r="CU60">
        <v>0.27346206269259066</v>
      </c>
      <c r="CV60">
        <v>0.30221062897922157</v>
      </c>
      <c r="CW60">
        <v>0.30220462608568432</v>
      </c>
      <c r="CX60">
        <v>0.45804971120134635</v>
      </c>
      <c r="CY60">
        <v>0.45247785031920335</v>
      </c>
      <c r="CZ60">
        <v>0.44871940552624923</v>
      </c>
      <c r="DA60">
        <v>0.44108595503035886</v>
      </c>
      <c r="DB60">
        <v>0.45649536535640317</v>
      </c>
      <c r="DC60">
        <v>0.47624196322029877</v>
      </c>
      <c r="DE60" t="s">
        <v>482</v>
      </c>
      <c r="DF60" t="s">
        <v>111</v>
      </c>
      <c r="DG60" t="s">
        <v>112</v>
      </c>
      <c r="DH60">
        <v>0.56141963444841891</v>
      </c>
    </row>
    <row r="61" spans="2:112" x14ac:dyDescent="0.45">
      <c r="B61" t="s">
        <v>501</v>
      </c>
      <c r="C61" t="s">
        <v>107</v>
      </c>
      <c r="D61">
        <v>0.24533078468236663</v>
      </c>
      <c r="E61">
        <v>0.24853107806203761</v>
      </c>
      <c r="F61">
        <v>0.26037313823214203</v>
      </c>
      <c r="G61">
        <v>0.27257999499058916</v>
      </c>
      <c r="H61">
        <v>0.27048920833415235</v>
      </c>
      <c r="I61">
        <v>0.2578869778423285</v>
      </c>
      <c r="J61">
        <v>0.29413287064357979</v>
      </c>
      <c r="K61">
        <v>0.28470140976125474</v>
      </c>
      <c r="L61">
        <v>0.30951461931220131</v>
      </c>
      <c r="M61">
        <v>0.29882344519738763</v>
      </c>
      <c r="N61">
        <v>0.29045065687862087</v>
      </c>
      <c r="O61">
        <v>0.29840375659303975</v>
      </c>
      <c r="P61">
        <v>0.31102071122167418</v>
      </c>
      <c r="Q61">
        <v>0.33651027142946194</v>
      </c>
      <c r="R61">
        <v>0.36474800605433366</v>
      </c>
      <c r="S61">
        <v>0.34417573106694838</v>
      </c>
      <c r="T61">
        <v>0.31333179328977462</v>
      </c>
      <c r="U61">
        <v>0.31202430230323175</v>
      </c>
      <c r="V61">
        <v>0.24818183993290324</v>
      </c>
      <c r="W61">
        <v>0.25740897760736786</v>
      </c>
      <c r="X61">
        <v>0.28974015812458392</v>
      </c>
      <c r="Y61">
        <v>0.28457415691360127</v>
      </c>
      <c r="Z61">
        <v>0.27476512113793033</v>
      </c>
      <c r="AA61">
        <v>0.2691269039996278</v>
      </c>
      <c r="CE61" t="s">
        <v>501</v>
      </c>
      <c r="CF61">
        <v>0.58855040172116346</v>
      </c>
      <c r="CG61">
        <v>0.59482563516172715</v>
      </c>
      <c r="CH61">
        <v>0.59071854962013426</v>
      </c>
      <c r="CI61">
        <v>0.58013787064441813</v>
      </c>
      <c r="CJ61">
        <v>0.58307942517377931</v>
      </c>
      <c r="CK61">
        <v>0.59449042060362289</v>
      </c>
      <c r="CL61">
        <v>0.48632984948142105</v>
      </c>
      <c r="CM61">
        <v>0.47316565359209578</v>
      </c>
      <c r="CN61">
        <v>0.44010263966404634</v>
      </c>
      <c r="CO61">
        <v>0.44217634214041285</v>
      </c>
      <c r="CP61">
        <v>0.46394874307415968</v>
      </c>
      <c r="CQ61">
        <v>0.48210229523368442</v>
      </c>
      <c r="CR61">
        <v>0.37029067072531846</v>
      </c>
      <c r="CS61">
        <v>0.35943788906908186</v>
      </c>
      <c r="CT61">
        <v>0.34532414937837785</v>
      </c>
      <c r="CU61">
        <v>0.35826199733675024</v>
      </c>
      <c r="CV61">
        <v>0.37570355815810563</v>
      </c>
      <c r="CW61">
        <v>0.37310453232092544</v>
      </c>
      <c r="CX61">
        <v>0.53543572350171542</v>
      </c>
      <c r="CY61">
        <v>0.53554909408513673</v>
      </c>
      <c r="CZ61">
        <v>0.51687296213127731</v>
      </c>
      <c r="DA61">
        <v>0.50816852959659531</v>
      </c>
      <c r="DB61">
        <v>0.5216960793355111</v>
      </c>
      <c r="DC61">
        <v>0.52618510115871042</v>
      </c>
      <c r="DE61" t="s">
        <v>484</v>
      </c>
      <c r="DF61" t="s">
        <v>111</v>
      </c>
      <c r="DG61" t="s">
        <v>112</v>
      </c>
      <c r="DH61">
        <v>0.60019499784703978</v>
      </c>
    </row>
    <row r="62" spans="2:112" x14ac:dyDescent="0.45">
      <c r="B62" t="s">
        <v>502</v>
      </c>
      <c r="C62" t="s">
        <v>107</v>
      </c>
      <c r="D62">
        <v>0.29143338574673067</v>
      </c>
      <c r="E62">
        <v>0.25727793990664433</v>
      </c>
      <c r="F62">
        <v>0.26429873563632905</v>
      </c>
      <c r="G62">
        <v>0.28331892468361092</v>
      </c>
      <c r="H62">
        <v>0.29036791611692986</v>
      </c>
      <c r="I62">
        <v>0.28206995823938991</v>
      </c>
      <c r="J62">
        <v>0.30001227208090947</v>
      </c>
      <c r="K62">
        <v>0.31129704575464401</v>
      </c>
      <c r="L62">
        <v>0.34929121743934355</v>
      </c>
      <c r="M62">
        <v>0.35678091770192011</v>
      </c>
      <c r="N62">
        <v>0.34507424649219759</v>
      </c>
      <c r="O62">
        <v>0.32096690545660378</v>
      </c>
      <c r="P62">
        <v>0.31352986182341386</v>
      </c>
      <c r="Q62">
        <v>0.38058771470313596</v>
      </c>
      <c r="R62">
        <v>0.40429193240690642</v>
      </c>
      <c r="S62">
        <v>0.38131965580794996</v>
      </c>
      <c r="T62">
        <v>0.35950161229742517</v>
      </c>
      <c r="U62">
        <v>0.31760216101531918</v>
      </c>
      <c r="V62">
        <v>0.26522367787530282</v>
      </c>
      <c r="W62">
        <v>0.29177731456108108</v>
      </c>
      <c r="X62">
        <v>0.31952060533991616</v>
      </c>
      <c r="Y62">
        <v>0.33674250893270569</v>
      </c>
      <c r="Z62">
        <v>0.33136210918342146</v>
      </c>
      <c r="AA62">
        <v>0.30175939571818405</v>
      </c>
      <c r="CE62" t="s">
        <v>502</v>
      </c>
      <c r="CF62">
        <v>0.48849196165334774</v>
      </c>
      <c r="CG62">
        <v>0.4957783407031619</v>
      </c>
      <c r="CH62">
        <v>0.48916317886729255</v>
      </c>
      <c r="CI62">
        <v>0.48047822864155043</v>
      </c>
      <c r="CJ62">
        <v>0.48258116927512817</v>
      </c>
      <c r="CK62">
        <v>0.49772161972877577</v>
      </c>
      <c r="CL62">
        <v>0.38698759007906741</v>
      </c>
      <c r="CM62">
        <v>0.37033736577140197</v>
      </c>
      <c r="CN62">
        <v>0.35348719289454777</v>
      </c>
      <c r="CO62">
        <v>0.37454721946849212</v>
      </c>
      <c r="CP62">
        <v>0.38226028755656405</v>
      </c>
      <c r="CQ62">
        <v>0.37607551666203271</v>
      </c>
      <c r="CR62">
        <v>0.28042986401248199</v>
      </c>
      <c r="CS62">
        <v>0.25285057881815076</v>
      </c>
      <c r="CT62">
        <v>0.25276972650001106</v>
      </c>
      <c r="CU62">
        <v>0.26843427567710848</v>
      </c>
      <c r="CV62">
        <v>0.2879542253581362</v>
      </c>
      <c r="CW62">
        <v>0.27303766240818789</v>
      </c>
      <c r="CX62">
        <v>0.42353539104658683</v>
      </c>
      <c r="CY62">
        <v>0.42370407184097014</v>
      </c>
      <c r="CZ62">
        <v>0.41085712528955975</v>
      </c>
      <c r="DA62">
        <v>0.40989847605530216</v>
      </c>
      <c r="DB62">
        <v>0.4139812385150009</v>
      </c>
      <c r="DC62">
        <v>0.42614909292642783</v>
      </c>
      <c r="DE62" t="s">
        <v>486</v>
      </c>
      <c r="DF62" t="s">
        <v>111</v>
      </c>
      <c r="DG62" t="s">
        <v>112</v>
      </c>
      <c r="DH62">
        <v>0.36792344869010979</v>
      </c>
    </row>
    <row r="63" spans="2:112" x14ac:dyDescent="0.45">
      <c r="B63" t="s">
        <v>503</v>
      </c>
      <c r="C63" t="s">
        <v>107</v>
      </c>
      <c r="D63">
        <v>0.35402514761753245</v>
      </c>
      <c r="E63">
        <v>0.36443473934888665</v>
      </c>
      <c r="F63">
        <v>0.36774871951637228</v>
      </c>
      <c r="G63">
        <v>0.38715320651682389</v>
      </c>
      <c r="H63">
        <v>0.36778130265789383</v>
      </c>
      <c r="I63">
        <v>0.34078830065741988</v>
      </c>
      <c r="J63">
        <v>0.27601061006472638</v>
      </c>
      <c r="K63">
        <v>0.31897240375217223</v>
      </c>
      <c r="L63">
        <v>0.36743510317778832</v>
      </c>
      <c r="M63">
        <v>0.36031309511316789</v>
      </c>
      <c r="N63">
        <v>0.32557779037175677</v>
      </c>
      <c r="O63">
        <v>0.30177388930950644</v>
      </c>
      <c r="P63">
        <v>0.3158771350430753</v>
      </c>
      <c r="Q63">
        <v>0.42054686464903385</v>
      </c>
      <c r="R63">
        <v>0.45733287422274604</v>
      </c>
      <c r="S63">
        <v>0.42337902669757788</v>
      </c>
      <c r="T63">
        <v>0.4058424216218095</v>
      </c>
      <c r="U63">
        <v>0.34701077215127429</v>
      </c>
      <c r="V63">
        <v>0.3104026390172937</v>
      </c>
      <c r="W63">
        <v>0.29371892391239546</v>
      </c>
      <c r="X63">
        <v>0.34080189905265817</v>
      </c>
      <c r="Y63">
        <v>0.34673049289324476</v>
      </c>
      <c r="Z63">
        <v>0.34689266363814714</v>
      </c>
      <c r="AA63">
        <v>0.3264168519642564</v>
      </c>
      <c r="CE63" t="s">
        <v>503</v>
      </c>
      <c r="CF63">
        <v>0.32267298089945556</v>
      </c>
      <c r="CG63">
        <v>0.33299356310907008</v>
      </c>
      <c r="CH63">
        <v>0.32816890170149488</v>
      </c>
      <c r="CI63">
        <v>0.31558112176802</v>
      </c>
      <c r="CJ63">
        <v>0.3258695276144789</v>
      </c>
      <c r="CK63">
        <v>0.33909578201940249</v>
      </c>
      <c r="CL63">
        <v>0.22023254267870906</v>
      </c>
      <c r="CM63">
        <v>0.20051305708345071</v>
      </c>
      <c r="CN63">
        <v>0.17995717213981854</v>
      </c>
      <c r="CO63">
        <v>0.19178158121883845</v>
      </c>
      <c r="CP63">
        <v>0.20427646824583723</v>
      </c>
      <c r="CQ63">
        <v>0.21672031515261689</v>
      </c>
      <c r="CR63">
        <v>0.16246285194766957</v>
      </c>
      <c r="CS63">
        <v>0.14211450202314127</v>
      </c>
      <c r="CT63">
        <v>0.12610632436231412</v>
      </c>
      <c r="CU63">
        <v>0.13105906137075371</v>
      </c>
      <c r="CV63">
        <v>0.13261561937486763</v>
      </c>
      <c r="CW63">
        <v>0.13171888083806771</v>
      </c>
      <c r="CX63">
        <v>0.28420453984863475</v>
      </c>
      <c r="CY63">
        <v>0.29250551557238708</v>
      </c>
      <c r="CZ63">
        <v>0.27157189747110305</v>
      </c>
      <c r="DA63">
        <v>0.24994140938804041</v>
      </c>
      <c r="DB63">
        <v>0.25384989500789307</v>
      </c>
      <c r="DC63">
        <v>0.2822615866219938</v>
      </c>
      <c r="DE63" t="s">
        <v>488</v>
      </c>
      <c r="DF63" t="s">
        <v>111</v>
      </c>
      <c r="DG63" t="s">
        <v>112</v>
      </c>
      <c r="DH63">
        <v>0.40830789258799688</v>
      </c>
    </row>
    <row r="64" spans="2:112" x14ac:dyDescent="0.45">
      <c r="B64" t="s">
        <v>504</v>
      </c>
      <c r="C64" t="s">
        <v>107</v>
      </c>
      <c r="D64">
        <v>0.35561615194547769</v>
      </c>
      <c r="E64">
        <v>0.34730382030537293</v>
      </c>
      <c r="F64">
        <v>0.34612002736329561</v>
      </c>
      <c r="G64">
        <v>0.35850015041931671</v>
      </c>
      <c r="H64">
        <v>0.34245396494169156</v>
      </c>
      <c r="I64">
        <v>0.33910543943983062</v>
      </c>
      <c r="J64">
        <v>0.28245567585172965</v>
      </c>
      <c r="K64">
        <v>0.33427138057818534</v>
      </c>
      <c r="L64">
        <v>0.38618772185259376</v>
      </c>
      <c r="M64">
        <v>0.35444621200265941</v>
      </c>
      <c r="N64">
        <v>0.34021051355683907</v>
      </c>
      <c r="O64">
        <v>0.31886429447381992</v>
      </c>
      <c r="P64">
        <v>0.29054631213191556</v>
      </c>
      <c r="Q64">
        <v>0.38232043708708802</v>
      </c>
      <c r="R64">
        <v>0.45183138901679254</v>
      </c>
      <c r="S64">
        <v>0.43705672337342827</v>
      </c>
      <c r="T64">
        <v>0.39697033575021684</v>
      </c>
      <c r="U64">
        <v>0.33464767372429927</v>
      </c>
      <c r="V64">
        <v>0.30534574475275372</v>
      </c>
      <c r="W64">
        <v>0.28462627975688476</v>
      </c>
      <c r="X64">
        <v>0.32497590017553402</v>
      </c>
      <c r="Y64">
        <v>0.34772823774583672</v>
      </c>
      <c r="Z64">
        <v>0.35171090922084258</v>
      </c>
      <c r="AA64">
        <v>0.34188441450493201</v>
      </c>
      <c r="CE64" t="s">
        <v>504</v>
      </c>
      <c r="CF64">
        <v>0.36124985635703033</v>
      </c>
      <c r="CG64">
        <v>0.377012944857957</v>
      </c>
      <c r="CH64">
        <v>0.37178577513928152</v>
      </c>
      <c r="CI64">
        <v>0.35468673886388352</v>
      </c>
      <c r="CJ64">
        <v>0.36134788971167947</v>
      </c>
      <c r="CK64">
        <v>0.38169487838613742</v>
      </c>
      <c r="CL64">
        <v>0.29860389680722987</v>
      </c>
      <c r="CM64">
        <v>0.25037786563529185</v>
      </c>
      <c r="CN64">
        <v>0.20662248600830049</v>
      </c>
      <c r="CO64">
        <v>0.22759457724470358</v>
      </c>
      <c r="CP64">
        <v>0.24864367898144252</v>
      </c>
      <c r="CQ64">
        <v>0.27672799888623256</v>
      </c>
      <c r="CR64">
        <v>0.20832269474541468</v>
      </c>
      <c r="CS64">
        <v>0.18393386428776506</v>
      </c>
      <c r="CT64">
        <v>0.17082469684530213</v>
      </c>
      <c r="CU64">
        <v>0.1811191935416378</v>
      </c>
      <c r="CV64">
        <v>0.18410423818528704</v>
      </c>
      <c r="CW64">
        <v>0.17638480834661346</v>
      </c>
      <c r="CX64">
        <v>0.33126862954658365</v>
      </c>
      <c r="CY64">
        <v>0.32755632646223592</v>
      </c>
      <c r="CZ64">
        <v>0.30804347177472213</v>
      </c>
      <c r="DA64">
        <v>0.30533673355882684</v>
      </c>
      <c r="DB64">
        <v>0.31942038164706299</v>
      </c>
      <c r="DC64">
        <v>0.34780236043547386</v>
      </c>
      <c r="DE64" t="s">
        <v>490</v>
      </c>
      <c r="DF64" t="s">
        <v>111</v>
      </c>
      <c r="DG64" t="s">
        <v>112</v>
      </c>
      <c r="DH64">
        <v>0.51623662369581103</v>
      </c>
    </row>
    <row r="65" spans="2:112" x14ac:dyDescent="0.45">
      <c r="B65" t="s">
        <v>505</v>
      </c>
      <c r="C65" t="s">
        <v>107</v>
      </c>
      <c r="D65">
        <v>0.33535201781531054</v>
      </c>
      <c r="E65">
        <v>0.3135056250682916</v>
      </c>
      <c r="F65">
        <v>0.31630807130967142</v>
      </c>
      <c r="G65">
        <v>0.32485230242328228</v>
      </c>
      <c r="H65">
        <v>0.32775640590900834</v>
      </c>
      <c r="I65">
        <v>0.32445398313682983</v>
      </c>
      <c r="J65">
        <v>0.26715511965771582</v>
      </c>
      <c r="K65">
        <v>0.32363764464595229</v>
      </c>
      <c r="L65">
        <v>0.36951925889269877</v>
      </c>
      <c r="M65">
        <v>0.34601916830474938</v>
      </c>
      <c r="N65">
        <v>0.32732008266826762</v>
      </c>
      <c r="O65">
        <v>0.29328469700348758</v>
      </c>
      <c r="P65">
        <v>0.27881231747853341</v>
      </c>
      <c r="Q65">
        <v>0.37027068750259007</v>
      </c>
      <c r="R65">
        <v>0.41835229682098379</v>
      </c>
      <c r="S65">
        <v>0.41319166542519498</v>
      </c>
      <c r="T65">
        <v>0.38693105740533218</v>
      </c>
      <c r="U65">
        <v>0.31257748217145592</v>
      </c>
      <c r="V65">
        <v>0.28167727735832093</v>
      </c>
      <c r="W65">
        <v>0.26828598825866279</v>
      </c>
      <c r="X65">
        <v>0.31175890708469733</v>
      </c>
      <c r="Y65">
        <v>0.3357618782857279</v>
      </c>
      <c r="Z65">
        <v>0.3554069178962736</v>
      </c>
      <c r="AA65">
        <v>0.33369331456699342</v>
      </c>
      <c r="CE65" t="s">
        <v>505</v>
      </c>
      <c r="CF65">
        <v>0.3892244107327763</v>
      </c>
      <c r="CG65">
        <v>0.41026167430224675</v>
      </c>
      <c r="CH65">
        <v>0.39763355708348613</v>
      </c>
      <c r="CI65">
        <v>0.3809753391749699</v>
      </c>
      <c r="CJ65">
        <v>0.3810312767439854</v>
      </c>
      <c r="CK65">
        <v>0.39433986953359262</v>
      </c>
      <c r="CL65">
        <v>0.30658798627879191</v>
      </c>
      <c r="CM65">
        <v>0.27375573147055476</v>
      </c>
      <c r="CN65">
        <v>0.2436070215673054</v>
      </c>
      <c r="CO65">
        <v>0.26533628589310632</v>
      </c>
      <c r="CP65">
        <v>0.28374884174137532</v>
      </c>
      <c r="CQ65">
        <v>0.28987615549570561</v>
      </c>
      <c r="CR65">
        <v>0.21948349404597198</v>
      </c>
      <c r="CS65">
        <v>0.19396121196039862</v>
      </c>
      <c r="CT65">
        <v>0.18577564246415049</v>
      </c>
      <c r="CU65">
        <v>0.19538991127104613</v>
      </c>
      <c r="CV65">
        <v>0.20586271400952316</v>
      </c>
      <c r="CW65">
        <v>0.19512978233306055</v>
      </c>
      <c r="CX65">
        <v>0.3473226213716355</v>
      </c>
      <c r="CY65">
        <v>0.35541459823142296</v>
      </c>
      <c r="CZ65">
        <v>0.33672848287915541</v>
      </c>
      <c r="DA65">
        <v>0.32962604188024319</v>
      </c>
      <c r="DB65">
        <v>0.3358780710883198</v>
      </c>
      <c r="DC65">
        <v>0.3505256106520474</v>
      </c>
      <c r="DE65" t="s">
        <v>492</v>
      </c>
      <c r="DF65" t="s">
        <v>111</v>
      </c>
      <c r="DG65" t="s">
        <v>112</v>
      </c>
      <c r="DH65">
        <v>0.520859350663614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48C7D-DDA9-4CAE-8313-9858AFE23444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region=DEU")</f>
        <v>~TFM_DINS-AT: region=DEU</v>
      </c>
      <c r="H9" t="str">
        <f>IF(A11="x","DeActivated","~TFM_DINS-AT: region=DEU")</f>
        <v>~TFM_DINS-AT: region=DEU</v>
      </c>
      <c r="L9" t="str">
        <f>IF(A11="x","DeActivated","~TFM_DINS-AT: region=DEU")</f>
        <v>~TFM_DINS-AT: region=DEU</v>
      </c>
      <c r="P9" t="str">
        <f>IF(A11="x","DeActivated","~TFM_INS-AT: region=DEU")</f>
        <v>~TFM_INS-AT: region=DEU</v>
      </c>
    </row>
    <row r="10" spans="1:19" x14ac:dyDescent="0.45">
      <c r="A10" t="s">
        <v>189</v>
      </c>
      <c r="C10" t="s">
        <v>190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191</v>
      </c>
      <c r="P10" t="s">
        <v>192</v>
      </c>
      <c r="Q10" t="s">
        <v>1</v>
      </c>
      <c r="R10" t="s">
        <v>193</v>
      </c>
      <c r="S10" t="s">
        <v>194</v>
      </c>
    </row>
    <row r="11" spans="1:19" x14ac:dyDescent="0.45">
      <c r="C11">
        <v>8.2191780821917804E-2</v>
      </c>
      <c r="D11">
        <v>2.291226412748925E-2</v>
      </c>
      <c r="E11" t="s">
        <v>5</v>
      </c>
      <c r="F11" t="s">
        <v>195</v>
      </c>
      <c r="H11" t="s">
        <v>196</v>
      </c>
      <c r="I11" t="s">
        <v>5</v>
      </c>
      <c r="L11" t="s">
        <v>197</v>
      </c>
      <c r="M11" t="s">
        <v>5</v>
      </c>
      <c r="N11">
        <v>0.27780263929509386</v>
      </c>
      <c r="P11">
        <v>2020</v>
      </c>
      <c r="Q11" t="s">
        <v>198</v>
      </c>
      <c r="R11">
        <v>0.37186666666666662</v>
      </c>
      <c r="S11" t="s">
        <v>199</v>
      </c>
    </row>
    <row r="12" spans="1:19" x14ac:dyDescent="0.45">
      <c r="C12">
        <v>4.1095890410958902E-2</v>
      </c>
      <c r="D12">
        <v>5.0687417646620103E-2</v>
      </c>
      <c r="E12" t="s">
        <v>9</v>
      </c>
      <c r="F12" t="s">
        <v>195</v>
      </c>
      <c r="H12" t="s">
        <v>196</v>
      </c>
      <c r="I12" t="s">
        <v>9</v>
      </c>
      <c r="L12" t="s">
        <v>197</v>
      </c>
      <c r="M12" t="s">
        <v>9</v>
      </c>
      <c r="N12">
        <v>0.21290689109545502</v>
      </c>
      <c r="P12">
        <v>2020</v>
      </c>
      <c r="Q12" t="s">
        <v>200</v>
      </c>
      <c r="R12">
        <v>0.39409999999999995</v>
      </c>
      <c r="S12" t="s">
        <v>199</v>
      </c>
    </row>
    <row r="13" spans="1:19" x14ac:dyDescent="0.45">
      <c r="C13">
        <v>3.0821917808219176E-2</v>
      </c>
      <c r="D13">
        <v>3.8336275265395424E-2</v>
      </c>
      <c r="E13" t="s">
        <v>10</v>
      </c>
      <c r="F13" t="s">
        <v>195</v>
      </c>
      <c r="H13" t="s">
        <v>196</v>
      </c>
      <c r="I13" t="s">
        <v>10</v>
      </c>
      <c r="L13" t="s">
        <v>197</v>
      </c>
      <c r="M13" t="s">
        <v>10</v>
      </c>
      <c r="N13">
        <v>0.10937021965484583</v>
      </c>
      <c r="P13">
        <v>2020</v>
      </c>
      <c r="Q13" t="s">
        <v>201</v>
      </c>
      <c r="R13">
        <v>0.40926666666666667</v>
      </c>
      <c r="S13" t="s">
        <v>199</v>
      </c>
    </row>
    <row r="14" spans="1:19" x14ac:dyDescent="0.45">
      <c r="C14">
        <v>3.0821917808219176E-2</v>
      </c>
      <c r="D14">
        <v>3.9768291773363502E-2</v>
      </c>
      <c r="E14" t="s">
        <v>11</v>
      </c>
      <c r="F14" t="s">
        <v>195</v>
      </c>
      <c r="H14" t="s">
        <v>196</v>
      </c>
      <c r="I14" t="s">
        <v>11</v>
      </c>
      <c r="L14" t="s">
        <v>197</v>
      </c>
      <c r="M14" t="s">
        <v>11</v>
      </c>
      <c r="N14">
        <v>0.10981699207395246</v>
      </c>
      <c r="P14">
        <v>2020</v>
      </c>
      <c r="Q14" t="s">
        <v>202</v>
      </c>
      <c r="R14">
        <v>0.37690000000000001</v>
      </c>
      <c r="S14" t="s">
        <v>199</v>
      </c>
    </row>
    <row r="15" spans="1:19" x14ac:dyDescent="0.45">
      <c r="C15">
        <v>3.0821917808219176E-2</v>
      </c>
      <c r="D15">
        <v>5.5490639683763034E-2</v>
      </c>
      <c r="E15" t="s">
        <v>12</v>
      </c>
      <c r="F15" t="s">
        <v>195</v>
      </c>
      <c r="H15" t="s">
        <v>196</v>
      </c>
      <c r="I15" t="s">
        <v>12</v>
      </c>
      <c r="L15" t="s">
        <v>197</v>
      </c>
      <c r="M15" t="s">
        <v>12</v>
      </c>
      <c r="N15">
        <v>0.11866262625078505</v>
      </c>
      <c r="P15">
        <v>2021</v>
      </c>
      <c r="Q15" t="s">
        <v>198</v>
      </c>
      <c r="R15">
        <v>0.38003333333333339</v>
      </c>
      <c r="S15" t="s">
        <v>199</v>
      </c>
    </row>
    <row r="16" spans="1:19" x14ac:dyDescent="0.45">
      <c r="C16">
        <v>3.0821917808219176E-2</v>
      </c>
      <c r="D16">
        <v>3.9380453969122146E-2</v>
      </c>
      <c r="E16" t="s">
        <v>13</v>
      </c>
      <c r="F16" t="s">
        <v>195</v>
      </c>
      <c r="H16" t="s">
        <v>196</v>
      </c>
      <c r="I16" t="s">
        <v>13</v>
      </c>
      <c r="L16" t="s">
        <v>197</v>
      </c>
      <c r="M16" t="s">
        <v>13</v>
      </c>
      <c r="N16">
        <v>0.11419827437198204</v>
      </c>
      <c r="P16">
        <v>2021</v>
      </c>
      <c r="Q16" t="s">
        <v>200</v>
      </c>
      <c r="R16">
        <v>0.40186666666666665</v>
      </c>
      <c r="S16" t="s">
        <v>199</v>
      </c>
    </row>
    <row r="17" spans="3:19" x14ac:dyDescent="0.45">
      <c r="C17">
        <v>8.4018264840182655E-2</v>
      </c>
      <c r="D17">
        <v>2.3421425552544572E-2</v>
      </c>
      <c r="E17" t="s">
        <v>14</v>
      </c>
      <c r="F17" t="s">
        <v>195</v>
      </c>
      <c r="H17" t="s">
        <v>196</v>
      </c>
      <c r="I17" t="s">
        <v>14</v>
      </c>
      <c r="L17" t="s">
        <v>197</v>
      </c>
      <c r="M17" t="s">
        <v>14</v>
      </c>
      <c r="N17">
        <v>0.37555489684782839</v>
      </c>
      <c r="P17">
        <v>2021</v>
      </c>
      <c r="Q17" t="s">
        <v>201</v>
      </c>
      <c r="R17">
        <v>0.51386666666666658</v>
      </c>
      <c r="S17" t="s">
        <v>199</v>
      </c>
    </row>
    <row r="18" spans="3:19" x14ac:dyDescent="0.45">
      <c r="C18">
        <v>4.2009132420091327E-2</v>
      </c>
      <c r="D18">
        <v>5.1813804705433876E-2</v>
      </c>
      <c r="E18" t="s">
        <v>15</v>
      </c>
      <c r="F18" t="s">
        <v>195</v>
      </c>
      <c r="H18" t="s">
        <v>196</v>
      </c>
      <c r="I18" t="s">
        <v>15</v>
      </c>
      <c r="L18" t="s">
        <v>197</v>
      </c>
      <c r="M18" t="s">
        <v>15</v>
      </c>
      <c r="N18">
        <v>0.31271626944509712</v>
      </c>
      <c r="P18">
        <v>2021</v>
      </c>
      <c r="Q18" t="s">
        <v>202</v>
      </c>
      <c r="R18">
        <v>0.3231</v>
      </c>
      <c r="S18" t="s">
        <v>199</v>
      </c>
    </row>
    <row r="19" spans="3:19" x14ac:dyDescent="0.45">
      <c r="C19">
        <v>3.1506849315068496E-2</v>
      </c>
      <c r="D19">
        <v>3.9188192493515323E-2</v>
      </c>
      <c r="E19" t="s">
        <v>16</v>
      </c>
      <c r="F19" t="s">
        <v>195</v>
      </c>
      <c r="H19" t="s">
        <v>196</v>
      </c>
      <c r="I19" t="s">
        <v>16</v>
      </c>
      <c r="L19" t="s">
        <v>197</v>
      </c>
      <c r="M19" t="s">
        <v>16</v>
      </c>
      <c r="N19">
        <v>0.19614181027872957</v>
      </c>
      <c r="P19">
        <v>2022</v>
      </c>
      <c r="Q19" t="s">
        <v>198</v>
      </c>
      <c r="R19">
        <v>0.3735666666666666</v>
      </c>
      <c r="S19" t="s">
        <v>199</v>
      </c>
    </row>
    <row r="20" spans="3:19" x14ac:dyDescent="0.45">
      <c r="C20">
        <v>3.1506849315068496E-2</v>
      </c>
      <c r="D20">
        <v>4.0652031590549358E-2</v>
      </c>
      <c r="E20" t="s">
        <v>17</v>
      </c>
      <c r="F20" t="s">
        <v>195</v>
      </c>
      <c r="H20" t="s">
        <v>196</v>
      </c>
      <c r="I20" t="s">
        <v>17</v>
      </c>
      <c r="L20" t="s">
        <v>197</v>
      </c>
      <c r="M20" t="s">
        <v>17</v>
      </c>
      <c r="N20">
        <v>0.19959386841538596</v>
      </c>
      <c r="P20">
        <v>2022</v>
      </c>
      <c r="Q20" t="s">
        <v>200</v>
      </c>
      <c r="R20">
        <v>0.37166666666666665</v>
      </c>
      <c r="S20" t="s">
        <v>199</v>
      </c>
    </row>
    <row r="21" spans="3:19" x14ac:dyDescent="0.45">
      <c r="C21">
        <v>3.1506849315068496E-2</v>
      </c>
      <c r="D21">
        <v>5.6723765010068872E-2</v>
      </c>
      <c r="E21" t="s">
        <v>18</v>
      </c>
      <c r="F21" t="s">
        <v>195</v>
      </c>
      <c r="H21" t="s">
        <v>196</v>
      </c>
      <c r="I21" t="s">
        <v>18</v>
      </c>
      <c r="L21" t="s">
        <v>197</v>
      </c>
      <c r="M21" t="s">
        <v>18</v>
      </c>
      <c r="N21">
        <v>0.21881452455243111</v>
      </c>
      <c r="P21">
        <v>2022</v>
      </c>
      <c r="Q21" t="s">
        <v>201</v>
      </c>
      <c r="R21">
        <v>0.33203333333333335</v>
      </c>
      <c r="S21" t="s">
        <v>199</v>
      </c>
    </row>
    <row r="22" spans="3:19" x14ac:dyDescent="0.45">
      <c r="C22">
        <v>3.1506849315068496E-2</v>
      </c>
      <c r="D22">
        <v>4.0255575168435975E-2</v>
      </c>
      <c r="E22" t="s">
        <v>19</v>
      </c>
      <c r="F22" t="s">
        <v>195</v>
      </c>
      <c r="H22" t="s">
        <v>196</v>
      </c>
      <c r="I22" t="s">
        <v>19</v>
      </c>
      <c r="L22" t="s">
        <v>197</v>
      </c>
      <c r="M22" t="s">
        <v>19</v>
      </c>
      <c r="N22">
        <v>0.2154846491230098</v>
      </c>
      <c r="P22">
        <v>2022</v>
      </c>
      <c r="Q22" t="s">
        <v>202</v>
      </c>
      <c r="R22">
        <v>0.3450333333333333</v>
      </c>
      <c r="S22" t="s">
        <v>199</v>
      </c>
    </row>
    <row r="23" spans="3:19" x14ac:dyDescent="0.45">
      <c r="C23">
        <v>8.4018264840182655E-2</v>
      </c>
      <c r="D23">
        <v>2.3421425552544572E-2</v>
      </c>
      <c r="E23" t="s">
        <v>20</v>
      </c>
      <c r="F23" t="s">
        <v>195</v>
      </c>
      <c r="H23" t="s">
        <v>196</v>
      </c>
      <c r="I23" t="s">
        <v>20</v>
      </c>
      <c r="L23" t="s">
        <v>197</v>
      </c>
      <c r="M23" t="s">
        <v>20</v>
      </c>
      <c r="N23">
        <v>0.25073631126698448</v>
      </c>
      <c r="P23">
        <v>2025</v>
      </c>
      <c r="Q23" t="s">
        <v>198</v>
      </c>
      <c r="R23">
        <v>0.42873333333333336</v>
      </c>
      <c r="S23" t="s">
        <v>199</v>
      </c>
    </row>
    <row r="24" spans="3:19" x14ac:dyDescent="0.45">
      <c r="C24">
        <v>4.2009132420091327E-2</v>
      </c>
      <c r="D24">
        <v>5.1813804705433876E-2</v>
      </c>
      <c r="E24" t="s">
        <v>21</v>
      </c>
      <c r="F24" t="s">
        <v>195</v>
      </c>
      <c r="H24" t="s">
        <v>196</v>
      </c>
      <c r="I24" t="s">
        <v>21</v>
      </c>
      <c r="L24" t="s">
        <v>197</v>
      </c>
      <c r="M24" t="s">
        <v>21</v>
      </c>
      <c r="N24">
        <v>0.20752703322949273</v>
      </c>
      <c r="P24">
        <v>2025</v>
      </c>
      <c r="Q24" t="s">
        <v>200</v>
      </c>
      <c r="R24">
        <v>0.46270000000000006</v>
      </c>
      <c r="S24" t="s">
        <v>199</v>
      </c>
    </row>
    <row r="25" spans="3:19" x14ac:dyDescent="0.45">
      <c r="C25">
        <v>3.1506849315068496E-2</v>
      </c>
      <c r="D25">
        <v>3.9188192493515323E-2</v>
      </c>
      <c r="E25" t="s">
        <v>22</v>
      </c>
      <c r="F25" t="s">
        <v>195</v>
      </c>
      <c r="H25" t="s">
        <v>196</v>
      </c>
      <c r="I25" t="s">
        <v>22</v>
      </c>
      <c r="L25" t="s">
        <v>197</v>
      </c>
      <c r="M25" t="s">
        <v>22</v>
      </c>
      <c r="N25">
        <v>0.10109340998844796</v>
      </c>
      <c r="P25">
        <v>2025</v>
      </c>
      <c r="Q25" t="s">
        <v>201</v>
      </c>
      <c r="R25">
        <v>0.54426666666666668</v>
      </c>
      <c r="S25" t="s">
        <v>199</v>
      </c>
    </row>
    <row r="26" spans="3:19" x14ac:dyDescent="0.45">
      <c r="C26">
        <v>3.1506849315068496E-2</v>
      </c>
      <c r="D26">
        <v>4.0652031590549358E-2</v>
      </c>
      <c r="E26" t="s">
        <v>23</v>
      </c>
      <c r="F26" t="s">
        <v>195</v>
      </c>
      <c r="H26" t="s">
        <v>196</v>
      </c>
      <c r="I26" t="s">
        <v>23</v>
      </c>
      <c r="L26" t="s">
        <v>197</v>
      </c>
      <c r="M26" t="s">
        <v>23</v>
      </c>
      <c r="N26">
        <v>9.7538304789189345E-2</v>
      </c>
      <c r="P26">
        <v>2025</v>
      </c>
      <c r="Q26" t="s">
        <v>202</v>
      </c>
      <c r="R26">
        <v>0.36153333333333332</v>
      </c>
      <c r="S26" t="s">
        <v>199</v>
      </c>
    </row>
    <row r="27" spans="3:19" x14ac:dyDescent="0.45">
      <c r="C27">
        <v>3.1506849315068496E-2</v>
      </c>
      <c r="D27">
        <v>5.6723765010068872E-2</v>
      </c>
      <c r="E27" t="s">
        <v>24</v>
      </c>
      <c r="F27" t="s">
        <v>195</v>
      </c>
      <c r="H27" t="s">
        <v>196</v>
      </c>
      <c r="I27" t="s">
        <v>24</v>
      </c>
      <c r="L27" t="s">
        <v>197</v>
      </c>
      <c r="M27" t="s">
        <v>24</v>
      </c>
      <c r="N27">
        <v>8.8072594685419947E-2</v>
      </c>
      <c r="P27">
        <v>2026</v>
      </c>
      <c r="Q27" t="s">
        <v>198</v>
      </c>
      <c r="R27">
        <v>0.42759999999999998</v>
      </c>
      <c r="S27" t="s">
        <v>199</v>
      </c>
    </row>
    <row r="28" spans="3:19" x14ac:dyDescent="0.45">
      <c r="C28">
        <v>3.1506849315068496E-2</v>
      </c>
      <c r="D28">
        <v>4.0255575168435975E-2</v>
      </c>
      <c r="E28" t="s">
        <v>25</v>
      </c>
      <c r="F28" t="s">
        <v>195</v>
      </c>
      <c r="H28" t="s">
        <v>196</v>
      </c>
      <c r="I28" t="s">
        <v>25</v>
      </c>
      <c r="L28" t="s">
        <v>197</v>
      </c>
      <c r="M28" t="s">
        <v>25</v>
      </c>
      <c r="N28">
        <v>8.7550105438009007E-2</v>
      </c>
      <c r="P28">
        <v>2026</v>
      </c>
      <c r="Q28" t="s">
        <v>200</v>
      </c>
      <c r="R28">
        <v>0.4840666666666667</v>
      </c>
      <c r="S28" t="s">
        <v>199</v>
      </c>
    </row>
    <row r="29" spans="3:19" x14ac:dyDescent="0.45">
      <c r="C29">
        <v>8.3105022831050229E-2</v>
      </c>
      <c r="D29">
        <v>2.3166844840016909E-2</v>
      </c>
      <c r="E29" t="s">
        <v>26</v>
      </c>
      <c r="F29" t="s">
        <v>195</v>
      </c>
      <c r="H29" t="s">
        <v>196</v>
      </c>
      <c r="I29" t="s">
        <v>26</v>
      </c>
      <c r="L29" t="s">
        <v>197</v>
      </c>
      <c r="M29" t="s">
        <v>26</v>
      </c>
      <c r="N29">
        <v>0.3320198730294659</v>
      </c>
      <c r="P29">
        <v>2026</v>
      </c>
      <c r="Q29" t="s">
        <v>201</v>
      </c>
      <c r="R29">
        <v>0.50856666666666661</v>
      </c>
      <c r="S29" t="s">
        <v>199</v>
      </c>
    </row>
    <row r="30" spans="3:19" x14ac:dyDescent="0.45">
      <c r="C30">
        <v>4.1552511415525115E-2</v>
      </c>
      <c r="D30">
        <v>5.1250611176026986E-2</v>
      </c>
      <c r="E30" t="s">
        <v>27</v>
      </c>
      <c r="F30" t="s">
        <v>195</v>
      </c>
      <c r="H30" t="s">
        <v>196</v>
      </c>
      <c r="I30" t="s">
        <v>27</v>
      </c>
      <c r="L30" t="s">
        <v>197</v>
      </c>
      <c r="M30" t="s">
        <v>27</v>
      </c>
      <c r="N30">
        <v>0.26228433222064207</v>
      </c>
      <c r="P30">
        <v>2026</v>
      </c>
      <c r="Q30" t="s">
        <v>202</v>
      </c>
      <c r="R30">
        <v>0.43013333333333331</v>
      </c>
      <c r="S30" t="s">
        <v>199</v>
      </c>
    </row>
    <row r="31" spans="3:19" x14ac:dyDescent="0.45">
      <c r="C31">
        <v>3.1164383561643836E-2</v>
      </c>
      <c r="D31">
        <v>3.8762233879455377E-2</v>
      </c>
      <c r="E31" t="s">
        <v>28</v>
      </c>
      <c r="F31" t="s">
        <v>195</v>
      </c>
      <c r="H31" t="s">
        <v>196</v>
      </c>
      <c r="I31" t="s">
        <v>28</v>
      </c>
      <c r="L31" t="s">
        <v>197</v>
      </c>
      <c r="M31" t="s">
        <v>28</v>
      </c>
      <c r="N31">
        <v>0.16386501985729773</v>
      </c>
      <c r="P31">
        <v>2027</v>
      </c>
      <c r="Q31" t="s">
        <v>198</v>
      </c>
      <c r="R31">
        <v>0.44336666666666663</v>
      </c>
      <c r="S31" t="s">
        <v>199</v>
      </c>
    </row>
    <row r="32" spans="3:19" x14ac:dyDescent="0.45">
      <c r="C32">
        <v>3.1164383561643836E-2</v>
      </c>
      <c r="D32">
        <v>4.021016168195643E-2</v>
      </c>
      <c r="E32" t="s">
        <v>29</v>
      </c>
      <c r="F32" t="s">
        <v>195</v>
      </c>
      <c r="H32" t="s">
        <v>196</v>
      </c>
      <c r="I32" t="s">
        <v>29</v>
      </c>
      <c r="L32" t="s">
        <v>197</v>
      </c>
      <c r="M32" t="s">
        <v>29</v>
      </c>
      <c r="N32">
        <v>0.14527102296474026</v>
      </c>
      <c r="P32">
        <v>2027</v>
      </c>
      <c r="Q32" t="s">
        <v>200</v>
      </c>
      <c r="R32">
        <v>0.5099999999999999</v>
      </c>
      <c r="S32" t="s">
        <v>199</v>
      </c>
    </row>
    <row r="33" spans="3:19" x14ac:dyDescent="0.45">
      <c r="C33">
        <v>3.1164383561643836E-2</v>
      </c>
      <c r="D33">
        <v>5.6107202346915949E-2</v>
      </c>
      <c r="E33" t="s">
        <v>30</v>
      </c>
      <c r="F33" t="s">
        <v>195</v>
      </c>
      <c r="H33" t="s">
        <v>196</v>
      </c>
      <c r="I33" t="s">
        <v>30</v>
      </c>
      <c r="L33" t="s">
        <v>197</v>
      </c>
      <c r="M33" t="s">
        <v>30</v>
      </c>
      <c r="N33">
        <v>0.16326920805553247</v>
      </c>
      <c r="P33">
        <v>2027</v>
      </c>
      <c r="Q33" t="s">
        <v>201</v>
      </c>
      <c r="R33">
        <v>0.55646666666666667</v>
      </c>
      <c r="S33" t="s">
        <v>199</v>
      </c>
    </row>
    <row r="34" spans="3:19" x14ac:dyDescent="0.45">
      <c r="C34">
        <v>3.1164383561643836E-2</v>
      </c>
      <c r="D34">
        <v>3.9818014568779057E-2</v>
      </c>
      <c r="E34" t="s">
        <v>31</v>
      </c>
      <c r="F34" t="s">
        <v>195</v>
      </c>
      <c r="H34" t="s">
        <v>196</v>
      </c>
      <c r="I34" t="s">
        <v>31</v>
      </c>
      <c r="L34" t="s">
        <v>197</v>
      </c>
      <c r="M34" t="s">
        <v>31</v>
      </c>
      <c r="N34">
        <v>0.17011294370900987</v>
      </c>
      <c r="P34">
        <v>2027</v>
      </c>
      <c r="Q34" t="s">
        <v>202</v>
      </c>
      <c r="R34">
        <v>0.46943333333333337</v>
      </c>
      <c r="S34" t="s">
        <v>199</v>
      </c>
    </row>
    <row r="35" spans="3:19" x14ac:dyDescent="0.45">
      <c r="H35" t="s">
        <v>203</v>
      </c>
      <c r="I35" t="s">
        <v>5</v>
      </c>
      <c r="P35">
        <v>2028</v>
      </c>
      <c r="Q35" t="s">
        <v>198</v>
      </c>
      <c r="R35">
        <v>0.44713333333333338</v>
      </c>
      <c r="S35" t="s">
        <v>199</v>
      </c>
    </row>
    <row r="36" spans="3:19" x14ac:dyDescent="0.45">
      <c r="H36" t="s">
        <v>203</v>
      </c>
      <c r="I36" t="s">
        <v>9</v>
      </c>
      <c r="P36">
        <v>2028</v>
      </c>
      <c r="Q36" t="s">
        <v>200</v>
      </c>
      <c r="R36">
        <v>0.5043333333333333</v>
      </c>
      <c r="S36" t="s">
        <v>199</v>
      </c>
    </row>
    <row r="37" spans="3:19" x14ac:dyDescent="0.45">
      <c r="H37" t="s">
        <v>203</v>
      </c>
      <c r="I37" t="s">
        <v>10</v>
      </c>
      <c r="P37">
        <v>2028</v>
      </c>
      <c r="Q37" t="s">
        <v>201</v>
      </c>
      <c r="R37">
        <v>0.54176666666666673</v>
      </c>
      <c r="S37" t="s">
        <v>199</v>
      </c>
    </row>
    <row r="38" spans="3:19" x14ac:dyDescent="0.45">
      <c r="H38" t="s">
        <v>203</v>
      </c>
      <c r="I38" t="s">
        <v>11</v>
      </c>
      <c r="P38">
        <v>2028</v>
      </c>
      <c r="Q38" t="s">
        <v>202</v>
      </c>
      <c r="R38">
        <v>0.45649999999999996</v>
      </c>
      <c r="S38" t="s">
        <v>199</v>
      </c>
    </row>
    <row r="39" spans="3:19" x14ac:dyDescent="0.45">
      <c r="H39" t="s">
        <v>203</v>
      </c>
      <c r="I39" t="s">
        <v>12</v>
      </c>
      <c r="P39">
        <v>2029</v>
      </c>
      <c r="Q39" t="s">
        <v>198</v>
      </c>
      <c r="R39">
        <v>0.44156666666666666</v>
      </c>
      <c r="S39" t="s">
        <v>199</v>
      </c>
    </row>
    <row r="40" spans="3:19" x14ac:dyDescent="0.45">
      <c r="H40" t="s">
        <v>203</v>
      </c>
      <c r="I40" t="s">
        <v>13</v>
      </c>
      <c r="P40">
        <v>2029</v>
      </c>
      <c r="Q40" t="s">
        <v>200</v>
      </c>
      <c r="R40">
        <v>0.52226666666666666</v>
      </c>
      <c r="S40" t="s">
        <v>199</v>
      </c>
    </row>
    <row r="41" spans="3:19" x14ac:dyDescent="0.45">
      <c r="H41" t="s">
        <v>203</v>
      </c>
      <c r="I41" t="s">
        <v>14</v>
      </c>
      <c r="P41">
        <v>2029</v>
      </c>
      <c r="Q41" t="s">
        <v>201</v>
      </c>
      <c r="R41">
        <v>0.52056666666666673</v>
      </c>
      <c r="S41" t="s">
        <v>199</v>
      </c>
    </row>
    <row r="42" spans="3:19" x14ac:dyDescent="0.45">
      <c r="H42" t="s">
        <v>203</v>
      </c>
      <c r="I42" t="s">
        <v>15</v>
      </c>
      <c r="P42">
        <v>2029</v>
      </c>
      <c r="Q42" t="s">
        <v>202</v>
      </c>
      <c r="R42">
        <v>0.40516666666666667</v>
      </c>
      <c r="S42" t="s">
        <v>199</v>
      </c>
    </row>
    <row r="43" spans="3:19" x14ac:dyDescent="0.45">
      <c r="H43" t="s">
        <v>203</v>
      </c>
      <c r="I43" t="s">
        <v>16</v>
      </c>
      <c r="P43">
        <v>2030</v>
      </c>
      <c r="Q43" t="s">
        <v>198</v>
      </c>
      <c r="R43">
        <v>0.47</v>
      </c>
      <c r="S43" t="s">
        <v>199</v>
      </c>
    </row>
    <row r="44" spans="3:19" x14ac:dyDescent="0.45">
      <c r="H44" t="s">
        <v>203</v>
      </c>
      <c r="I44" t="s">
        <v>17</v>
      </c>
      <c r="P44">
        <v>2030</v>
      </c>
      <c r="Q44" t="s">
        <v>200</v>
      </c>
      <c r="R44">
        <v>0.45413333333333333</v>
      </c>
      <c r="S44" t="s">
        <v>199</v>
      </c>
    </row>
    <row r="45" spans="3:19" x14ac:dyDescent="0.45">
      <c r="H45" t="s">
        <v>203</v>
      </c>
      <c r="I45" t="s">
        <v>18</v>
      </c>
      <c r="P45">
        <v>2030</v>
      </c>
      <c r="Q45" t="s">
        <v>201</v>
      </c>
      <c r="R45">
        <v>0.55076666666666663</v>
      </c>
      <c r="S45" t="s">
        <v>199</v>
      </c>
    </row>
    <row r="46" spans="3:19" x14ac:dyDescent="0.45">
      <c r="H46" t="s">
        <v>203</v>
      </c>
      <c r="I46" t="s">
        <v>19</v>
      </c>
      <c r="P46">
        <v>2030</v>
      </c>
      <c r="Q46" t="s">
        <v>202</v>
      </c>
      <c r="R46">
        <v>0.43619999999999998</v>
      </c>
      <c r="S46" t="s">
        <v>199</v>
      </c>
    </row>
    <row r="47" spans="3:19" x14ac:dyDescent="0.45">
      <c r="H47" t="s">
        <v>203</v>
      </c>
      <c r="I47" t="s">
        <v>20</v>
      </c>
      <c r="P47">
        <v>2031</v>
      </c>
      <c r="Q47" t="s">
        <v>198</v>
      </c>
      <c r="R47">
        <v>0.37006666666666671</v>
      </c>
      <c r="S47" t="s">
        <v>199</v>
      </c>
    </row>
    <row r="48" spans="3:19" x14ac:dyDescent="0.45">
      <c r="H48" t="s">
        <v>203</v>
      </c>
      <c r="I48" t="s">
        <v>21</v>
      </c>
      <c r="P48">
        <v>2031</v>
      </c>
      <c r="Q48" t="s">
        <v>200</v>
      </c>
      <c r="R48">
        <v>0.49006666666666671</v>
      </c>
      <c r="S48" t="s">
        <v>199</v>
      </c>
    </row>
    <row r="49" spans="8:19" x14ac:dyDescent="0.45">
      <c r="H49" t="s">
        <v>203</v>
      </c>
      <c r="I49" t="s">
        <v>22</v>
      </c>
      <c r="P49">
        <v>2031</v>
      </c>
      <c r="Q49" t="s">
        <v>201</v>
      </c>
      <c r="R49">
        <v>0.44060000000000005</v>
      </c>
      <c r="S49" t="s">
        <v>199</v>
      </c>
    </row>
    <row r="50" spans="8:19" x14ac:dyDescent="0.45">
      <c r="H50" t="s">
        <v>203</v>
      </c>
      <c r="I50" t="s">
        <v>23</v>
      </c>
      <c r="P50">
        <v>2031</v>
      </c>
      <c r="Q50" t="s">
        <v>202</v>
      </c>
      <c r="R50">
        <v>0.4161333333333333</v>
      </c>
      <c r="S50" t="s">
        <v>199</v>
      </c>
    </row>
    <row r="51" spans="8:19" x14ac:dyDescent="0.45">
      <c r="H51" t="s">
        <v>203</v>
      </c>
      <c r="I51" t="s">
        <v>24</v>
      </c>
      <c r="P51">
        <v>2032</v>
      </c>
      <c r="Q51" t="s">
        <v>198</v>
      </c>
      <c r="R51">
        <v>0.41799999999999998</v>
      </c>
      <c r="S51" t="s">
        <v>199</v>
      </c>
    </row>
    <row r="52" spans="8:19" x14ac:dyDescent="0.45">
      <c r="H52" t="s">
        <v>203</v>
      </c>
      <c r="I52" t="s">
        <v>25</v>
      </c>
      <c r="P52">
        <v>2032</v>
      </c>
      <c r="Q52" t="s">
        <v>200</v>
      </c>
      <c r="R52">
        <v>0.41819999999999996</v>
      </c>
      <c r="S52" t="s">
        <v>199</v>
      </c>
    </row>
    <row r="53" spans="8:19" x14ac:dyDescent="0.45">
      <c r="H53" t="s">
        <v>203</v>
      </c>
      <c r="I53" t="s">
        <v>26</v>
      </c>
      <c r="P53">
        <v>2032</v>
      </c>
      <c r="Q53" t="s">
        <v>201</v>
      </c>
      <c r="R53">
        <v>0.42060000000000003</v>
      </c>
      <c r="S53" t="s">
        <v>199</v>
      </c>
    </row>
    <row r="54" spans="8:19" x14ac:dyDescent="0.45">
      <c r="H54" t="s">
        <v>203</v>
      </c>
      <c r="I54" t="s">
        <v>27</v>
      </c>
      <c r="P54">
        <v>2032</v>
      </c>
      <c r="Q54" t="s">
        <v>202</v>
      </c>
      <c r="R54">
        <v>0.38443333333333335</v>
      </c>
      <c r="S54" t="s">
        <v>199</v>
      </c>
    </row>
    <row r="55" spans="8:19" x14ac:dyDescent="0.45">
      <c r="H55" t="s">
        <v>203</v>
      </c>
      <c r="I55" t="s">
        <v>28</v>
      </c>
      <c r="P55">
        <v>2033</v>
      </c>
      <c r="Q55" t="s">
        <v>198</v>
      </c>
      <c r="R55">
        <v>0.34626666666666667</v>
      </c>
      <c r="S55" t="s">
        <v>199</v>
      </c>
    </row>
    <row r="56" spans="8:19" x14ac:dyDescent="0.45">
      <c r="H56" t="s">
        <v>203</v>
      </c>
      <c r="I56" t="s">
        <v>29</v>
      </c>
      <c r="P56">
        <v>2033</v>
      </c>
      <c r="Q56" t="s">
        <v>200</v>
      </c>
      <c r="R56">
        <v>0.41183333333333333</v>
      </c>
      <c r="S56" t="s">
        <v>199</v>
      </c>
    </row>
    <row r="57" spans="8:19" x14ac:dyDescent="0.45">
      <c r="H57" t="s">
        <v>203</v>
      </c>
      <c r="I57" t="s">
        <v>30</v>
      </c>
      <c r="P57">
        <v>2033</v>
      </c>
      <c r="Q57" t="s">
        <v>201</v>
      </c>
      <c r="R57">
        <v>0.50356666666666661</v>
      </c>
      <c r="S57" t="s">
        <v>199</v>
      </c>
    </row>
    <row r="58" spans="8:19" x14ac:dyDescent="0.45">
      <c r="H58" t="s">
        <v>203</v>
      </c>
      <c r="I58" t="s">
        <v>31</v>
      </c>
      <c r="P58">
        <v>2033</v>
      </c>
      <c r="Q58" t="s">
        <v>202</v>
      </c>
      <c r="R58">
        <v>0.44053333333333339</v>
      </c>
      <c r="S58" t="s">
        <v>199</v>
      </c>
    </row>
    <row r="59" spans="8:19" x14ac:dyDescent="0.45">
      <c r="P59">
        <v>2034</v>
      </c>
      <c r="Q59" t="s">
        <v>198</v>
      </c>
      <c r="R59">
        <v>0.42603333333333332</v>
      </c>
      <c r="S59" t="s">
        <v>199</v>
      </c>
    </row>
    <row r="60" spans="8:19" x14ac:dyDescent="0.45">
      <c r="P60">
        <v>2034</v>
      </c>
      <c r="Q60" t="s">
        <v>200</v>
      </c>
      <c r="R60">
        <v>0.50266666666666671</v>
      </c>
      <c r="S60" t="s">
        <v>199</v>
      </c>
    </row>
    <row r="61" spans="8:19" x14ac:dyDescent="0.45">
      <c r="P61">
        <v>2034</v>
      </c>
      <c r="Q61" t="s">
        <v>201</v>
      </c>
      <c r="R61">
        <v>0.46906666666666669</v>
      </c>
      <c r="S61" t="s">
        <v>199</v>
      </c>
    </row>
    <row r="62" spans="8:19" x14ac:dyDescent="0.45">
      <c r="P62">
        <v>2034</v>
      </c>
      <c r="Q62" t="s">
        <v>202</v>
      </c>
      <c r="R62">
        <v>0.4237333333333333</v>
      </c>
      <c r="S62" t="s">
        <v>199</v>
      </c>
    </row>
    <row r="63" spans="8:19" x14ac:dyDescent="0.45">
      <c r="P63">
        <v>2035</v>
      </c>
      <c r="Q63" t="s">
        <v>198</v>
      </c>
      <c r="R63">
        <v>0.43080000000000002</v>
      </c>
      <c r="S63" t="s">
        <v>199</v>
      </c>
    </row>
    <row r="64" spans="8:19" x14ac:dyDescent="0.45">
      <c r="P64">
        <v>2035</v>
      </c>
      <c r="Q64" t="s">
        <v>200</v>
      </c>
      <c r="R64">
        <v>0.55490000000000006</v>
      </c>
      <c r="S64" t="s">
        <v>199</v>
      </c>
    </row>
    <row r="65" spans="16:19" x14ac:dyDescent="0.45">
      <c r="P65">
        <v>2035</v>
      </c>
      <c r="Q65" t="s">
        <v>201</v>
      </c>
      <c r="R65">
        <v>0.60910000000000009</v>
      </c>
      <c r="S65" t="s">
        <v>199</v>
      </c>
    </row>
    <row r="66" spans="16:19" x14ac:dyDescent="0.45">
      <c r="P66">
        <v>2035</v>
      </c>
      <c r="Q66" t="s">
        <v>202</v>
      </c>
      <c r="R66">
        <v>0.41943333333333332</v>
      </c>
      <c r="S66" t="s">
        <v>199</v>
      </c>
    </row>
    <row r="67" spans="16:19" x14ac:dyDescent="0.45">
      <c r="P67">
        <v>2036</v>
      </c>
      <c r="Q67" t="s">
        <v>198</v>
      </c>
      <c r="R67">
        <v>0.43836666666666674</v>
      </c>
      <c r="S67" t="s">
        <v>199</v>
      </c>
    </row>
    <row r="68" spans="16:19" x14ac:dyDescent="0.45">
      <c r="P68">
        <v>2036</v>
      </c>
      <c r="Q68" t="s">
        <v>200</v>
      </c>
      <c r="R68">
        <v>0.50073333333333336</v>
      </c>
      <c r="S68" t="s">
        <v>199</v>
      </c>
    </row>
    <row r="69" spans="16:19" x14ac:dyDescent="0.45">
      <c r="P69">
        <v>2036</v>
      </c>
      <c r="Q69" t="s">
        <v>201</v>
      </c>
      <c r="R69">
        <v>0.56240000000000001</v>
      </c>
      <c r="S69" t="s">
        <v>199</v>
      </c>
    </row>
    <row r="70" spans="16:19" x14ac:dyDescent="0.45">
      <c r="P70">
        <v>2036</v>
      </c>
      <c r="Q70" t="s">
        <v>202</v>
      </c>
      <c r="R70">
        <v>0.41840000000000005</v>
      </c>
      <c r="S70" t="s">
        <v>199</v>
      </c>
    </row>
    <row r="71" spans="16:19" x14ac:dyDescent="0.45">
      <c r="P71">
        <v>2037</v>
      </c>
      <c r="Q71" t="s">
        <v>198</v>
      </c>
      <c r="R71">
        <v>0.44306666666666666</v>
      </c>
      <c r="S71" t="s">
        <v>199</v>
      </c>
    </row>
    <row r="72" spans="16:19" x14ac:dyDescent="0.45">
      <c r="P72">
        <v>2037</v>
      </c>
      <c r="Q72" t="s">
        <v>200</v>
      </c>
      <c r="R72">
        <v>0.48740000000000006</v>
      </c>
      <c r="S72" t="s">
        <v>199</v>
      </c>
    </row>
    <row r="73" spans="16:19" x14ac:dyDescent="0.45">
      <c r="P73">
        <v>2037</v>
      </c>
      <c r="Q73" t="s">
        <v>201</v>
      </c>
      <c r="R73">
        <v>0.5427333333333334</v>
      </c>
      <c r="S73" t="s">
        <v>199</v>
      </c>
    </row>
    <row r="74" spans="16:19" x14ac:dyDescent="0.45">
      <c r="P74">
        <v>2037</v>
      </c>
      <c r="Q74" t="s">
        <v>202</v>
      </c>
      <c r="R74">
        <v>0.46776666666666666</v>
      </c>
      <c r="S74" t="s">
        <v>199</v>
      </c>
    </row>
    <row r="75" spans="16:19" x14ac:dyDescent="0.45">
      <c r="P75">
        <v>2038</v>
      </c>
      <c r="Q75" t="s">
        <v>198</v>
      </c>
      <c r="R75">
        <v>0.42229999999999995</v>
      </c>
      <c r="S75" t="s">
        <v>199</v>
      </c>
    </row>
    <row r="76" spans="16:19" x14ac:dyDescent="0.45">
      <c r="P76">
        <v>2038</v>
      </c>
      <c r="Q76" t="s">
        <v>200</v>
      </c>
      <c r="R76">
        <v>0.48636666666666661</v>
      </c>
      <c r="S76" t="s">
        <v>199</v>
      </c>
    </row>
    <row r="77" spans="16:19" x14ac:dyDescent="0.45">
      <c r="P77">
        <v>2038</v>
      </c>
      <c r="Q77" t="s">
        <v>201</v>
      </c>
      <c r="R77">
        <v>0.52033333333333331</v>
      </c>
      <c r="S77" t="s">
        <v>199</v>
      </c>
    </row>
    <row r="78" spans="16:19" x14ac:dyDescent="0.45">
      <c r="P78">
        <v>2038</v>
      </c>
      <c r="Q78" t="s">
        <v>202</v>
      </c>
      <c r="R78">
        <v>0.46806666666666663</v>
      </c>
      <c r="S78" t="s">
        <v>199</v>
      </c>
    </row>
    <row r="79" spans="16:19" x14ac:dyDescent="0.45">
      <c r="P79">
        <v>2039</v>
      </c>
      <c r="Q79" t="s">
        <v>198</v>
      </c>
      <c r="R79">
        <v>0.46006666666666668</v>
      </c>
      <c r="S79" t="s">
        <v>199</v>
      </c>
    </row>
    <row r="80" spans="16:19" x14ac:dyDescent="0.45">
      <c r="P80">
        <v>2039</v>
      </c>
      <c r="Q80" t="s">
        <v>200</v>
      </c>
      <c r="R80">
        <v>0.49689999999999995</v>
      </c>
      <c r="S80" t="s">
        <v>199</v>
      </c>
    </row>
    <row r="81" spans="16:19" x14ac:dyDescent="0.45">
      <c r="P81">
        <v>2039</v>
      </c>
      <c r="Q81" t="s">
        <v>201</v>
      </c>
      <c r="R81">
        <v>0.65636666666666665</v>
      </c>
      <c r="S81" t="s">
        <v>199</v>
      </c>
    </row>
    <row r="82" spans="16:19" x14ac:dyDescent="0.45">
      <c r="P82">
        <v>2039</v>
      </c>
      <c r="Q82" t="s">
        <v>202</v>
      </c>
      <c r="R82">
        <v>0.50823333333333331</v>
      </c>
      <c r="S82" t="s">
        <v>199</v>
      </c>
    </row>
    <row r="83" spans="16:19" x14ac:dyDescent="0.45">
      <c r="P83">
        <v>2040</v>
      </c>
      <c r="Q83" t="s">
        <v>198</v>
      </c>
      <c r="R83">
        <v>0.47763333333333335</v>
      </c>
      <c r="S83" t="s">
        <v>199</v>
      </c>
    </row>
    <row r="84" spans="16:19" x14ac:dyDescent="0.45">
      <c r="P84">
        <v>2040</v>
      </c>
      <c r="Q84" t="s">
        <v>200</v>
      </c>
      <c r="R84">
        <v>0.46416666666666662</v>
      </c>
      <c r="S84" t="s">
        <v>199</v>
      </c>
    </row>
    <row r="85" spans="16:19" x14ac:dyDescent="0.45">
      <c r="P85">
        <v>2040</v>
      </c>
      <c r="Q85" t="s">
        <v>201</v>
      </c>
      <c r="R85">
        <v>0.57736666666666669</v>
      </c>
      <c r="S85" t="s">
        <v>199</v>
      </c>
    </row>
    <row r="86" spans="16:19" x14ac:dyDescent="0.45">
      <c r="P86">
        <v>2040</v>
      </c>
      <c r="Q86" t="s">
        <v>202</v>
      </c>
      <c r="R86">
        <v>0.50240000000000007</v>
      </c>
      <c r="S86" t="s">
        <v>199</v>
      </c>
    </row>
    <row r="87" spans="16:19" x14ac:dyDescent="0.45">
      <c r="P87">
        <v>2041</v>
      </c>
      <c r="Q87" t="s">
        <v>198</v>
      </c>
      <c r="R87">
        <v>0.46629999999999999</v>
      </c>
      <c r="S87" t="s">
        <v>199</v>
      </c>
    </row>
    <row r="88" spans="16:19" x14ac:dyDescent="0.45">
      <c r="P88">
        <v>2041</v>
      </c>
      <c r="Q88" t="s">
        <v>200</v>
      </c>
      <c r="R88">
        <v>0.58306666666666673</v>
      </c>
      <c r="S88" t="s">
        <v>199</v>
      </c>
    </row>
    <row r="89" spans="16:19" x14ac:dyDescent="0.45">
      <c r="P89">
        <v>2041</v>
      </c>
      <c r="Q89" t="s">
        <v>201</v>
      </c>
      <c r="R89">
        <v>0.55956666666666666</v>
      </c>
      <c r="S89" t="s">
        <v>199</v>
      </c>
    </row>
    <row r="90" spans="16:19" x14ac:dyDescent="0.45">
      <c r="P90">
        <v>2041</v>
      </c>
      <c r="Q90" t="s">
        <v>202</v>
      </c>
      <c r="R90">
        <v>0.42409999999999998</v>
      </c>
      <c r="S90" t="s">
        <v>199</v>
      </c>
    </row>
    <row r="91" spans="16:19" x14ac:dyDescent="0.45">
      <c r="P91">
        <v>2042</v>
      </c>
      <c r="Q91" t="s">
        <v>198</v>
      </c>
      <c r="R91">
        <v>0.50126666666666664</v>
      </c>
      <c r="S91" t="s">
        <v>199</v>
      </c>
    </row>
    <row r="92" spans="16:19" x14ac:dyDescent="0.45">
      <c r="P92">
        <v>2042</v>
      </c>
      <c r="Q92" t="s">
        <v>200</v>
      </c>
      <c r="R92">
        <v>0.51936666666666664</v>
      </c>
      <c r="S92" t="s">
        <v>199</v>
      </c>
    </row>
    <row r="93" spans="16:19" x14ac:dyDescent="0.45">
      <c r="P93">
        <v>2042</v>
      </c>
      <c r="Q93" t="s">
        <v>201</v>
      </c>
      <c r="R93">
        <v>0.55123333333333335</v>
      </c>
      <c r="S93" t="s">
        <v>199</v>
      </c>
    </row>
    <row r="94" spans="16:19" x14ac:dyDescent="0.45">
      <c r="P94">
        <v>2042</v>
      </c>
      <c r="Q94" t="s">
        <v>202</v>
      </c>
      <c r="R94">
        <v>0.47649999999999998</v>
      </c>
      <c r="S94" t="s">
        <v>199</v>
      </c>
    </row>
    <row r="95" spans="16:19" x14ac:dyDescent="0.45">
      <c r="P95">
        <v>2043</v>
      </c>
      <c r="Q95" t="s">
        <v>198</v>
      </c>
      <c r="R95">
        <v>0.44313333333333332</v>
      </c>
      <c r="S95" t="s">
        <v>199</v>
      </c>
    </row>
    <row r="96" spans="16:19" x14ac:dyDescent="0.45">
      <c r="P96">
        <v>2043</v>
      </c>
      <c r="Q96" t="s">
        <v>200</v>
      </c>
      <c r="R96">
        <v>0.46799999999999997</v>
      </c>
      <c r="S96" t="s">
        <v>199</v>
      </c>
    </row>
    <row r="97" spans="16:19" x14ac:dyDescent="0.45">
      <c r="P97">
        <v>2043</v>
      </c>
      <c r="Q97" t="s">
        <v>201</v>
      </c>
      <c r="R97">
        <v>0.49310000000000009</v>
      </c>
      <c r="S97" t="s">
        <v>199</v>
      </c>
    </row>
    <row r="98" spans="16:19" x14ac:dyDescent="0.45">
      <c r="P98">
        <v>2043</v>
      </c>
      <c r="Q98" t="s">
        <v>202</v>
      </c>
      <c r="R98">
        <v>0.37753333333333333</v>
      </c>
      <c r="S98" t="s">
        <v>199</v>
      </c>
    </row>
    <row r="99" spans="16:19" x14ac:dyDescent="0.45">
      <c r="P99">
        <v>2044</v>
      </c>
      <c r="Q99" t="s">
        <v>198</v>
      </c>
      <c r="R99">
        <v>0.47313333333333335</v>
      </c>
      <c r="S99" t="s">
        <v>199</v>
      </c>
    </row>
    <row r="100" spans="16:19" x14ac:dyDescent="0.45">
      <c r="P100">
        <v>2044</v>
      </c>
      <c r="Q100" t="s">
        <v>200</v>
      </c>
      <c r="R100">
        <v>0.4930666666666666</v>
      </c>
      <c r="S100" t="s">
        <v>199</v>
      </c>
    </row>
    <row r="101" spans="16:19" x14ac:dyDescent="0.45">
      <c r="P101">
        <v>2044</v>
      </c>
      <c r="Q101" t="s">
        <v>201</v>
      </c>
      <c r="R101">
        <v>0.5903666666666666</v>
      </c>
      <c r="S101" t="s">
        <v>199</v>
      </c>
    </row>
    <row r="102" spans="16:19" x14ac:dyDescent="0.45">
      <c r="P102">
        <v>2044</v>
      </c>
      <c r="Q102" t="s">
        <v>202</v>
      </c>
      <c r="R102">
        <v>0.43323333333333336</v>
      </c>
      <c r="S102" t="s">
        <v>199</v>
      </c>
    </row>
    <row r="103" spans="16:19" x14ac:dyDescent="0.45">
      <c r="P103">
        <v>2045</v>
      </c>
      <c r="Q103" t="s">
        <v>198</v>
      </c>
      <c r="R103">
        <v>0.33493333333333336</v>
      </c>
      <c r="S103" t="s">
        <v>199</v>
      </c>
    </row>
    <row r="104" spans="16:19" x14ac:dyDescent="0.45">
      <c r="P104">
        <v>2045</v>
      </c>
      <c r="Q104" t="s">
        <v>200</v>
      </c>
      <c r="R104">
        <v>0.41310000000000002</v>
      </c>
      <c r="S104" t="s">
        <v>199</v>
      </c>
    </row>
    <row r="105" spans="16:19" x14ac:dyDescent="0.45">
      <c r="P105">
        <v>2045</v>
      </c>
      <c r="Q105" t="s">
        <v>201</v>
      </c>
      <c r="R105">
        <v>0.40243333333333337</v>
      </c>
      <c r="S105" t="s">
        <v>199</v>
      </c>
    </row>
    <row r="106" spans="16:19" x14ac:dyDescent="0.45">
      <c r="P106">
        <v>2045</v>
      </c>
      <c r="Q106" t="s">
        <v>202</v>
      </c>
      <c r="R106">
        <v>0.28946666666666671</v>
      </c>
      <c r="S106" t="s">
        <v>199</v>
      </c>
    </row>
    <row r="107" spans="16:19" x14ac:dyDescent="0.45">
      <c r="P107">
        <v>2046</v>
      </c>
      <c r="Q107" t="s">
        <v>198</v>
      </c>
      <c r="R107">
        <v>0.36099999999999999</v>
      </c>
      <c r="S107" t="s">
        <v>199</v>
      </c>
    </row>
    <row r="108" spans="16:19" x14ac:dyDescent="0.45">
      <c r="P108">
        <v>2046</v>
      </c>
      <c r="Q108" t="s">
        <v>200</v>
      </c>
      <c r="R108">
        <v>0.38506666666666667</v>
      </c>
      <c r="S108" t="s">
        <v>199</v>
      </c>
    </row>
    <row r="109" spans="16:19" x14ac:dyDescent="0.45">
      <c r="P109">
        <v>2046</v>
      </c>
      <c r="Q109" t="s">
        <v>201</v>
      </c>
      <c r="R109">
        <v>0.39926666666666666</v>
      </c>
      <c r="S109" t="s">
        <v>199</v>
      </c>
    </row>
    <row r="110" spans="16:19" x14ac:dyDescent="0.45">
      <c r="P110">
        <v>2046</v>
      </c>
      <c r="Q110" t="s">
        <v>202</v>
      </c>
      <c r="R110">
        <v>0.32676666666666665</v>
      </c>
      <c r="S110" t="s">
        <v>199</v>
      </c>
    </row>
    <row r="111" spans="16:19" x14ac:dyDescent="0.45">
      <c r="P111">
        <v>2047</v>
      </c>
      <c r="Q111" t="s">
        <v>198</v>
      </c>
      <c r="R111">
        <v>0.33713333333333334</v>
      </c>
      <c r="S111" t="s">
        <v>199</v>
      </c>
    </row>
    <row r="112" spans="16:19" x14ac:dyDescent="0.45">
      <c r="P112">
        <v>2047</v>
      </c>
      <c r="Q112" t="s">
        <v>200</v>
      </c>
      <c r="R112">
        <v>0.47839999999999999</v>
      </c>
      <c r="S112" t="s">
        <v>199</v>
      </c>
    </row>
    <row r="113" spans="16:19" x14ac:dyDescent="0.45">
      <c r="P113">
        <v>2047</v>
      </c>
      <c r="Q113" t="s">
        <v>201</v>
      </c>
      <c r="R113">
        <v>0.42959999999999998</v>
      </c>
      <c r="S113" t="s">
        <v>199</v>
      </c>
    </row>
    <row r="114" spans="16:19" x14ac:dyDescent="0.45">
      <c r="P114">
        <v>2047</v>
      </c>
      <c r="Q114" t="s">
        <v>202</v>
      </c>
      <c r="R114">
        <v>0.35446666666666671</v>
      </c>
      <c r="S114" t="s">
        <v>199</v>
      </c>
    </row>
    <row r="115" spans="16:19" x14ac:dyDescent="0.45">
      <c r="P115">
        <v>2048</v>
      </c>
      <c r="Q115" t="s">
        <v>198</v>
      </c>
      <c r="R115">
        <v>0.33816666666666667</v>
      </c>
      <c r="S115" t="s">
        <v>199</v>
      </c>
    </row>
    <row r="116" spans="16:19" x14ac:dyDescent="0.45">
      <c r="P116">
        <v>2048</v>
      </c>
      <c r="Q116" t="s">
        <v>200</v>
      </c>
      <c r="R116">
        <v>0.43759999999999999</v>
      </c>
      <c r="S116" t="s">
        <v>199</v>
      </c>
    </row>
    <row r="117" spans="16:19" x14ac:dyDescent="0.45">
      <c r="P117">
        <v>2048</v>
      </c>
      <c r="Q117" t="s">
        <v>201</v>
      </c>
      <c r="R117">
        <v>0.43633333333333341</v>
      </c>
      <c r="S117" t="s">
        <v>199</v>
      </c>
    </row>
    <row r="118" spans="16:19" x14ac:dyDescent="0.45">
      <c r="P118">
        <v>2048</v>
      </c>
      <c r="Q118" t="s">
        <v>202</v>
      </c>
      <c r="R118">
        <v>0.34786666666666671</v>
      </c>
      <c r="S118" t="s">
        <v>199</v>
      </c>
    </row>
    <row r="119" spans="16:19" x14ac:dyDescent="0.45">
      <c r="P119">
        <v>2049</v>
      </c>
      <c r="Q119" t="s">
        <v>198</v>
      </c>
      <c r="R119">
        <v>0.34460000000000002</v>
      </c>
      <c r="S119" t="s">
        <v>199</v>
      </c>
    </row>
    <row r="120" spans="16:19" x14ac:dyDescent="0.45">
      <c r="P120">
        <v>2049</v>
      </c>
      <c r="Q120" t="s">
        <v>200</v>
      </c>
      <c r="R120">
        <v>0.40759999999999996</v>
      </c>
      <c r="S120" t="s">
        <v>199</v>
      </c>
    </row>
    <row r="121" spans="16:19" x14ac:dyDescent="0.45">
      <c r="P121">
        <v>2049</v>
      </c>
      <c r="Q121" t="s">
        <v>201</v>
      </c>
      <c r="R121">
        <v>0.41073333333333334</v>
      </c>
      <c r="S121" t="s">
        <v>199</v>
      </c>
    </row>
    <row r="122" spans="16:19" x14ac:dyDescent="0.45">
      <c r="P122">
        <v>2049</v>
      </c>
      <c r="Q122" t="s">
        <v>202</v>
      </c>
      <c r="R122">
        <v>0.36756666666666665</v>
      </c>
      <c r="S122" t="s">
        <v>199</v>
      </c>
    </row>
    <row r="123" spans="16:19" x14ac:dyDescent="0.45">
      <c r="P123">
        <v>2050</v>
      </c>
      <c r="Q123" t="s">
        <v>198</v>
      </c>
      <c r="R123">
        <v>0.38023333333333326</v>
      </c>
      <c r="S123" t="s">
        <v>199</v>
      </c>
    </row>
    <row r="124" spans="16:19" x14ac:dyDescent="0.45">
      <c r="P124">
        <v>2050</v>
      </c>
      <c r="Q124" t="s">
        <v>200</v>
      </c>
      <c r="R124">
        <v>0.4415</v>
      </c>
      <c r="S124" t="s">
        <v>199</v>
      </c>
    </row>
    <row r="125" spans="16:19" x14ac:dyDescent="0.45">
      <c r="P125">
        <v>2050</v>
      </c>
      <c r="Q125" t="s">
        <v>201</v>
      </c>
      <c r="R125">
        <v>0.46733333333333332</v>
      </c>
      <c r="S125" t="s">
        <v>199</v>
      </c>
    </row>
    <row r="126" spans="16:19" x14ac:dyDescent="0.45">
      <c r="P126">
        <v>2050</v>
      </c>
      <c r="Q126" t="s">
        <v>202</v>
      </c>
      <c r="R126">
        <v>0.36506666666666665</v>
      </c>
      <c r="S126" t="s">
        <v>199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ABA8B-13A9-40CE-8002-284D4CBAFF10}">
  <dimension ref="B9:J250"/>
  <sheetViews>
    <sheetView workbookViewId="0"/>
  </sheetViews>
  <sheetFormatPr defaultRowHeight="14.25" x14ac:dyDescent="0.45"/>
  <sheetData>
    <row r="9" spans="2:10" x14ac:dyDescent="0.45">
      <c r="B9" t="str">
        <f>IF(A11="x","DeActivated","~TFM_DINS-AT: region=CHE")</f>
        <v>~TFM_DINS-AT: region=CHE</v>
      </c>
      <c r="G9" t="str">
        <f>IF(A11="x","DeActivated","~TFM_DINS-AT: region=CHE")</f>
        <v>~TFM_DINS-AT: region=CHE</v>
      </c>
    </row>
    <row r="10" spans="2:10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</row>
    <row r="11" spans="2:10" x14ac:dyDescent="0.45">
      <c r="B11" t="s">
        <v>506</v>
      </c>
      <c r="C11" t="s">
        <v>5</v>
      </c>
      <c r="D11">
        <v>0</v>
      </c>
      <c r="E11" t="s">
        <v>6</v>
      </c>
      <c r="G11" t="s">
        <v>507</v>
      </c>
      <c r="H11" t="s">
        <v>5</v>
      </c>
      <c r="I11">
        <v>0.10932209612492826</v>
      </c>
      <c r="J11" t="s">
        <v>6</v>
      </c>
    </row>
    <row r="12" spans="2:10" x14ac:dyDescent="0.45">
      <c r="B12" t="s">
        <v>506</v>
      </c>
      <c r="C12" t="s">
        <v>9</v>
      </c>
      <c r="D12">
        <v>1.8331751578592448E-4</v>
      </c>
      <c r="E12" t="s">
        <v>6</v>
      </c>
      <c r="G12" t="s">
        <v>507</v>
      </c>
      <c r="H12" t="s">
        <v>9</v>
      </c>
      <c r="I12">
        <v>5.153308203877139E-2</v>
      </c>
      <c r="J12" t="s">
        <v>6</v>
      </c>
    </row>
    <row r="13" spans="2:10" x14ac:dyDescent="0.45">
      <c r="B13" t="s">
        <v>506</v>
      </c>
      <c r="C13" t="s">
        <v>10</v>
      </c>
      <c r="D13">
        <v>4.2017047446448227E-2</v>
      </c>
      <c r="E13" t="s">
        <v>6</v>
      </c>
      <c r="G13" t="s">
        <v>507</v>
      </c>
      <c r="H13" t="s">
        <v>10</v>
      </c>
      <c r="I13">
        <v>3.374077715621536E-2</v>
      </c>
      <c r="J13" t="s">
        <v>6</v>
      </c>
    </row>
    <row r="14" spans="2:10" x14ac:dyDescent="0.45">
      <c r="B14" t="s">
        <v>506</v>
      </c>
      <c r="C14" t="s">
        <v>11</v>
      </c>
      <c r="D14">
        <v>9.2687046092033237E-2</v>
      </c>
      <c r="E14" t="s">
        <v>6</v>
      </c>
      <c r="G14" t="s">
        <v>507</v>
      </c>
      <c r="H14" t="s">
        <v>11</v>
      </c>
      <c r="I14">
        <v>2.9951740039821952E-2</v>
      </c>
      <c r="J14" t="s">
        <v>6</v>
      </c>
    </row>
    <row r="15" spans="2:10" x14ac:dyDescent="0.45">
      <c r="B15" t="s">
        <v>506</v>
      </c>
      <c r="C15" t="s">
        <v>12</v>
      </c>
      <c r="D15">
        <v>4.6872969010266052E-2</v>
      </c>
      <c r="E15" t="s">
        <v>6</v>
      </c>
      <c r="G15" t="s">
        <v>507</v>
      </c>
      <c r="H15" t="s">
        <v>12</v>
      </c>
      <c r="I15">
        <v>3.7459304607572318E-2</v>
      </c>
      <c r="J15" t="s">
        <v>6</v>
      </c>
    </row>
    <row r="16" spans="2:10" x14ac:dyDescent="0.45">
      <c r="B16" t="s">
        <v>506</v>
      </c>
      <c r="C16" t="s">
        <v>13</v>
      </c>
      <c r="D16">
        <v>9.2621926413304643E-4</v>
      </c>
      <c r="E16" t="s">
        <v>6</v>
      </c>
      <c r="G16" t="s">
        <v>507</v>
      </c>
      <c r="H16" t="s">
        <v>13</v>
      </c>
      <c r="I16">
        <v>4.3611001498174443E-2</v>
      </c>
      <c r="J16" t="s">
        <v>6</v>
      </c>
    </row>
    <row r="17" spans="2:10" x14ac:dyDescent="0.45">
      <c r="B17" t="s">
        <v>506</v>
      </c>
      <c r="C17" t="s">
        <v>14</v>
      </c>
      <c r="D17">
        <v>0</v>
      </c>
      <c r="E17" t="s">
        <v>6</v>
      </c>
      <c r="G17" t="s">
        <v>507</v>
      </c>
      <c r="H17" t="s">
        <v>14</v>
      </c>
      <c r="I17">
        <v>6.9446447199930719E-2</v>
      </c>
      <c r="J17" t="s">
        <v>6</v>
      </c>
    </row>
    <row r="18" spans="2:10" x14ac:dyDescent="0.45">
      <c r="B18" t="s">
        <v>506</v>
      </c>
      <c r="C18" t="s">
        <v>15</v>
      </c>
      <c r="D18">
        <v>1.056105918752975E-2</v>
      </c>
      <c r="E18" t="s">
        <v>6</v>
      </c>
      <c r="G18" t="s">
        <v>507</v>
      </c>
      <c r="H18" t="s">
        <v>15</v>
      </c>
      <c r="I18">
        <v>3.0715274552035727E-2</v>
      </c>
      <c r="J18" t="s">
        <v>6</v>
      </c>
    </row>
    <row r="19" spans="2:10" x14ac:dyDescent="0.45">
      <c r="B19" t="s">
        <v>506</v>
      </c>
      <c r="C19" t="s">
        <v>16</v>
      </c>
      <c r="D19">
        <v>7.8289236094856288E-2</v>
      </c>
      <c r="E19" t="s">
        <v>6</v>
      </c>
      <c r="G19" t="s">
        <v>507</v>
      </c>
      <c r="H19" t="s">
        <v>16</v>
      </c>
      <c r="I19">
        <v>2.2052757941446489E-2</v>
      </c>
      <c r="J19" t="s">
        <v>6</v>
      </c>
    </row>
    <row r="20" spans="2:10" x14ac:dyDescent="0.45">
      <c r="B20" t="s">
        <v>506</v>
      </c>
      <c r="C20" t="s">
        <v>17</v>
      </c>
      <c r="D20">
        <v>0.11246630343050394</v>
      </c>
      <c r="E20" t="s">
        <v>6</v>
      </c>
      <c r="G20" t="s">
        <v>507</v>
      </c>
      <c r="H20" t="s">
        <v>17</v>
      </c>
      <c r="I20">
        <v>2.6597745311958052E-2</v>
      </c>
      <c r="J20" t="s">
        <v>6</v>
      </c>
    </row>
    <row r="21" spans="2:10" x14ac:dyDescent="0.45">
      <c r="B21" t="s">
        <v>506</v>
      </c>
      <c r="C21" t="s">
        <v>18</v>
      </c>
      <c r="D21">
        <v>7.2615105690372619E-2</v>
      </c>
      <c r="E21" t="s">
        <v>6</v>
      </c>
      <c r="G21" t="s">
        <v>507</v>
      </c>
      <c r="H21" t="s">
        <v>18</v>
      </c>
      <c r="I21">
        <v>3.0869675846100453E-2</v>
      </c>
      <c r="J21" t="s">
        <v>6</v>
      </c>
    </row>
    <row r="22" spans="2:10" x14ac:dyDescent="0.45">
      <c r="B22" t="s">
        <v>506</v>
      </c>
      <c r="C22" t="s">
        <v>19</v>
      </c>
      <c r="D22">
        <v>9.8067263332028524E-3</v>
      </c>
      <c r="E22" t="s">
        <v>6</v>
      </c>
      <c r="G22" t="s">
        <v>507</v>
      </c>
      <c r="H22" t="s">
        <v>19</v>
      </c>
      <c r="I22">
        <v>2.7629840229983577E-2</v>
      </c>
      <c r="J22" t="s">
        <v>6</v>
      </c>
    </row>
    <row r="23" spans="2:10" x14ac:dyDescent="0.45">
      <c r="B23" t="s">
        <v>506</v>
      </c>
      <c r="C23" t="s">
        <v>20</v>
      </c>
      <c r="D23">
        <v>0</v>
      </c>
      <c r="E23" t="s">
        <v>6</v>
      </c>
      <c r="G23" t="s">
        <v>507</v>
      </c>
      <c r="H23" t="s">
        <v>20</v>
      </c>
      <c r="I23">
        <v>5.0653486380150319E-2</v>
      </c>
      <c r="J23" t="s">
        <v>6</v>
      </c>
    </row>
    <row r="24" spans="2:10" x14ac:dyDescent="0.45">
      <c r="B24" t="s">
        <v>506</v>
      </c>
      <c r="C24" t="s">
        <v>21</v>
      </c>
      <c r="D24">
        <v>1.6735098945133076E-2</v>
      </c>
      <c r="E24" t="s">
        <v>6</v>
      </c>
      <c r="G24" t="s">
        <v>507</v>
      </c>
      <c r="H24" t="s">
        <v>21</v>
      </c>
      <c r="I24">
        <v>1.8760344692721084E-2</v>
      </c>
      <c r="J24" t="s">
        <v>6</v>
      </c>
    </row>
    <row r="25" spans="2:10" x14ac:dyDescent="0.45">
      <c r="B25" t="s">
        <v>506</v>
      </c>
      <c r="C25" t="s">
        <v>22</v>
      </c>
      <c r="D25">
        <v>9.0808767323545439E-2</v>
      </c>
      <c r="E25" t="s">
        <v>6</v>
      </c>
      <c r="G25" t="s">
        <v>507</v>
      </c>
      <c r="H25" t="s">
        <v>22</v>
      </c>
      <c r="I25">
        <v>1.2510080714092446E-2</v>
      </c>
      <c r="J25" t="s">
        <v>6</v>
      </c>
    </row>
    <row r="26" spans="2:10" x14ac:dyDescent="0.45">
      <c r="B26" t="s">
        <v>506</v>
      </c>
      <c r="C26" t="s">
        <v>23</v>
      </c>
      <c r="D26">
        <v>0.12236855664684546</v>
      </c>
      <c r="E26" t="s">
        <v>6</v>
      </c>
      <c r="G26" t="s">
        <v>507</v>
      </c>
      <c r="H26" t="s">
        <v>23</v>
      </c>
      <c r="I26">
        <v>1.5943305392795662E-2</v>
      </c>
      <c r="J26" t="s">
        <v>6</v>
      </c>
    </row>
    <row r="27" spans="2:10" x14ac:dyDescent="0.45">
      <c r="B27" t="s">
        <v>506</v>
      </c>
      <c r="C27" t="s">
        <v>24</v>
      </c>
      <c r="D27">
        <v>8.4640642952644077E-2</v>
      </c>
      <c r="E27" t="s">
        <v>6</v>
      </c>
      <c r="G27" t="s">
        <v>507</v>
      </c>
      <c r="H27" t="s">
        <v>24</v>
      </c>
      <c r="I27">
        <v>2.1612160600434333E-2</v>
      </c>
      <c r="J27" t="s">
        <v>6</v>
      </c>
    </row>
    <row r="28" spans="2:10" x14ac:dyDescent="0.45">
      <c r="B28" t="s">
        <v>506</v>
      </c>
      <c r="C28" t="s">
        <v>25</v>
      </c>
      <c r="D28">
        <v>1.6699214616885557E-2</v>
      </c>
      <c r="E28" t="s">
        <v>6</v>
      </c>
      <c r="G28" t="s">
        <v>507</v>
      </c>
      <c r="H28" t="s">
        <v>25</v>
      </c>
      <c r="I28">
        <v>2.0435456852289278E-2</v>
      </c>
      <c r="J28" t="s">
        <v>6</v>
      </c>
    </row>
    <row r="29" spans="2:10" x14ac:dyDescent="0.45">
      <c r="B29" t="s">
        <v>506</v>
      </c>
      <c r="C29" t="s">
        <v>26</v>
      </c>
      <c r="D29">
        <v>0</v>
      </c>
      <c r="E29" t="s">
        <v>6</v>
      </c>
      <c r="G29" t="s">
        <v>507</v>
      </c>
      <c r="H29" t="s">
        <v>26</v>
      </c>
      <c r="I29">
        <v>0.11069069885406684</v>
      </c>
      <c r="J29" t="s">
        <v>6</v>
      </c>
    </row>
    <row r="30" spans="2:10" x14ac:dyDescent="0.45">
      <c r="B30" t="s">
        <v>506</v>
      </c>
      <c r="C30" t="s">
        <v>27</v>
      </c>
      <c r="D30">
        <v>3.3535998225044366E-3</v>
      </c>
      <c r="E30" t="s">
        <v>6</v>
      </c>
      <c r="G30" t="s">
        <v>507</v>
      </c>
      <c r="H30" t="s">
        <v>27</v>
      </c>
      <c r="I30">
        <v>6.1217966782202718E-2</v>
      </c>
      <c r="J30" t="s">
        <v>6</v>
      </c>
    </row>
    <row r="31" spans="2:10" x14ac:dyDescent="0.45">
      <c r="B31" t="s">
        <v>506</v>
      </c>
      <c r="C31" t="s">
        <v>28</v>
      </c>
      <c r="D31">
        <v>5.4260009138208505E-2</v>
      </c>
      <c r="E31" t="s">
        <v>6</v>
      </c>
      <c r="G31" t="s">
        <v>507</v>
      </c>
      <c r="H31" t="s">
        <v>28</v>
      </c>
      <c r="I31">
        <v>4.4854422137634395E-2</v>
      </c>
      <c r="J31" t="s">
        <v>6</v>
      </c>
    </row>
    <row r="32" spans="2:10" x14ac:dyDescent="0.45">
      <c r="B32" t="s">
        <v>506</v>
      </c>
      <c r="C32" t="s">
        <v>29</v>
      </c>
      <c r="D32">
        <v>9.214020175066244E-2</v>
      </c>
      <c r="E32" t="s">
        <v>6</v>
      </c>
      <c r="G32" t="s">
        <v>507</v>
      </c>
      <c r="H32" t="s">
        <v>29</v>
      </c>
      <c r="I32">
        <v>4.5380792106270475E-2</v>
      </c>
      <c r="J32" t="s">
        <v>6</v>
      </c>
    </row>
    <row r="33" spans="2:10" x14ac:dyDescent="0.45">
      <c r="B33" t="s">
        <v>506</v>
      </c>
      <c r="C33" t="s">
        <v>30</v>
      </c>
      <c r="D33">
        <v>5.05277764889576E-2</v>
      </c>
      <c r="E33" t="s">
        <v>6</v>
      </c>
      <c r="G33" t="s">
        <v>507</v>
      </c>
      <c r="H33" t="s">
        <v>30</v>
      </c>
      <c r="I33">
        <v>4.4120140411687402E-2</v>
      </c>
      <c r="J33" t="s">
        <v>6</v>
      </c>
    </row>
    <row r="34" spans="2:10" x14ac:dyDescent="0.45">
      <c r="B34" t="s">
        <v>506</v>
      </c>
      <c r="C34" t="s">
        <v>31</v>
      </c>
      <c r="D34">
        <v>2.0411022494800004E-3</v>
      </c>
      <c r="E34" t="s">
        <v>6</v>
      </c>
      <c r="G34" t="s">
        <v>507</v>
      </c>
      <c r="H34" t="s">
        <v>31</v>
      </c>
      <c r="I34">
        <v>4.0891402528716321E-2</v>
      </c>
      <c r="J34" t="s">
        <v>6</v>
      </c>
    </row>
    <row r="35" spans="2:10" x14ac:dyDescent="0.45">
      <c r="B35" t="s">
        <v>508</v>
      </c>
      <c r="C35" t="s">
        <v>5</v>
      </c>
      <c r="D35">
        <v>0</v>
      </c>
      <c r="E35" t="s">
        <v>6</v>
      </c>
      <c r="G35" t="s">
        <v>509</v>
      </c>
      <c r="H35" t="s">
        <v>5</v>
      </c>
      <c r="I35">
        <v>0.1179998199143802</v>
      </c>
      <c r="J35" t="s">
        <v>6</v>
      </c>
    </row>
    <row r="36" spans="2:10" x14ac:dyDescent="0.45">
      <c r="B36" t="s">
        <v>508</v>
      </c>
      <c r="C36" t="s">
        <v>9</v>
      </c>
      <c r="D36">
        <v>1.8816193887138304E-4</v>
      </c>
      <c r="E36" t="s">
        <v>6</v>
      </c>
      <c r="G36" t="s">
        <v>509</v>
      </c>
      <c r="H36" t="s">
        <v>9</v>
      </c>
      <c r="I36">
        <v>5.5427577068983984E-2</v>
      </c>
      <c r="J36" t="s">
        <v>6</v>
      </c>
    </row>
    <row r="37" spans="2:10" x14ac:dyDescent="0.45">
      <c r="B37" t="s">
        <v>508</v>
      </c>
      <c r="C37" t="s">
        <v>10</v>
      </c>
      <c r="D37">
        <v>3.9934148599633609E-2</v>
      </c>
      <c r="E37" t="s">
        <v>6</v>
      </c>
      <c r="G37" t="s">
        <v>509</v>
      </c>
      <c r="H37" t="s">
        <v>10</v>
      </c>
      <c r="I37">
        <v>3.7746736187587844E-2</v>
      </c>
      <c r="J37" t="s">
        <v>6</v>
      </c>
    </row>
    <row r="38" spans="2:10" x14ac:dyDescent="0.45">
      <c r="B38" t="s">
        <v>508</v>
      </c>
      <c r="C38" t="s">
        <v>11</v>
      </c>
      <c r="D38">
        <v>8.8221838709932082E-2</v>
      </c>
      <c r="E38" t="s">
        <v>6</v>
      </c>
      <c r="G38" t="s">
        <v>509</v>
      </c>
      <c r="H38" t="s">
        <v>11</v>
      </c>
      <c r="I38">
        <v>3.2986140752376748E-2</v>
      </c>
      <c r="J38" t="s">
        <v>6</v>
      </c>
    </row>
    <row r="39" spans="2:10" x14ac:dyDescent="0.45">
      <c r="B39" t="s">
        <v>508</v>
      </c>
      <c r="C39" t="s">
        <v>12</v>
      </c>
      <c r="D39">
        <v>4.2945862130157032E-2</v>
      </c>
      <c r="E39" t="s">
        <v>6</v>
      </c>
      <c r="G39" t="s">
        <v>509</v>
      </c>
      <c r="H39" t="s">
        <v>12</v>
      </c>
      <c r="I39">
        <v>3.7855276613180867E-2</v>
      </c>
      <c r="J39" t="s">
        <v>6</v>
      </c>
    </row>
    <row r="40" spans="2:10" x14ac:dyDescent="0.45">
      <c r="B40" t="s">
        <v>508</v>
      </c>
      <c r="C40" t="s">
        <v>13</v>
      </c>
      <c r="D40">
        <v>6.1923833660172082E-4</v>
      </c>
      <c r="E40" t="s">
        <v>6</v>
      </c>
      <c r="G40" t="s">
        <v>509</v>
      </c>
      <c r="H40" t="s">
        <v>13</v>
      </c>
      <c r="I40">
        <v>4.4697483106834072E-2</v>
      </c>
      <c r="J40" t="s">
        <v>6</v>
      </c>
    </row>
    <row r="41" spans="2:10" x14ac:dyDescent="0.45">
      <c r="B41" t="s">
        <v>508</v>
      </c>
      <c r="C41" t="s">
        <v>14</v>
      </c>
      <c r="D41">
        <v>0</v>
      </c>
      <c r="E41" t="s">
        <v>6</v>
      </c>
      <c r="G41" t="s">
        <v>509</v>
      </c>
      <c r="H41" t="s">
        <v>14</v>
      </c>
      <c r="I41">
        <v>7.25956133520579E-2</v>
      </c>
      <c r="J41" t="s">
        <v>6</v>
      </c>
    </row>
    <row r="42" spans="2:10" x14ac:dyDescent="0.45">
      <c r="B42" t="s">
        <v>508</v>
      </c>
      <c r="C42" t="s">
        <v>15</v>
      </c>
      <c r="D42">
        <v>1.1576157506868159E-2</v>
      </c>
      <c r="E42" t="s">
        <v>6</v>
      </c>
      <c r="G42" t="s">
        <v>509</v>
      </c>
      <c r="H42" t="s">
        <v>15</v>
      </c>
      <c r="I42">
        <v>3.4333131538654221E-2</v>
      </c>
      <c r="J42" t="s">
        <v>6</v>
      </c>
    </row>
    <row r="43" spans="2:10" x14ac:dyDescent="0.45">
      <c r="B43" t="s">
        <v>508</v>
      </c>
      <c r="C43" t="s">
        <v>16</v>
      </c>
      <c r="D43">
        <v>7.9352774649764743E-2</v>
      </c>
      <c r="E43" t="s">
        <v>6</v>
      </c>
      <c r="G43" t="s">
        <v>509</v>
      </c>
      <c r="H43" t="s">
        <v>16</v>
      </c>
      <c r="I43">
        <v>2.2558001399205944E-2</v>
      </c>
      <c r="J43" t="s">
        <v>6</v>
      </c>
    </row>
    <row r="44" spans="2:10" x14ac:dyDescent="0.45">
      <c r="B44" t="s">
        <v>508</v>
      </c>
      <c r="C44" t="s">
        <v>17</v>
      </c>
      <c r="D44">
        <v>0.11487127899903997</v>
      </c>
      <c r="E44" t="s">
        <v>6</v>
      </c>
      <c r="G44" t="s">
        <v>509</v>
      </c>
      <c r="H44" t="s">
        <v>17</v>
      </c>
      <c r="I44">
        <v>2.2769885384451169E-2</v>
      </c>
      <c r="J44" t="s">
        <v>6</v>
      </c>
    </row>
    <row r="45" spans="2:10" x14ac:dyDescent="0.45">
      <c r="B45" t="s">
        <v>508</v>
      </c>
      <c r="C45" t="s">
        <v>18</v>
      </c>
      <c r="D45">
        <v>7.2089562282008357E-2</v>
      </c>
      <c r="E45" t="s">
        <v>6</v>
      </c>
      <c r="G45" t="s">
        <v>509</v>
      </c>
      <c r="H45" t="s">
        <v>18</v>
      </c>
      <c r="I45">
        <v>2.5567626505540064E-2</v>
      </c>
      <c r="J45" t="s">
        <v>6</v>
      </c>
    </row>
    <row r="46" spans="2:10" x14ac:dyDescent="0.45">
      <c r="B46" t="s">
        <v>508</v>
      </c>
      <c r="C46" t="s">
        <v>19</v>
      </c>
      <c r="D46">
        <v>9.0188673231496302E-3</v>
      </c>
      <c r="E46" t="s">
        <v>6</v>
      </c>
      <c r="G46" t="s">
        <v>509</v>
      </c>
      <c r="H46" t="s">
        <v>19</v>
      </c>
      <c r="I46">
        <v>2.5830068121942319E-2</v>
      </c>
      <c r="J46" t="s">
        <v>6</v>
      </c>
    </row>
    <row r="47" spans="2:10" x14ac:dyDescent="0.45">
      <c r="B47" t="s">
        <v>508</v>
      </c>
      <c r="C47" t="s">
        <v>20</v>
      </c>
      <c r="D47">
        <v>0</v>
      </c>
      <c r="E47" t="s">
        <v>6</v>
      </c>
      <c r="G47" t="s">
        <v>509</v>
      </c>
      <c r="H47" t="s">
        <v>20</v>
      </c>
      <c r="I47">
        <v>5.1262480267946012E-2</v>
      </c>
      <c r="J47" t="s">
        <v>6</v>
      </c>
    </row>
    <row r="48" spans="2:10" x14ac:dyDescent="0.45">
      <c r="B48" t="s">
        <v>508</v>
      </c>
      <c r="C48" t="s">
        <v>21</v>
      </c>
      <c r="D48">
        <v>1.830131236134952E-2</v>
      </c>
      <c r="E48" t="s">
        <v>6</v>
      </c>
      <c r="G48" t="s">
        <v>509</v>
      </c>
      <c r="H48" t="s">
        <v>21</v>
      </c>
      <c r="I48">
        <v>2.0301332124230485E-2</v>
      </c>
      <c r="J48" t="s">
        <v>6</v>
      </c>
    </row>
    <row r="49" spans="2:10" x14ac:dyDescent="0.45">
      <c r="B49" t="s">
        <v>508</v>
      </c>
      <c r="C49" t="s">
        <v>22</v>
      </c>
      <c r="D49">
        <v>9.3213652695874449E-2</v>
      </c>
      <c r="E49" t="s">
        <v>6</v>
      </c>
      <c r="G49" t="s">
        <v>509</v>
      </c>
      <c r="H49" t="s">
        <v>22</v>
      </c>
      <c r="I49">
        <v>1.2546046752785403E-2</v>
      </c>
      <c r="J49" t="s">
        <v>6</v>
      </c>
    </row>
    <row r="50" spans="2:10" x14ac:dyDescent="0.45">
      <c r="B50" t="s">
        <v>508</v>
      </c>
      <c r="C50" t="s">
        <v>23</v>
      </c>
      <c r="D50">
        <v>0.12569308759034917</v>
      </c>
      <c r="E50" t="s">
        <v>6</v>
      </c>
      <c r="G50" t="s">
        <v>509</v>
      </c>
      <c r="H50" t="s">
        <v>23</v>
      </c>
      <c r="I50">
        <v>1.4206871741304136E-2</v>
      </c>
      <c r="J50" t="s">
        <v>6</v>
      </c>
    </row>
    <row r="51" spans="2:10" x14ac:dyDescent="0.45">
      <c r="B51" t="s">
        <v>508</v>
      </c>
      <c r="C51" t="s">
        <v>24</v>
      </c>
      <c r="D51">
        <v>8.8564518718536905E-2</v>
      </c>
      <c r="E51" t="s">
        <v>6</v>
      </c>
      <c r="G51" t="s">
        <v>509</v>
      </c>
      <c r="H51" t="s">
        <v>24</v>
      </c>
      <c r="I51">
        <v>1.8270555101307422E-2</v>
      </c>
      <c r="J51" t="s">
        <v>6</v>
      </c>
    </row>
    <row r="52" spans="2:10" x14ac:dyDescent="0.45">
      <c r="B52" t="s">
        <v>508</v>
      </c>
      <c r="C52" t="s">
        <v>25</v>
      </c>
      <c r="D52">
        <v>1.6277160584963465E-2</v>
      </c>
      <c r="E52" t="s">
        <v>6</v>
      </c>
      <c r="G52" t="s">
        <v>509</v>
      </c>
      <c r="H52" t="s">
        <v>25</v>
      </c>
      <c r="I52">
        <v>1.8824329602833385E-2</v>
      </c>
      <c r="J52" t="s">
        <v>6</v>
      </c>
    </row>
    <row r="53" spans="2:10" x14ac:dyDescent="0.45">
      <c r="B53" t="s">
        <v>508</v>
      </c>
      <c r="C53" t="s">
        <v>26</v>
      </c>
      <c r="D53">
        <v>0</v>
      </c>
      <c r="E53" t="s">
        <v>6</v>
      </c>
      <c r="G53" t="s">
        <v>509</v>
      </c>
      <c r="H53" t="s">
        <v>26</v>
      </c>
      <c r="I53">
        <v>0.11657080846282344</v>
      </c>
      <c r="J53" t="s">
        <v>6</v>
      </c>
    </row>
    <row r="54" spans="2:10" x14ac:dyDescent="0.45">
      <c r="B54" t="s">
        <v>508</v>
      </c>
      <c r="C54" t="s">
        <v>27</v>
      </c>
      <c r="D54">
        <v>3.819998564130715E-3</v>
      </c>
      <c r="E54" t="s">
        <v>6</v>
      </c>
      <c r="G54" t="s">
        <v>509</v>
      </c>
      <c r="H54" t="s">
        <v>27</v>
      </c>
      <c r="I54">
        <v>5.8444789266595847E-2</v>
      </c>
      <c r="J54" t="s">
        <v>6</v>
      </c>
    </row>
    <row r="55" spans="2:10" x14ac:dyDescent="0.45">
      <c r="B55" t="s">
        <v>508</v>
      </c>
      <c r="C55" t="s">
        <v>28</v>
      </c>
      <c r="D55">
        <v>5.4412726635877387E-2</v>
      </c>
      <c r="E55" t="s">
        <v>6</v>
      </c>
      <c r="G55" t="s">
        <v>509</v>
      </c>
      <c r="H55" t="s">
        <v>28</v>
      </c>
      <c r="I55">
        <v>4.0923975596238935E-2</v>
      </c>
      <c r="J55" t="s">
        <v>6</v>
      </c>
    </row>
    <row r="56" spans="2:10" x14ac:dyDescent="0.45">
      <c r="B56" t="s">
        <v>508</v>
      </c>
      <c r="C56" t="s">
        <v>29</v>
      </c>
      <c r="D56">
        <v>9.0194844109303854E-2</v>
      </c>
      <c r="E56" t="s">
        <v>6</v>
      </c>
      <c r="G56" t="s">
        <v>509</v>
      </c>
      <c r="H56" t="s">
        <v>29</v>
      </c>
      <c r="I56">
        <v>3.9836083454553091E-2</v>
      </c>
      <c r="J56" t="s">
        <v>6</v>
      </c>
    </row>
    <row r="57" spans="2:10" x14ac:dyDescent="0.45">
      <c r="B57" t="s">
        <v>508</v>
      </c>
      <c r="C57" t="s">
        <v>30</v>
      </c>
      <c r="D57">
        <v>4.8833769234743696E-2</v>
      </c>
      <c r="E57" t="s">
        <v>6</v>
      </c>
      <c r="G57" t="s">
        <v>509</v>
      </c>
      <c r="H57" t="s">
        <v>30</v>
      </c>
      <c r="I57">
        <v>3.932803189462971E-2</v>
      </c>
      <c r="J57" t="s">
        <v>6</v>
      </c>
    </row>
    <row r="58" spans="2:10" x14ac:dyDescent="0.45">
      <c r="B58" t="s">
        <v>508</v>
      </c>
      <c r="C58" t="s">
        <v>31</v>
      </c>
      <c r="D58">
        <v>1.8710390288453119E-3</v>
      </c>
      <c r="E58" t="s">
        <v>6</v>
      </c>
      <c r="G58" t="s">
        <v>509</v>
      </c>
      <c r="H58" t="s">
        <v>31</v>
      </c>
      <c r="I58">
        <v>3.9117335789556784E-2</v>
      </c>
      <c r="J58" t="s">
        <v>6</v>
      </c>
    </row>
    <row r="59" spans="2:10" x14ac:dyDescent="0.45">
      <c r="B59" t="s">
        <v>510</v>
      </c>
      <c r="C59" t="s">
        <v>5</v>
      </c>
      <c r="D59">
        <v>0</v>
      </c>
      <c r="E59" t="s">
        <v>6</v>
      </c>
      <c r="G59" t="s">
        <v>511</v>
      </c>
      <c r="H59" t="s">
        <v>5</v>
      </c>
      <c r="I59">
        <v>0.11216558876690939</v>
      </c>
      <c r="J59" t="s">
        <v>6</v>
      </c>
    </row>
    <row r="60" spans="2:10" x14ac:dyDescent="0.45">
      <c r="B60" t="s">
        <v>510</v>
      </c>
      <c r="C60" t="s">
        <v>9</v>
      </c>
      <c r="D60">
        <v>7.6465964687376782E-5</v>
      </c>
      <c r="E60" t="s">
        <v>6</v>
      </c>
      <c r="G60" t="s">
        <v>511</v>
      </c>
      <c r="H60" t="s">
        <v>9</v>
      </c>
      <c r="I60">
        <v>5.2112080357909436E-2</v>
      </c>
      <c r="J60" t="s">
        <v>6</v>
      </c>
    </row>
    <row r="61" spans="2:10" x14ac:dyDescent="0.45">
      <c r="B61" t="s">
        <v>510</v>
      </c>
      <c r="C61" t="s">
        <v>10</v>
      </c>
      <c r="D61">
        <v>3.6252217876842886E-2</v>
      </c>
      <c r="E61" t="s">
        <v>6</v>
      </c>
      <c r="G61" t="s">
        <v>511</v>
      </c>
      <c r="H61" t="s">
        <v>10</v>
      </c>
      <c r="I61">
        <v>3.6481675173620214E-2</v>
      </c>
      <c r="J61" t="s">
        <v>6</v>
      </c>
    </row>
    <row r="62" spans="2:10" x14ac:dyDescent="0.45">
      <c r="B62" t="s">
        <v>510</v>
      </c>
      <c r="C62" t="s">
        <v>11</v>
      </c>
      <c r="D62">
        <v>8.4792829461060634E-2</v>
      </c>
      <c r="E62" t="s">
        <v>6</v>
      </c>
      <c r="G62" t="s">
        <v>511</v>
      </c>
      <c r="H62" t="s">
        <v>11</v>
      </c>
      <c r="I62">
        <v>3.313546626005285E-2</v>
      </c>
      <c r="J62" t="s">
        <v>6</v>
      </c>
    </row>
    <row r="63" spans="2:10" x14ac:dyDescent="0.45">
      <c r="B63" t="s">
        <v>510</v>
      </c>
      <c r="C63" t="s">
        <v>12</v>
      </c>
      <c r="D63">
        <v>4.2507034626422413E-2</v>
      </c>
      <c r="E63" t="s">
        <v>6</v>
      </c>
      <c r="G63" t="s">
        <v>511</v>
      </c>
      <c r="H63" t="s">
        <v>12</v>
      </c>
      <c r="I63">
        <v>3.8720966014697621E-2</v>
      </c>
      <c r="J63" t="s">
        <v>6</v>
      </c>
    </row>
    <row r="64" spans="2:10" x14ac:dyDescent="0.45">
      <c r="B64" t="s">
        <v>510</v>
      </c>
      <c r="C64" t="s">
        <v>13</v>
      </c>
      <c r="D64">
        <v>9.9592817484443503E-4</v>
      </c>
      <c r="E64" t="s">
        <v>6</v>
      </c>
      <c r="G64" t="s">
        <v>511</v>
      </c>
      <c r="H64" t="s">
        <v>13</v>
      </c>
      <c r="I64">
        <v>4.288006178586784E-2</v>
      </c>
      <c r="J64" t="s">
        <v>6</v>
      </c>
    </row>
    <row r="65" spans="2:10" x14ac:dyDescent="0.45">
      <c r="B65" t="s">
        <v>510</v>
      </c>
      <c r="C65" t="s">
        <v>14</v>
      </c>
      <c r="D65">
        <v>0</v>
      </c>
      <c r="E65" t="s">
        <v>6</v>
      </c>
      <c r="G65" t="s">
        <v>511</v>
      </c>
      <c r="H65" t="s">
        <v>14</v>
      </c>
      <c r="I65">
        <v>6.917158055067632E-2</v>
      </c>
      <c r="J65" t="s">
        <v>6</v>
      </c>
    </row>
    <row r="66" spans="2:10" x14ac:dyDescent="0.45">
      <c r="B66" t="s">
        <v>510</v>
      </c>
      <c r="C66" t="s">
        <v>15</v>
      </c>
      <c r="D66">
        <v>9.8998441499393887E-3</v>
      </c>
      <c r="E66" t="s">
        <v>6</v>
      </c>
      <c r="G66" t="s">
        <v>511</v>
      </c>
      <c r="H66" t="s">
        <v>15</v>
      </c>
      <c r="I66">
        <v>3.030391682713451E-2</v>
      </c>
      <c r="J66" t="s">
        <v>6</v>
      </c>
    </row>
    <row r="67" spans="2:10" x14ac:dyDescent="0.45">
      <c r="B67" t="s">
        <v>510</v>
      </c>
      <c r="C67" t="s">
        <v>16</v>
      </c>
      <c r="D67">
        <v>7.6226869902201178E-2</v>
      </c>
      <c r="E67" t="s">
        <v>6</v>
      </c>
      <c r="G67" t="s">
        <v>511</v>
      </c>
      <c r="H67" t="s">
        <v>16</v>
      </c>
      <c r="I67">
        <v>2.2746047814632672E-2</v>
      </c>
      <c r="J67" t="s">
        <v>6</v>
      </c>
    </row>
    <row r="68" spans="2:10" x14ac:dyDescent="0.45">
      <c r="B68" t="s">
        <v>510</v>
      </c>
      <c r="C68" t="s">
        <v>17</v>
      </c>
      <c r="D68">
        <v>0.10968577621698929</v>
      </c>
      <c r="E68" t="s">
        <v>6</v>
      </c>
      <c r="G68" t="s">
        <v>511</v>
      </c>
      <c r="H68" t="s">
        <v>17</v>
      </c>
      <c r="I68">
        <v>2.6132470828306477E-2</v>
      </c>
      <c r="J68" t="s">
        <v>6</v>
      </c>
    </row>
    <row r="69" spans="2:10" x14ac:dyDescent="0.45">
      <c r="B69" t="s">
        <v>510</v>
      </c>
      <c r="C69" t="s">
        <v>18</v>
      </c>
      <c r="D69">
        <v>6.9765395124038232E-2</v>
      </c>
      <c r="E69" t="s">
        <v>6</v>
      </c>
      <c r="G69" t="s">
        <v>511</v>
      </c>
      <c r="H69" t="s">
        <v>18</v>
      </c>
      <c r="I69">
        <v>3.1229503258404161E-2</v>
      </c>
      <c r="J69" t="s">
        <v>6</v>
      </c>
    </row>
    <row r="70" spans="2:10" x14ac:dyDescent="0.45">
      <c r="B70" t="s">
        <v>510</v>
      </c>
      <c r="C70" t="s">
        <v>19</v>
      </c>
      <c r="D70">
        <v>1.0455604426895851E-2</v>
      </c>
      <c r="E70" t="s">
        <v>6</v>
      </c>
      <c r="G70" t="s">
        <v>511</v>
      </c>
      <c r="H70" t="s">
        <v>19</v>
      </c>
      <c r="I70">
        <v>2.6976087335965151E-2</v>
      </c>
      <c r="J70" t="s">
        <v>6</v>
      </c>
    </row>
    <row r="71" spans="2:10" x14ac:dyDescent="0.45">
      <c r="B71" t="s">
        <v>510</v>
      </c>
      <c r="C71" t="s">
        <v>20</v>
      </c>
      <c r="D71">
        <v>0</v>
      </c>
      <c r="E71" t="s">
        <v>6</v>
      </c>
      <c r="G71" t="s">
        <v>511</v>
      </c>
      <c r="H71" t="s">
        <v>20</v>
      </c>
      <c r="I71">
        <v>4.6154614801715739E-2</v>
      </c>
      <c r="J71" t="s">
        <v>6</v>
      </c>
    </row>
    <row r="72" spans="2:10" x14ac:dyDescent="0.45">
      <c r="B72" t="s">
        <v>510</v>
      </c>
      <c r="C72" t="s">
        <v>21</v>
      </c>
      <c r="D72">
        <v>1.787748382852003E-2</v>
      </c>
      <c r="E72" t="s">
        <v>6</v>
      </c>
      <c r="G72" t="s">
        <v>511</v>
      </c>
      <c r="H72" t="s">
        <v>21</v>
      </c>
      <c r="I72">
        <v>1.7935969869871959E-2</v>
      </c>
      <c r="J72" t="s">
        <v>6</v>
      </c>
    </row>
    <row r="73" spans="2:10" x14ac:dyDescent="0.45">
      <c r="B73" t="s">
        <v>510</v>
      </c>
      <c r="C73" t="s">
        <v>22</v>
      </c>
      <c r="D73">
        <v>9.816376604918188E-2</v>
      </c>
      <c r="E73" t="s">
        <v>6</v>
      </c>
      <c r="G73" t="s">
        <v>511</v>
      </c>
      <c r="H73" t="s">
        <v>22</v>
      </c>
      <c r="I73">
        <v>1.3890491013068024E-2</v>
      </c>
      <c r="J73" t="s">
        <v>6</v>
      </c>
    </row>
    <row r="74" spans="2:10" x14ac:dyDescent="0.45">
      <c r="B74" t="s">
        <v>510</v>
      </c>
      <c r="C74" t="s">
        <v>23</v>
      </c>
      <c r="D74">
        <v>0.13198214712361833</v>
      </c>
      <c r="E74" t="s">
        <v>6</v>
      </c>
      <c r="G74" t="s">
        <v>511</v>
      </c>
      <c r="H74" t="s">
        <v>23</v>
      </c>
      <c r="I74">
        <v>1.7458438465121445E-2</v>
      </c>
      <c r="J74" t="s">
        <v>6</v>
      </c>
    </row>
    <row r="75" spans="2:10" x14ac:dyDescent="0.45">
      <c r="B75" t="s">
        <v>510</v>
      </c>
      <c r="C75" t="s">
        <v>24</v>
      </c>
      <c r="D75">
        <v>9.6619081056308981E-2</v>
      </c>
      <c r="E75" t="s">
        <v>6</v>
      </c>
      <c r="G75" t="s">
        <v>511</v>
      </c>
      <c r="H75" t="s">
        <v>24</v>
      </c>
      <c r="I75">
        <v>2.1832330613840475E-2</v>
      </c>
      <c r="J75" t="s">
        <v>6</v>
      </c>
    </row>
    <row r="76" spans="2:10" x14ac:dyDescent="0.45">
      <c r="B76" t="s">
        <v>510</v>
      </c>
      <c r="C76" t="s">
        <v>25</v>
      </c>
      <c r="D76">
        <v>1.9848938442425145E-2</v>
      </c>
      <c r="E76" t="s">
        <v>6</v>
      </c>
      <c r="G76" t="s">
        <v>511</v>
      </c>
      <c r="H76" t="s">
        <v>25</v>
      </c>
      <c r="I76">
        <v>1.962161516762994E-2</v>
      </c>
      <c r="J76" t="s">
        <v>6</v>
      </c>
    </row>
    <row r="77" spans="2:10" x14ac:dyDescent="0.45">
      <c r="B77" t="s">
        <v>510</v>
      </c>
      <c r="C77" t="s">
        <v>26</v>
      </c>
      <c r="D77">
        <v>0</v>
      </c>
      <c r="E77" t="s">
        <v>6</v>
      </c>
      <c r="G77" t="s">
        <v>511</v>
      </c>
      <c r="H77" t="s">
        <v>26</v>
      </c>
      <c r="I77">
        <v>0.11020771736812611</v>
      </c>
      <c r="J77" t="s">
        <v>6</v>
      </c>
    </row>
    <row r="78" spans="2:10" x14ac:dyDescent="0.45">
      <c r="B78" t="s">
        <v>510</v>
      </c>
      <c r="C78" t="s">
        <v>27</v>
      </c>
      <c r="D78">
        <v>2.8790253655822822E-3</v>
      </c>
      <c r="E78" t="s">
        <v>6</v>
      </c>
      <c r="G78" t="s">
        <v>511</v>
      </c>
      <c r="H78" t="s">
        <v>27</v>
      </c>
      <c r="I78">
        <v>5.6554122915372818E-2</v>
      </c>
      <c r="J78" t="s">
        <v>6</v>
      </c>
    </row>
    <row r="79" spans="2:10" x14ac:dyDescent="0.45">
      <c r="B79" t="s">
        <v>510</v>
      </c>
      <c r="C79" t="s">
        <v>28</v>
      </c>
      <c r="D79">
        <v>5.0774357674119877E-2</v>
      </c>
      <c r="E79" t="s">
        <v>6</v>
      </c>
      <c r="G79" t="s">
        <v>511</v>
      </c>
      <c r="H79" t="s">
        <v>28</v>
      </c>
      <c r="I79">
        <v>4.3446490778679271E-2</v>
      </c>
      <c r="J79" t="s">
        <v>6</v>
      </c>
    </row>
    <row r="80" spans="2:10" x14ac:dyDescent="0.45">
      <c r="B80" t="s">
        <v>510</v>
      </c>
      <c r="C80" t="s">
        <v>29</v>
      </c>
      <c r="D80">
        <v>8.9209646429448092E-2</v>
      </c>
      <c r="E80" t="s">
        <v>6</v>
      </c>
      <c r="G80" t="s">
        <v>511</v>
      </c>
      <c r="H80" t="s">
        <v>29</v>
      </c>
      <c r="I80">
        <v>4.4545262156657509E-2</v>
      </c>
      <c r="J80" t="s">
        <v>6</v>
      </c>
    </row>
    <row r="81" spans="2:10" x14ac:dyDescent="0.45">
      <c r="B81" t="s">
        <v>510</v>
      </c>
      <c r="C81" t="s">
        <v>30</v>
      </c>
      <c r="D81">
        <v>4.9670846662060161E-2</v>
      </c>
      <c r="E81" t="s">
        <v>6</v>
      </c>
      <c r="G81" t="s">
        <v>511</v>
      </c>
      <c r="H81" t="s">
        <v>30</v>
      </c>
      <c r="I81">
        <v>4.555014096264369E-2</v>
      </c>
      <c r="J81" t="s">
        <v>6</v>
      </c>
    </row>
    <row r="82" spans="2:10" x14ac:dyDescent="0.45">
      <c r="B82" t="s">
        <v>510</v>
      </c>
      <c r="C82" t="s">
        <v>31</v>
      </c>
      <c r="D82">
        <v>2.316741444815004E-3</v>
      </c>
      <c r="E82" t="s">
        <v>6</v>
      </c>
      <c r="G82" t="s">
        <v>511</v>
      </c>
      <c r="H82" t="s">
        <v>31</v>
      </c>
      <c r="I82">
        <v>4.0747360913096373E-2</v>
      </c>
      <c r="J82" t="s">
        <v>6</v>
      </c>
    </row>
    <row r="83" spans="2:10" x14ac:dyDescent="0.45">
      <c r="B83" t="s">
        <v>512</v>
      </c>
      <c r="C83" t="s">
        <v>5</v>
      </c>
      <c r="D83">
        <v>0</v>
      </c>
      <c r="E83" t="s">
        <v>6</v>
      </c>
      <c r="G83" t="s">
        <v>513</v>
      </c>
      <c r="H83" t="s">
        <v>5</v>
      </c>
      <c r="I83">
        <v>0.10824162050619666</v>
      </c>
      <c r="J83" t="s">
        <v>6</v>
      </c>
    </row>
    <row r="84" spans="2:10" x14ac:dyDescent="0.45">
      <c r="B84" t="s">
        <v>512</v>
      </c>
      <c r="C84" t="s">
        <v>9</v>
      </c>
      <c r="D84">
        <v>7.2804387858977699E-5</v>
      </c>
      <c r="E84" t="s">
        <v>6</v>
      </c>
      <c r="G84" t="s">
        <v>513</v>
      </c>
      <c r="H84" t="s">
        <v>9</v>
      </c>
      <c r="I84">
        <v>5.1556972854865574E-2</v>
      </c>
      <c r="J84" t="s">
        <v>6</v>
      </c>
    </row>
    <row r="85" spans="2:10" x14ac:dyDescent="0.45">
      <c r="B85" t="s">
        <v>512</v>
      </c>
      <c r="C85" t="s">
        <v>10</v>
      </c>
      <c r="D85">
        <v>3.6657500083444171E-2</v>
      </c>
      <c r="E85" t="s">
        <v>6</v>
      </c>
      <c r="G85" t="s">
        <v>513</v>
      </c>
      <c r="H85" t="s">
        <v>10</v>
      </c>
      <c r="I85">
        <v>3.6778907719010816E-2</v>
      </c>
      <c r="J85" t="s">
        <v>6</v>
      </c>
    </row>
    <row r="86" spans="2:10" x14ac:dyDescent="0.45">
      <c r="B86" t="s">
        <v>512</v>
      </c>
      <c r="C86" t="s">
        <v>11</v>
      </c>
      <c r="D86">
        <v>9.0550408000306365E-2</v>
      </c>
      <c r="E86" t="s">
        <v>6</v>
      </c>
      <c r="G86" t="s">
        <v>513</v>
      </c>
      <c r="H86" t="s">
        <v>11</v>
      </c>
      <c r="I86">
        <v>3.5093403283718495E-2</v>
      </c>
      <c r="J86" t="s">
        <v>6</v>
      </c>
    </row>
    <row r="87" spans="2:10" x14ac:dyDescent="0.45">
      <c r="B87" t="s">
        <v>512</v>
      </c>
      <c r="C87" t="s">
        <v>12</v>
      </c>
      <c r="D87">
        <v>4.8459160594889687E-2</v>
      </c>
      <c r="E87" t="s">
        <v>6</v>
      </c>
      <c r="G87" t="s">
        <v>513</v>
      </c>
      <c r="H87" t="s">
        <v>12</v>
      </c>
      <c r="I87">
        <v>3.6924044770690348E-2</v>
      </c>
      <c r="J87" t="s">
        <v>6</v>
      </c>
    </row>
    <row r="88" spans="2:10" x14ac:dyDescent="0.45">
      <c r="B88" t="s">
        <v>512</v>
      </c>
      <c r="C88" t="s">
        <v>13</v>
      </c>
      <c r="D88">
        <v>1.2818677054239863E-3</v>
      </c>
      <c r="E88" t="s">
        <v>6</v>
      </c>
      <c r="G88" t="s">
        <v>513</v>
      </c>
      <c r="H88" t="s">
        <v>13</v>
      </c>
      <c r="I88">
        <v>4.2999707586082965E-2</v>
      </c>
      <c r="J88" t="s">
        <v>6</v>
      </c>
    </row>
    <row r="89" spans="2:10" x14ac:dyDescent="0.45">
      <c r="B89" t="s">
        <v>512</v>
      </c>
      <c r="C89" t="s">
        <v>14</v>
      </c>
      <c r="D89">
        <v>0</v>
      </c>
      <c r="E89" t="s">
        <v>6</v>
      </c>
      <c r="G89" t="s">
        <v>513</v>
      </c>
      <c r="H89" t="s">
        <v>14</v>
      </c>
      <c r="I89">
        <v>7.7723001187725765E-2</v>
      </c>
      <c r="J89" t="s">
        <v>6</v>
      </c>
    </row>
    <row r="90" spans="2:10" x14ac:dyDescent="0.45">
      <c r="B90" t="s">
        <v>512</v>
      </c>
      <c r="C90" t="s">
        <v>15</v>
      </c>
      <c r="D90">
        <v>8.702378112538706E-3</v>
      </c>
      <c r="E90" t="s">
        <v>6</v>
      </c>
      <c r="G90" t="s">
        <v>513</v>
      </c>
      <c r="H90" t="s">
        <v>15</v>
      </c>
      <c r="I90">
        <v>3.5144916200185207E-2</v>
      </c>
      <c r="J90" t="s">
        <v>6</v>
      </c>
    </row>
    <row r="91" spans="2:10" x14ac:dyDescent="0.45">
      <c r="B91" t="s">
        <v>512</v>
      </c>
      <c r="C91" t="s">
        <v>16</v>
      </c>
      <c r="D91">
        <v>7.3168566989146047E-2</v>
      </c>
      <c r="E91" t="s">
        <v>6</v>
      </c>
      <c r="G91" t="s">
        <v>513</v>
      </c>
      <c r="H91" t="s">
        <v>16</v>
      </c>
      <c r="I91">
        <v>2.417826202530449E-2</v>
      </c>
      <c r="J91" t="s">
        <v>6</v>
      </c>
    </row>
    <row r="92" spans="2:10" x14ac:dyDescent="0.45">
      <c r="B92" t="s">
        <v>512</v>
      </c>
      <c r="C92" t="s">
        <v>17</v>
      </c>
      <c r="D92">
        <v>0.10933789414259167</v>
      </c>
      <c r="E92" t="s">
        <v>6</v>
      </c>
      <c r="G92" t="s">
        <v>513</v>
      </c>
      <c r="H92" t="s">
        <v>17</v>
      </c>
      <c r="I92">
        <v>2.6068801644064585E-2</v>
      </c>
      <c r="J92" t="s">
        <v>6</v>
      </c>
    </row>
    <row r="93" spans="2:10" x14ac:dyDescent="0.45">
      <c r="B93" t="s">
        <v>512</v>
      </c>
      <c r="C93" t="s">
        <v>18</v>
      </c>
      <c r="D93">
        <v>7.2931085264543033E-2</v>
      </c>
      <c r="E93" t="s">
        <v>6</v>
      </c>
      <c r="G93" t="s">
        <v>513</v>
      </c>
      <c r="H93" t="s">
        <v>18</v>
      </c>
      <c r="I93">
        <v>2.9429939614826709E-2</v>
      </c>
      <c r="J93" t="s">
        <v>6</v>
      </c>
    </row>
    <row r="94" spans="2:10" x14ac:dyDescent="0.45">
      <c r="B94" t="s">
        <v>512</v>
      </c>
      <c r="C94" t="s">
        <v>19</v>
      </c>
      <c r="D94">
        <v>1.0809035511377983E-2</v>
      </c>
      <c r="E94" t="s">
        <v>6</v>
      </c>
      <c r="G94" t="s">
        <v>513</v>
      </c>
      <c r="H94" t="s">
        <v>19</v>
      </c>
      <c r="I94">
        <v>2.863761628454976E-2</v>
      </c>
      <c r="J94" t="s">
        <v>6</v>
      </c>
    </row>
    <row r="95" spans="2:10" x14ac:dyDescent="0.45">
      <c r="B95" t="s">
        <v>512</v>
      </c>
      <c r="C95" t="s">
        <v>20</v>
      </c>
      <c r="D95">
        <v>0</v>
      </c>
      <c r="E95" t="s">
        <v>6</v>
      </c>
      <c r="G95" t="s">
        <v>513</v>
      </c>
      <c r="H95" t="s">
        <v>20</v>
      </c>
      <c r="I95">
        <v>5.8445117639398927E-2</v>
      </c>
      <c r="J95" t="s">
        <v>6</v>
      </c>
    </row>
    <row r="96" spans="2:10" x14ac:dyDescent="0.45">
      <c r="B96" t="s">
        <v>512</v>
      </c>
      <c r="C96" t="s">
        <v>21</v>
      </c>
      <c r="D96">
        <v>1.5527092819536695E-2</v>
      </c>
      <c r="E96" t="s">
        <v>6</v>
      </c>
      <c r="G96" t="s">
        <v>513</v>
      </c>
      <c r="H96" t="s">
        <v>21</v>
      </c>
      <c r="I96">
        <v>2.0475880215602753E-2</v>
      </c>
      <c r="J96" t="s">
        <v>6</v>
      </c>
    </row>
    <row r="97" spans="2:10" x14ac:dyDescent="0.45">
      <c r="B97" t="s">
        <v>512</v>
      </c>
      <c r="C97" t="s">
        <v>22</v>
      </c>
      <c r="D97">
        <v>9.2741441368616492E-2</v>
      </c>
      <c r="E97" t="s">
        <v>6</v>
      </c>
      <c r="G97" t="s">
        <v>513</v>
      </c>
      <c r="H97" t="s">
        <v>22</v>
      </c>
      <c r="I97">
        <v>1.5208264586975152E-2</v>
      </c>
      <c r="J97" t="s">
        <v>6</v>
      </c>
    </row>
    <row r="98" spans="2:10" x14ac:dyDescent="0.45">
      <c r="B98" t="s">
        <v>512</v>
      </c>
      <c r="C98" t="s">
        <v>23</v>
      </c>
      <c r="D98">
        <v>0.12919934195900451</v>
      </c>
      <c r="E98" t="s">
        <v>6</v>
      </c>
      <c r="G98" t="s">
        <v>513</v>
      </c>
      <c r="H98" t="s">
        <v>23</v>
      </c>
      <c r="I98">
        <v>1.8663506324133522E-2</v>
      </c>
      <c r="J98" t="s">
        <v>6</v>
      </c>
    </row>
    <row r="99" spans="2:10" x14ac:dyDescent="0.45">
      <c r="B99" t="s">
        <v>512</v>
      </c>
      <c r="C99" t="s">
        <v>24</v>
      </c>
      <c r="D99">
        <v>9.1870239508411222E-2</v>
      </c>
      <c r="E99" t="s">
        <v>6</v>
      </c>
      <c r="G99" t="s">
        <v>513</v>
      </c>
      <c r="H99" t="s">
        <v>24</v>
      </c>
      <c r="I99">
        <v>1.9487607696957714E-2</v>
      </c>
      <c r="J99" t="s">
        <v>6</v>
      </c>
    </row>
    <row r="100" spans="2:10" x14ac:dyDescent="0.45">
      <c r="B100" t="s">
        <v>512</v>
      </c>
      <c r="C100" t="s">
        <v>25</v>
      </c>
      <c r="D100">
        <v>1.9218217185392419E-2</v>
      </c>
      <c r="E100" t="s">
        <v>6</v>
      </c>
      <c r="G100" t="s">
        <v>513</v>
      </c>
      <c r="H100" t="s">
        <v>25</v>
      </c>
      <c r="I100">
        <v>1.9636698402017941E-2</v>
      </c>
      <c r="J100" t="s">
        <v>6</v>
      </c>
    </row>
    <row r="101" spans="2:10" x14ac:dyDescent="0.45">
      <c r="B101" t="s">
        <v>512</v>
      </c>
      <c r="C101" t="s">
        <v>26</v>
      </c>
      <c r="D101">
        <v>0</v>
      </c>
      <c r="E101" t="s">
        <v>6</v>
      </c>
      <c r="G101" t="s">
        <v>513</v>
      </c>
      <c r="H101" t="s">
        <v>26</v>
      </c>
      <c r="I101">
        <v>0.10696602160819654</v>
      </c>
      <c r="J101" t="s">
        <v>6</v>
      </c>
    </row>
    <row r="102" spans="2:10" x14ac:dyDescent="0.45">
      <c r="B102" t="s">
        <v>512</v>
      </c>
      <c r="C102" t="s">
        <v>27</v>
      </c>
      <c r="D102">
        <v>2.5862831444767387E-3</v>
      </c>
      <c r="E102" t="s">
        <v>6</v>
      </c>
      <c r="G102" t="s">
        <v>513</v>
      </c>
      <c r="H102" t="s">
        <v>27</v>
      </c>
      <c r="I102">
        <v>5.2016622143902014E-2</v>
      </c>
      <c r="J102" t="s">
        <v>6</v>
      </c>
    </row>
    <row r="103" spans="2:10" x14ac:dyDescent="0.45">
      <c r="B103" t="s">
        <v>512</v>
      </c>
      <c r="C103" t="s">
        <v>28</v>
      </c>
      <c r="D103">
        <v>5.0991997736705368E-2</v>
      </c>
      <c r="E103" t="s">
        <v>6</v>
      </c>
      <c r="G103" t="s">
        <v>513</v>
      </c>
      <c r="H103" t="s">
        <v>28</v>
      </c>
      <c r="I103">
        <v>3.7422419945795593E-2</v>
      </c>
      <c r="J103" t="s">
        <v>6</v>
      </c>
    </row>
    <row r="104" spans="2:10" x14ac:dyDescent="0.45">
      <c r="B104" t="s">
        <v>512</v>
      </c>
      <c r="C104" t="s">
        <v>29</v>
      </c>
      <c r="D104">
        <v>9.1708795098591062E-2</v>
      </c>
      <c r="E104" t="s">
        <v>6</v>
      </c>
      <c r="G104" t="s">
        <v>513</v>
      </c>
      <c r="H104" t="s">
        <v>29</v>
      </c>
      <c r="I104">
        <v>3.8954623187969571E-2</v>
      </c>
      <c r="J104" t="s">
        <v>6</v>
      </c>
    </row>
    <row r="105" spans="2:10" x14ac:dyDescent="0.45">
      <c r="B105" t="s">
        <v>512</v>
      </c>
      <c r="C105" t="s">
        <v>30</v>
      </c>
      <c r="D105">
        <v>5.1736782049508476E-2</v>
      </c>
      <c r="E105" t="s">
        <v>6</v>
      </c>
      <c r="G105" t="s">
        <v>513</v>
      </c>
      <c r="H105" t="s">
        <v>30</v>
      </c>
      <c r="I105">
        <v>4.0448912216641528E-2</v>
      </c>
      <c r="J105" t="s">
        <v>6</v>
      </c>
    </row>
    <row r="106" spans="2:10" x14ac:dyDescent="0.45">
      <c r="B106" t="s">
        <v>512</v>
      </c>
      <c r="C106" t="s">
        <v>31</v>
      </c>
      <c r="D106">
        <v>2.4491083376361527E-3</v>
      </c>
      <c r="E106" t="s">
        <v>6</v>
      </c>
      <c r="G106" t="s">
        <v>513</v>
      </c>
      <c r="H106" t="s">
        <v>31</v>
      </c>
      <c r="I106">
        <v>3.949713235518737E-2</v>
      </c>
      <c r="J106" t="s">
        <v>6</v>
      </c>
    </row>
    <row r="107" spans="2:10" x14ac:dyDescent="0.45">
      <c r="B107" t="s">
        <v>514</v>
      </c>
      <c r="C107" t="s">
        <v>5</v>
      </c>
      <c r="D107">
        <v>0</v>
      </c>
      <c r="E107" t="s">
        <v>6</v>
      </c>
      <c r="G107" t="s">
        <v>515</v>
      </c>
      <c r="H107" t="s">
        <v>5</v>
      </c>
      <c r="I107">
        <v>0.1128197622878724</v>
      </c>
      <c r="J107" t="s">
        <v>6</v>
      </c>
    </row>
    <row r="108" spans="2:10" x14ac:dyDescent="0.45">
      <c r="B108" t="s">
        <v>514</v>
      </c>
      <c r="C108" t="s">
        <v>9</v>
      </c>
      <c r="D108">
        <v>3.0348310378606368E-4</v>
      </c>
      <c r="E108" t="s">
        <v>6</v>
      </c>
      <c r="G108" t="s">
        <v>515</v>
      </c>
      <c r="H108" t="s">
        <v>9</v>
      </c>
      <c r="I108">
        <v>5.006660325729053E-2</v>
      </c>
      <c r="J108" t="s">
        <v>6</v>
      </c>
    </row>
    <row r="109" spans="2:10" x14ac:dyDescent="0.45">
      <c r="B109" t="s">
        <v>514</v>
      </c>
      <c r="C109" t="s">
        <v>10</v>
      </c>
      <c r="D109">
        <v>5.3331670895518275E-2</v>
      </c>
      <c r="E109" t="s">
        <v>6</v>
      </c>
      <c r="G109" t="s">
        <v>515</v>
      </c>
      <c r="H109" t="s">
        <v>10</v>
      </c>
      <c r="I109">
        <v>3.6553798881324019E-2</v>
      </c>
      <c r="J109" t="s">
        <v>6</v>
      </c>
    </row>
    <row r="110" spans="2:10" x14ac:dyDescent="0.45">
      <c r="B110" t="s">
        <v>514</v>
      </c>
      <c r="C110" t="s">
        <v>11</v>
      </c>
      <c r="D110">
        <v>9.872301036833396E-2</v>
      </c>
      <c r="E110" t="s">
        <v>6</v>
      </c>
      <c r="G110" t="s">
        <v>515</v>
      </c>
      <c r="H110" t="s">
        <v>11</v>
      </c>
      <c r="I110">
        <v>3.6133476310994686E-2</v>
      </c>
      <c r="J110" t="s">
        <v>6</v>
      </c>
    </row>
    <row r="111" spans="2:10" x14ac:dyDescent="0.45">
      <c r="B111" t="s">
        <v>514</v>
      </c>
      <c r="C111" t="s">
        <v>12</v>
      </c>
      <c r="D111">
        <v>4.9575657212280626E-2</v>
      </c>
      <c r="E111" t="s">
        <v>6</v>
      </c>
      <c r="G111" t="s">
        <v>515</v>
      </c>
      <c r="H111" t="s">
        <v>12</v>
      </c>
      <c r="I111">
        <v>3.9928662210949852E-2</v>
      </c>
      <c r="J111" t="s">
        <v>6</v>
      </c>
    </row>
    <row r="112" spans="2:10" x14ac:dyDescent="0.45">
      <c r="B112" t="s">
        <v>514</v>
      </c>
      <c r="C112" t="s">
        <v>13</v>
      </c>
      <c r="D112">
        <v>6.8416473592066915E-4</v>
      </c>
      <c r="E112" t="s">
        <v>6</v>
      </c>
      <c r="G112" t="s">
        <v>515</v>
      </c>
      <c r="H112" t="s">
        <v>13</v>
      </c>
      <c r="I112">
        <v>4.3960110923608957E-2</v>
      </c>
      <c r="J112" t="s">
        <v>6</v>
      </c>
    </row>
    <row r="113" spans="2:10" x14ac:dyDescent="0.45">
      <c r="B113" t="s">
        <v>514</v>
      </c>
      <c r="C113" t="s">
        <v>14</v>
      </c>
      <c r="D113">
        <v>0</v>
      </c>
      <c r="E113" t="s">
        <v>6</v>
      </c>
      <c r="G113" t="s">
        <v>515</v>
      </c>
      <c r="H113" t="s">
        <v>14</v>
      </c>
      <c r="I113">
        <v>7.6583624926875024E-2</v>
      </c>
      <c r="J113" t="s">
        <v>6</v>
      </c>
    </row>
    <row r="114" spans="2:10" x14ac:dyDescent="0.45">
      <c r="B114" t="s">
        <v>514</v>
      </c>
      <c r="C114" t="s">
        <v>15</v>
      </c>
      <c r="D114">
        <v>1.2700425472185044E-2</v>
      </c>
      <c r="E114" t="s">
        <v>6</v>
      </c>
      <c r="G114" t="s">
        <v>515</v>
      </c>
      <c r="H114" t="s">
        <v>15</v>
      </c>
      <c r="I114">
        <v>3.4608719420774231E-2</v>
      </c>
      <c r="J114" t="s">
        <v>6</v>
      </c>
    </row>
    <row r="115" spans="2:10" x14ac:dyDescent="0.45">
      <c r="B115" t="s">
        <v>514</v>
      </c>
      <c r="C115" t="s">
        <v>16</v>
      </c>
      <c r="D115">
        <v>8.2204398264908773E-2</v>
      </c>
      <c r="E115" t="s">
        <v>6</v>
      </c>
      <c r="G115" t="s">
        <v>515</v>
      </c>
      <c r="H115" t="s">
        <v>16</v>
      </c>
      <c r="I115">
        <v>2.4658724406983194E-2</v>
      </c>
      <c r="J115" t="s">
        <v>6</v>
      </c>
    </row>
    <row r="116" spans="2:10" x14ac:dyDescent="0.45">
      <c r="B116" t="s">
        <v>514</v>
      </c>
      <c r="C116" t="s">
        <v>17</v>
      </c>
      <c r="D116">
        <v>0.10633353267811854</v>
      </c>
      <c r="E116" t="s">
        <v>6</v>
      </c>
      <c r="G116" t="s">
        <v>515</v>
      </c>
      <c r="H116" t="s">
        <v>17</v>
      </c>
      <c r="I116">
        <v>2.8034328160975369E-2</v>
      </c>
      <c r="J116" t="s">
        <v>6</v>
      </c>
    </row>
    <row r="117" spans="2:10" x14ac:dyDescent="0.45">
      <c r="B117" t="s">
        <v>514</v>
      </c>
      <c r="C117" t="s">
        <v>18</v>
      </c>
      <c r="D117">
        <v>6.5632643047256939E-2</v>
      </c>
      <c r="E117" t="s">
        <v>6</v>
      </c>
      <c r="G117" t="s">
        <v>515</v>
      </c>
      <c r="H117" t="s">
        <v>18</v>
      </c>
      <c r="I117">
        <v>3.1563636796465337E-2</v>
      </c>
      <c r="J117" t="s">
        <v>6</v>
      </c>
    </row>
    <row r="118" spans="2:10" x14ac:dyDescent="0.45">
      <c r="B118" t="s">
        <v>514</v>
      </c>
      <c r="C118" t="s">
        <v>19</v>
      </c>
      <c r="D118">
        <v>8.5532617091956791E-3</v>
      </c>
      <c r="E118" t="s">
        <v>6</v>
      </c>
      <c r="G118" t="s">
        <v>515</v>
      </c>
      <c r="H118" t="s">
        <v>19</v>
      </c>
      <c r="I118">
        <v>2.9465417331346885E-2</v>
      </c>
      <c r="J118" t="s">
        <v>6</v>
      </c>
    </row>
    <row r="119" spans="2:10" x14ac:dyDescent="0.45">
      <c r="B119" t="s">
        <v>514</v>
      </c>
      <c r="C119" t="s">
        <v>20</v>
      </c>
      <c r="D119">
        <v>0</v>
      </c>
      <c r="E119" t="s">
        <v>6</v>
      </c>
      <c r="G119" t="s">
        <v>515</v>
      </c>
      <c r="H119" t="s">
        <v>20</v>
      </c>
      <c r="I119">
        <v>5.1041867041434125E-2</v>
      </c>
      <c r="J119" t="s">
        <v>6</v>
      </c>
    </row>
    <row r="120" spans="2:10" x14ac:dyDescent="0.45">
      <c r="B120" t="s">
        <v>514</v>
      </c>
      <c r="C120" t="s">
        <v>21</v>
      </c>
      <c r="D120">
        <v>1.9618227649526209E-2</v>
      </c>
      <c r="E120" t="s">
        <v>6</v>
      </c>
      <c r="G120" t="s">
        <v>515</v>
      </c>
      <c r="H120" t="s">
        <v>21</v>
      </c>
      <c r="I120">
        <v>1.6609944310578415E-2</v>
      </c>
      <c r="J120" t="s">
        <v>6</v>
      </c>
    </row>
    <row r="121" spans="2:10" x14ac:dyDescent="0.45">
      <c r="B121" t="s">
        <v>514</v>
      </c>
      <c r="C121" t="s">
        <v>22</v>
      </c>
      <c r="D121">
        <v>9.312299074455177E-2</v>
      </c>
      <c r="E121" t="s">
        <v>6</v>
      </c>
      <c r="G121" t="s">
        <v>515</v>
      </c>
      <c r="H121" t="s">
        <v>22</v>
      </c>
      <c r="I121">
        <v>1.2917503802847298E-2</v>
      </c>
      <c r="J121" t="s">
        <v>6</v>
      </c>
    </row>
    <row r="122" spans="2:10" x14ac:dyDescent="0.45">
      <c r="B122" t="s">
        <v>514</v>
      </c>
      <c r="C122" t="s">
        <v>23</v>
      </c>
      <c r="D122">
        <v>0.11711245716845022</v>
      </c>
      <c r="E122" t="s">
        <v>6</v>
      </c>
      <c r="G122" t="s">
        <v>515</v>
      </c>
      <c r="H122" t="s">
        <v>23</v>
      </c>
      <c r="I122">
        <v>1.920339343035761E-2</v>
      </c>
      <c r="J122" t="s">
        <v>6</v>
      </c>
    </row>
    <row r="123" spans="2:10" x14ac:dyDescent="0.45">
      <c r="B123" t="s">
        <v>514</v>
      </c>
      <c r="C123" t="s">
        <v>24</v>
      </c>
      <c r="D123">
        <v>7.6834559951528283E-2</v>
      </c>
      <c r="E123" t="s">
        <v>6</v>
      </c>
      <c r="G123" t="s">
        <v>515</v>
      </c>
      <c r="H123" t="s">
        <v>24</v>
      </c>
      <c r="I123">
        <v>2.2440054483603211E-2</v>
      </c>
      <c r="J123" t="s">
        <v>6</v>
      </c>
    </row>
    <row r="124" spans="2:10" x14ac:dyDescent="0.45">
      <c r="B124" t="s">
        <v>514</v>
      </c>
      <c r="C124" t="s">
        <v>25</v>
      </c>
      <c r="D124">
        <v>1.3912969728895306E-2</v>
      </c>
      <c r="E124" t="s">
        <v>6</v>
      </c>
      <c r="G124" t="s">
        <v>515</v>
      </c>
      <c r="H124" t="s">
        <v>25</v>
      </c>
      <c r="I124">
        <v>2.0974187826466272E-2</v>
      </c>
      <c r="J124" t="s">
        <v>6</v>
      </c>
    </row>
    <row r="125" spans="2:10" x14ac:dyDescent="0.45">
      <c r="B125" t="s">
        <v>514</v>
      </c>
      <c r="C125" t="s">
        <v>26</v>
      </c>
      <c r="D125">
        <v>0</v>
      </c>
      <c r="E125" t="s">
        <v>6</v>
      </c>
      <c r="G125" t="s">
        <v>515</v>
      </c>
      <c r="H125" t="s">
        <v>26</v>
      </c>
      <c r="I125">
        <v>0.10189805399341571</v>
      </c>
      <c r="J125" t="s">
        <v>6</v>
      </c>
    </row>
    <row r="126" spans="2:10" x14ac:dyDescent="0.45">
      <c r="B126" t="s">
        <v>514</v>
      </c>
      <c r="C126" t="s">
        <v>27</v>
      </c>
      <c r="D126">
        <v>4.6788650968905858E-3</v>
      </c>
      <c r="E126" t="s">
        <v>6</v>
      </c>
      <c r="G126" t="s">
        <v>515</v>
      </c>
      <c r="H126" t="s">
        <v>27</v>
      </c>
      <c r="I126">
        <v>5.0274052125932021E-2</v>
      </c>
      <c r="J126" t="s">
        <v>6</v>
      </c>
    </row>
    <row r="127" spans="2:10" x14ac:dyDescent="0.45">
      <c r="B127" t="s">
        <v>514</v>
      </c>
      <c r="C127" t="s">
        <v>28</v>
      </c>
      <c r="D127">
        <v>6.0416453549581695E-2</v>
      </c>
      <c r="E127" t="s">
        <v>6</v>
      </c>
      <c r="G127" t="s">
        <v>515</v>
      </c>
      <c r="H127" t="s">
        <v>28</v>
      </c>
      <c r="I127">
        <v>3.5579458865930176E-2</v>
      </c>
      <c r="J127" t="s">
        <v>6</v>
      </c>
    </row>
    <row r="128" spans="2:10" x14ac:dyDescent="0.45">
      <c r="B128" t="s">
        <v>514</v>
      </c>
      <c r="C128" t="s">
        <v>29</v>
      </c>
      <c r="D128">
        <v>8.9183895325006993E-2</v>
      </c>
      <c r="E128" t="s">
        <v>6</v>
      </c>
      <c r="G128" t="s">
        <v>515</v>
      </c>
      <c r="H128" t="s">
        <v>29</v>
      </c>
      <c r="I128">
        <v>4.10397568900139E-2</v>
      </c>
      <c r="J128" t="s">
        <v>6</v>
      </c>
    </row>
    <row r="129" spans="2:10" x14ac:dyDescent="0.45">
      <c r="B129" t="s">
        <v>514</v>
      </c>
      <c r="C129" t="s">
        <v>30</v>
      </c>
      <c r="D129">
        <v>4.5258565063759942E-2</v>
      </c>
      <c r="E129" t="s">
        <v>6</v>
      </c>
      <c r="G129" t="s">
        <v>515</v>
      </c>
      <c r="H129" t="s">
        <v>30</v>
      </c>
      <c r="I129">
        <v>4.292148170281166E-2</v>
      </c>
      <c r="J129" t="s">
        <v>6</v>
      </c>
    </row>
    <row r="130" spans="2:10" x14ac:dyDescent="0.45">
      <c r="B130" t="s">
        <v>514</v>
      </c>
      <c r="C130" t="s">
        <v>31</v>
      </c>
      <c r="D130">
        <v>1.8187682343049814E-3</v>
      </c>
      <c r="E130" t="s">
        <v>6</v>
      </c>
      <c r="G130" t="s">
        <v>515</v>
      </c>
      <c r="H130" t="s">
        <v>31</v>
      </c>
      <c r="I130">
        <v>4.0723380611149107E-2</v>
      </c>
      <c r="J130" t="s">
        <v>6</v>
      </c>
    </row>
    <row r="131" spans="2:10" x14ac:dyDescent="0.45">
      <c r="B131" t="s">
        <v>516</v>
      </c>
      <c r="C131" t="s">
        <v>5</v>
      </c>
      <c r="D131">
        <v>0</v>
      </c>
      <c r="E131" t="s">
        <v>6</v>
      </c>
      <c r="G131" t="s">
        <v>517</v>
      </c>
      <c r="H131" t="s">
        <v>5</v>
      </c>
      <c r="I131">
        <v>0.11066112045505287</v>
      </c>
      <c r="J131" t="s">
        <v>6</v>
      </c>
    </row>
    <row r="132" spans="2:10" x14ac:dyDescent="0.45">
      <c r="B132" t="s">
        <v>516</v>
      </c>
      <c r="C132" t="s">
        <v>9</v>
      </c>
      <c r="D132">
        <v>2.1245522012327604E-4</v>
      </c>
      <c r="E132" t="s">
        <v>6</v>
      </c>
      <c r="G132" t="s">
        <v>517</v>
      </c>
      <c r="H132" t="s">
        <v>9</v>
      </c>
      <c r="I132">
        <v>4.7560933368334127E-2</v>
      </c>
      <c r="J132" t="s">
        <v>6</v>
      </c>
    </row>
    <row r="133" spans="2:10" x14ac:dyDescent="0.45">
      <c r="B133" t="s">
        <v>516</v>
      </c>
      <c r="C133" t="s">
        <v>10</v>
      </c>
      <c r="D133">
        <v>4.8597725018293868E-2</v>
      </c>
      <c r="E133" t="s">
        <v>6</v>
      </c>
      <c r="G133" t="s">
        <v>517</v>
      </c>
      <c r="H133" t="s">
        <v>10</v>
      </c>
      <c r="I133">
        <v>3.2783079336909299E-2</v>
      </c>
      <c r="J133" t="s">
        <v>6</v>
      </c>
    </row>
    <row r="134" spans="2:10" x14ac:dyDescent="0.45">
      <c r="B134" t="s">
        <v>516</v>
      </c>
      <c r="C134" t="s">
        <v>11</v>
      </c>
      <c r="D134">
        <v>9.7870293361413396E-2</v>
      </c>
      <c r="E134" t="s">
        <v>6</v>
      </c>
      <c r="G134" t="s">
        <v>517</v>
      </c>
      <c r="H134" t="s">
        <v>11</v>
      </c>
      <c r="I134">
        <v>3.3422175490093041E-2</v>
      </c>
      <c r="J134" t="s">
        <v>6</v>
      </c>
    </row>
    <row r="135" spans="2:10" x14ac:dyDescent="0.45">
      <c r="B135" t="s">
        <v>516</v>
      </c>
      <c r="C135" t="s">
        <v>12</v>
      </c>
      <c r="D135">
        <v>5.1410065773625495E-2</v>
      </c>
      <c r="E135" t="s">
        <v>6</v>
      </c>
      <c r="G135" t="s">
        <v>517</v>
      </c>
      <c r="H135" t="s">
        <v>12</v>
      </c>
      <c r="I135">
        <v>3.9217581446264249E-2</v>
      </c>
      <c r="J135" t="s">
        <v>6</v>
      </c>
    </row>
    <row r="136" spans="2:10" x14ac:dyDescent="0.45">
      <c r="B136" t="s">
        <v>516</v>
      </c>
      <c r="C136" t="s">
        <v>13</v>
      </c>
      <c r="D136">
        <v>8.8502178494084946E-4</v>
      </c>
      <c r="E136" t="s">
        <v>6</v>
      </c>
      <c r="G136" t="s">
        <v>517</v>
      </c>
      <c r="H136" t="s">
        <v>13</v>
      </c>
      <c r="I136">
        <v>4.2362688043533409E-2</v>
      </c>
      <c r="J136" t="s">
        <v>6</v>
      </c>
    </row>
    <row r="137" spans="2:10" x14ac:dyDescent="0.45">
      <c r="B137" t="s">
        <v>516</v>
      </c>
      <c r="C137" t="s">
        <v>14</v>
      </c>
      <c r="D137">
        <v>0</v>
      </c>
      <c r="E137" t="s">
        <v>6</v>
      </c>
      <c r="G137" t="s">
        <v>517</v>
      </c>
      <c r="H137" t="s">
        <v>14</v>
      </c>
      <c r="I137">
        <v>8.7083322126424292E-2</v>
      </c>
      <c r="J137" t="s">
        <v>6</v>
      </c>
    </row>
    <row r="138" spans="2:10" x14ac:dyDescent="0.45">
      <c r="B138" t="s">
        <v>516</v>
      </c>
      <c r="C138" t="s">
        <v>15</v>
      </c>
      <c r="D138">
        <v>1.1624500985414442E-2</v>
      </c>
      <c r="E138" t="s">
        <v>6</v>
      </c>
      <c r="G138" t="s">
        <v>517</v>
      </c>
      <c r="H138" t="s">
        <v>15</v>
      </c>
      <c r="I138">
        <v>3.5045425017987769E-2</v>
      </c>
      <c r="J138" t="s">
        <v>6</v>
      </c>
    </row>
    <row r="139" spans="2:10" x14ac:dyDescent="0.45">
      <c r="B139" t="s">
        <v>516</v>
      </c>
      <c r="C139" t="s">
        <v>16</v>
      </c>
      <c r="D139">
        <v>7.8502670699477625E-2</v>
      </c>
      <c r="E139" t="s">
        <v>6</v>
      </c>
      <c r="G139" t="s">
        <v>517</v>
      </c>
      <c r="H139" t="s">
        <v>16</v>
      </c>
      <c r="I139">
        <v>2.5205393167178344E-2</v>
      </c>
      <c r="J139" t="s">
        <v>6</v>
      </c>
    </row>
    <row r="140" spans="2:10" x14ac:dyDescent="0.45">
      <c r="B140" t="s">
        <v>516</v>
      </c>
      <c r="C140" t="s">
        <v>17</v>
      </c>
      <c r="D140">
        <v>0.10994264914822245</v>
      </c>
      <c r="E140" t="s">
        <v>6</v>
      </c>
      <c r="G140" t="s">
        <v>517</v>
      </c>
      <c r="H140" t="s">
        <v>17</v>
      </c>
      <c r="I140">
        <v>2.9587708328134687E-2</v>
      </c>
      <c r="J140" t="s">
        <v>6</v>
      </c>
    </row>
    <row r="141" spans="2:10" x14ac:dyDescent="0.45">
      <c r="B141" t="s">
        <v>516</v>
      </c>
      <c r="C141" t="s">
        <v>18</v>
      </c>
      <c r="D141">
        <v>7.195598491418978E-2</v>
      </c>
      <c r="E141" t="s">
        <v>6</v>
      </c>
      <c r="G141" t="s">
        <v>517</v>
      </c>
      <c r="H141" t="s">
        <v>18</v>
      </c>
      <c r="I141">
        <v>3.4493372405899503E-2</v>
      </c>
      <c r="J141" t="s">
        <v>6</v>
      </c>
    </row>
    <row r="142" spans="2:10" x14ac:dyDescent="0.45">
      <c r="B142" t="s">
        <v>516</v>
      </c>
      <c r="C142" t="s">
        <v>19</v>
      </c>
      <c r="D142">
        <v>9.8342812626060257E-3</v>
      </c>
      <c r="E142" t="s">
        <v>6</v>
      </c>
      <c r="G142" t="s">
        <v>517</v>
      </c>
      <c r="H142" t="s">
        <v>19</v>
      </c>
      <c r="I142">
        <v>3.4575788229968603E-2</v>
      </c>
      <c r="J142" t="s">
        <v>6</v>
      </c>
    </row>
    <row r="143" spans="2:10" x14ac:dyDescent="0.45">
      <c r="B143" t="s">
        <v>516</v>
      </c>
      <c r="C143" t="s">
        <v>20</v>
      </c>
      <c r="D143">
        <v>0</v>
      </c>
      <c r="E143" t="s">
        <v>6</v>
      </c>
      <c r="G143" t="s">
        <v>517</v>
      </c>
      <c r="H143" t="s">
        <v>20</v>
      </c>
      <c r="I143">
        <v>6.2881462662934207E-2</v>
      </c>
      <c r="J143" t="s">
        <v>6</v>
      </c>
    </row>
    <row r="144" spans="2:10" x14ac:dyDescent="0.45">
      <c r="B144" t="s">
        <v>516</v>
      </c>
      <c r="C144" t="s">
        <v>21</v>
      </c>
      <c r="D144">
        <v>1.7690340547867799E-2</v>
      </c>
      <c r="E144" t="s">
        <v>6</v>
      </c>
      <c r="G144" t="s">
        <v>517</v>
      </c>
      <c r="H144" t="s">
        <v>21</v>
      </c>
      <c r="I144">
        <v>1.9537242160448092E-2</v>
      </c>
      <c r="J144" t="s">
        <v>6</v>
      </c>
    </row>
    <row r="145" spans="2:10" x14ac:dyDescent="0.45">
      <c r="B145" t="s">
        <v>516</v>
      </c>
      <c r="C145" t="s">
        <v>22</v>
      </c>
      <c r="D145">
        <v>9.096215435672847E-2</v>
      </c>
      <c r="E145" t="s">
        <v>6</v>
      </c>
      <c r="G145" t="s">
        <v>517</v>
      </c>
      <c r="H145" t="s">
        <v>22</v>
      </c>
      <c r="I145">
        <v>1.4150546006473296E-2</v>
      </c>
      <c r="J145" t="s">
        <v>6</v>
      </c>
    </row>
    <row r="146" spans="2:10" x14ac:dyDescent="0.45">
      <c r="B146" t="s">
        <v>516</v>
      </c>
      <c r="C146" t="s">
        <v>23</v>
      </c>
      <c r="D146">
        <v>0.12070623562650243</v>
      </c>
      <c r="E146" t="s">
        <v>6</v>
      </c>
      <c r="G146" t="s">
        <v>517</v>
      </c>
      <c r="H146" t="s">
        <v>23</v>
      </c>
      <c r="I146">
        <v>2.1008846358114824E-2</v>
      </c>
      <c r="J146" t="s">
        <v>6</v>
      </c>
    </row>
    <row r="147" spans="2:10" x14ac:dyDescent="0.45">
      <c r="B147" t="s">
        <v>516</v>
      </c>
      <c r="C147" t="s">
        <v>24</v>
      </c>
      <c r="D147">
        <v>8.242886343927093E-2</v>
      </c>
      <c r="E147" t="s">
        <v>6</v>
      </c>
      <c r="G147" t="s">
        <v>517</v>
      </c>
      <c r="H147" t="s">
        <v>24</v>
      </c>
      <c r="I147">
        <v>2.5152933364333489E-2</v>
      </c>
      <c r="J147" t="s">
        <v>6</v>
      </c>
    </row>
    <row r="148" spans="2:10" x14ac:dyDescent="0.45">
      <c r="B148" t="s">
        <v>516</v>
      </c>
      <c r="C148" t="s">
        <v>25</v>
      </c>
      <c r="D148">
        <v>1.5411438354639987E-2</v>
      </c>
      <c r="E148" t="s">
        <v>6</v>
      </c>
      <c r="G148" t="s">
        <v>517</v>
      </c>
      <c r="H148" t="s">
        <v>25</v>
      </c>
      <c r="I148">
        <v>2.0320864788856616E-2</v>
      </c>
      <c r="J148" t="s">
        <v>6</v>
      </c>
    </row>
    <row r="149" spans="2:10" x14ac:dyDescent="0.45">
      <c r="B149" t="s">
        <v>516</v>
      </c>
      <c r="C149" t="s">
        <v>26</v>
      </c>
      <c r="D149">
        <v>0</v>
      </c>
      <c r="E149" t="s">
        <v>6</v>
      </c>
      <c r="G149" t="s">
        <v>517</v>
      </c>
      <c r="H149" t="s">
        <v>26</v>
      </c>
      <c r="I149">
        <v>9.3342409908683643E-2</v>
      </c>
      <c r="J149" t="s">
        <v>6</v>
      </c>
    </row>
    <row r="150" spans="2:10" x14ac:dyDescent="0.45">
      <c r="B150" t="s">
        <v>516</v>
      </c>
      <c r="C150" t="s">
        <v>27</v>
      </c>
      <c r="D150">
        <v>3.8577128617365464E-3</v>
      </c>
      <c r="E150" t="s">
        <v>6</v>
      </c>
      <c r="G150" t="s">
        <v>517</v>
      </c>
      <c r="H150" t="s">
        <v>27</v>
      </c>
      <c r="I150">
        <v>4.3302033336964821E-2</v>
      </c>
      <c r="J150" t="s">
        <v>6</v>
      </c>
    </row>
    <row r="151" spans="2:10" x14ac:dyDescent="0.45">
      <c r="B151" t="s">
        <v>516</v>
      </c>
      <c r="C151" t="s">
        <v>28</v>
      </c>
      <c r="D151">
        <v>5.424341303165308E-2</v>
      </c>
      <c r="E151" t="s">
        <v>6</v>
      </c>
      <c r="G151" t="s">
        <v>517</v>
      </c>
      <c r="H151" t="s">
        <v>28</v>
      </c>
      <c r="I151">
        <v>2.9630373791532282E-2</v>
      </c>
      <c r="J151" t="s">
        <v>6</v>
      </c>
    </row>
    <row r="152" spans="2:10" x14ac:dyDescent="0.45">
      <c r="B152" t="s">
        <v>516</v>
      </c>
      <c r="C152" t="s">
        <v>29</v>
      </c>
      <c r="D152">
        <v>8.5759704382889476E-2</v>
      </c>
      <c r="E152" t="s">
        <v>6</v>
      </c>
      <c r="G152" t="s">
        <v>517</v>
      </c>
      <c r="H152" t="s">
        <v>29</v>
      </c>
      <c r="I152">
        <v>3.7532683196902873E-2</v>
      </c>
      <c r="J152" t="s">
        <v>6</v>
      </c>
    </row>
    <row r="153" spans="2:10" x14ac:dyDescent="0.45">
      <c r="B153" t="s">
        <v>516</v>
      </c>
      <c r="C153" t="s">
        <v>30</v>
      </c>
      <c r="D153">
        <v>4.6102916251746139E-2</v>
      </c>
      <c r="E153" t="s">
        <v>6</v>
      </c>
      <c r="G153" t="s">
        <v>517</v>
      </c>
      <c r="H153" t="s">
        <v>30</v>
      </c>
      <c r="I153">
        <v>4.0530318927774978E-2</v>
      </c>
      <c r="J153" t="s">
        <v>6</v>
      </c>
    </row>
    <row r="154" spans="2:10" x14ac:dyDescent="0.45">
      <c r="B154" t="s">
        <v>516</v>
      </c>
      <c r="C154" t="s">
        <v>31</v>
      </c>
      <c r="D154">
        <v>2.0015729786572226E-3</v>
      </c>
      <c r="E154" t="s">
        <v>6</v>
      </c>
      <c r="G154" t="s">
        <v>517</v>
      </c>
      <c r="H154" t="s">
        <v>31</v>
      </c>
      <c r="I154">
        <v>4.0611698081200673E-2</v>
      </c>
      <c r="J154" t="s">
        <v>6</v>
      </c>
    </row>
    <row r="155" spans="2:10" x14ac:dyDescent="0.45">
      <c r="B155" t="s">
        <v>518</v>
      </c>
      <c r="C155" t="s">
        <v>5</v>
      </c>
      <c r="D155">
        <v>0</v>
      </c>
      <c r="E155" t="s">
        <v>6</v>
      </c>
    </row>
    <row r="156" spans="2:10" x14ac:dyDescent="0.45">
      <c r="B156" t="s">
        <v>518</v>
      </c>
      <c r="C156" t="s">
        <v>9</v>
      </c>
      <c r="D156">
        <v>3.1955522595464731E-4</v>
      </c>
      <c r="E156" t="s">
        <v>6</v>
      </c>
    </row>
    <row r="157" spans="2:10" x14ac:dyDescent="0.45">
      <c r="B157" t="s">
        <v>518</v>
      </c>
      <c r="C157" t="s">
        <v>10</v>
      </c>
      <c r="D157">
        <v>5.0348052220346003E-2</v>
      </c>
      <c r="E157" t="s">
        <v>6</v>
      </c>
    </row>
    <row r="158" spans="2:10" x14ac:dyDescent="0.45">
      <c r="B158" t="s">
        <v>518</v>
      </c>
      <c r="C158" t="s">
        <v>11</v>
      </c>
      <c r="D158">
        <v>9.7634592043031543E-2</v>
      </c>
      <c r="E158" t="s">
        <v>6</v>
      </c>
    </row>
    <row r="159" spans="2:10" x14ac:dyDescent="0.45">
      <c r="B159" t="s">
        <v>518</v>
      </c>
      <c r="C159" t="s">
        <v>12</v>
      </c>
      <c r="D159">
        <v>4.7380271989967804E-2</v>
      </c>
      <c r="E159" t="s">
        <v>6</v>
      </c>
    </row>
    <row r="160" spans="2:10" x14ac:dyDescent="0.45">
      <c r="B160" t="s">
        <v>518</v>
      </c>
      <c r="C160" t="s">
        <v>13</v>
      </c>
      <c r="D160">
        <v>6.4362271790375668E-4</v>
      </c>
      <c r="E160" t="s">
        <v>6</v>
      </c>
    </row>
    <row r="161" spans="2:5" x14ac:dyDescent="0.45">
      <c r="B161" t="s">
        <v>518</v>
      </c>
      <c r="C161" t="s">
        <v>14</v>
      </c>
      <c r="D161">
        <v>0</v>
      </c>
      <c r="E161" t="s">
        <v>6</v>
      </c>
    </row>
    <row r="162" spans="2:5" x14ac:dyDescent="0.45">
      <c r="B162" t="s">
        <v>518</v>
      </c>
      <c r="C162" t="s">
        <v>15</v>
      </c>
      <c r="D162">
        <v>1.3669484927078606E-2</v>
      </c>
      <c r="E162" t="s">
        <v>6</v>
      </c>
    </row>
    <row r="163" spans="2:5" x14ac:dyDescent="0.45">
      <c r="B163" t="s">
        <v>518</v>
      </c>
      <c r="C163" t="s">
        <v>16</v>
      </c>
      <c r="D163">
        <v>8.8048946103582007E-2</v>
      </c>
      <c r="E163" t="s">
        <v>6</v>
      </c>
    </row>
    <row r="164" spans="2:5" x14ac:dyDescent="0.45">
      <c r="B164" t="s">
        <v>518</v>
      </c>
      <c r="C164" t="s">
        <v>17</v>
      </c>
      <c r="D164">
        <v>0.11623057256892537</v>
      </c>
      <c r="E164" t="s">
        <v>6</v>
      </c>
    </row>
    <row r="165" spans="2:5" x14ac:dyDescent="0.45">
      <c r="B165" t="s">
        <v>518</v>
      </c>
      <c r="C165" t="s">
        <v>18</v>
      </c>
      <c r="D165">
        <v>7.2274556785082114E-2</v>
      </c>
      <c r="E165" t="s">
        <v>6</v>
      </c>
    </row>
    <row r="166" spans="2:5" x14ac:dyDescent="0.45">
      <c r="B166" t="s">
        <v>518</v>
      </c>
      <c r="C166" t="s">
        <v>19</v>
      </c>
      <c r="D166">
        <v>9.4335572874632463E-3</v>
      </c>
      <c r="E166" t="s">
        <v>6</v>
      </c>
    </row>
    <row r="167" spans="2:5" x14ac:dyDescent="0.45">
      <c r="B167" t="s">
        <v>518</v>
      </c>
      <c r="C167" t="s">
        <v>20</v>
      </c>
      <c r="D167">
        <v>0</v>
      </c>
      <c r="E167" t="s">
        <v>6</v>
      </c>
    </row>
    <row r="168" spans="2:5" x14ac:dyDescent="0.45">
      <c r="B168" t="s">
        <v>518</v>
      </c>
      <c r="C168" t="s">
        <v>21</v>
      </c>
      <c r="D168">
        <v>1.8419747152972704E-2</v>
      </c>
      <c r="E168" t="s">
        <v>6</v>
      </c>
    </row>
    <row r="169" spans="2:5" x14ac:dyDescent="0.45">
      <c r="B169" t="s">
        <v>518</v>
      </c>
      <c r="C169" t="s">
        <v>22</v>
      </c>
      <c r="D169">
        <v>8.7945530900111785E-2</v>
      </c>
      <c r="E169" t="s">
        <v>6</v>
      </c>
    </row>
    <row r="170" spans="2:5" x14ac:dyDescent="0.45">
      <c r="B170" t="s">
        <v>518</v>
      </c>
      <c r="C170" t="s">
        <v>23</v>
      </c>
      <c r="D170">
        <v>0.10898567055103071</v>
      </c>
      <c r="E170" t="s">
        <v>6</v>
      </c>
    </row>
    <row r="171" spans="2:5" x14ac:dyDescent="0.45">
      <c r="B171" t="s">
        <v>518</v>
      </c>
      <c r="C171" t="s">
        <v>24</v>
      </c>
      <c r="D171">
        <v>6.9287286510421625E-2</v>
      </c>
      <c r="E171" t="s">
        <v>6</v>
      </c>
    </row>
    <row r="172" spans="2:5" x14ac:dyDescent="0.45">
      <c r="B172" t="s">
        <v>518</v>
      </c>
      <c r="C172" t="s">
        <v>25</v>
      </c>
      <c r="D172">
        <v>1.2698323300872645E-2</v>
      </c>
      <c r="E172" t="s">
        <v>6</v>
      </c>
    </row>
    <row r="173" spans="2:5" x14ac:dyDescent="0.45">
      <c r="B173" t="s">
        <v>518</v>
      </c>
      <c r="C173" t="s">
        <v>26</v>
      </c>
      <c r="D173">
        <v>0</v>
      </c>
      <c r="E173" t="s">
        <v>6</v>
      </c>
    </row>
    <row r="174" spans="2:5" x14ac:dyDescent="0.45">
      <c r="B174" t="s">
        <v>518</v>
      </c>
      <c r="C174" t="s">
        <v>27</v>
      </c>
      <c r="D174">
        <v>4.3673331430314193E-3</v>
      </c>
      <c r="E174" t="s">
        <v>6</v>
      </c>
    </row>
    <row r="175" spans="2:5" x14ac:dyDescent="0.45">
      <c r="B175" t="s">
        <v>518</v>
      </c>
      <c r="C175" t="s">
        <v>28</v>
      </c>
      <c r="D175">
        <v>6.0894652991336805E-2</v>
      </c>
      <c r="E175" t="s">
        <v>6</v>
      </c>
    </row>
    <row r="176" spans="2:5" x14ac:dyDescent="0.45">
      <c r="B176" t="s">
        <v>518</v>
      </c>
      <c r="C176" t="s">
        <v>29</v>
      </c>
      <c r="D176">
        <v>9.3078618573703989E-2</v>
      </c>
      <c r="E176" t="s">
        <v>6</v>
      </c>
    </row>
    <row r="177" spans="2:5" x14ac:dyDescent="0.45">
      <c r="B177" t="s">
        <v>518</v>
      </c>
      <c r="C177" t="s">
        <v>30</v>
      </c>
      <c r="D177">
        <v>4.6635844111841532E-2</v>
      </c>
      <c r="E177" t="s">
        <v>6</v>
      </c>
    </row>
    <row r="178" spans="2:5" x14ac:dyDescent="0.45">
      <c r="B178" t="s">
        <v>518</v>
      </c>
      <c r="C178" t="s">
        <v>31</v>
      </c>
      <c r="D178">
        <v>1.7037808953425037E-3</v>
      </c>
      <c r="E178" t="s">
        <v>6</v>
      </c>
    </row>
    <row r="179" spans="2:5" x14ac:dyDescent="0.45">
      <c r="B179" t="s">
        <v>519</v>
      </c>
      <c r="C179" t="s">
        <v>5</v>
      </c>
      <c r="D179">
        <v>0</v>
      </c>
      <c r="E179" t="s">
        <v>6</v>
      </c>
    </row>
    <row r="180" spans="2:5" x14ac:dyDescent="0.45">
      <c r="B180" t="s">
        <v>519</v>
      </c>
      <c r="C180" t="s">
        <v>9</v>
      </c>
      <c r="D180">
        <v>2.986008200277859E-4</v>
      </c>
      <c r="E180" t="s">
        <v>6</v>
      </c>
    </row>
    <row r="181" spans="2:5" x14ac:dyDescent="0.45">
      <c r="B181" t="s">
        <v>519</v>
      </c>
      <c r="C181" t="s">
        <v>10</v>
      </c>
      <c r="D181">
        <v>4.7938323683709608E-2</v>
      </c>
      <c r="E181" t="s">
        <v>6</v>
      </c>
    </row>
    <row r="182" spans="2:5" x14ac:dyDescent="0.45">
      <c r="B182" t="s">
        <v>519</v>
      </c>
      <c r="C182" t="s">
        <v>11</v>
      </c>
      <c r="D182">
        <v>9.6918870890437991E-2</v>
      </c>
      <c r="E182" t="s">
        <v>6</v>
      </c>
    </row>
    <row r="183" spans="2:5" x14ac:dyDescent="0.45">
      <c r="B183" t="s">
        <v>519</v>
      </c>
      <c r="C183" t="s">
        <v>12</v>
      </c>
      <c r="D183">
        <v>4.635675147136295E-2</v>
      </c>
      <c r="E183" t="s">
        <v>6</v>
      </c>
    </row>
    <row r="184" spans="2:5" x14ac:dyDescent="0.45">
      <c r="B184" t="s">
        <v>519</v>
      </c>
      <c r="C184" t="s">
        <v>13</v>
      </c>
      <c r="D184">
        <v>6.1198616960497353E-4</v>
      </c>
      <c r="E184" t="s">
        <v>6</v>
      </c>
    </row>
    <row r="185" spans="2:5" x14ac:dyDescent="0.45">
      <c r="B185" t="s">
        <v>519</v>
      </c>
      <c r="C185" t="s">
        <v>14</v>
      </c>
      <c r="D185">
        <v>0</v>
      </c>
      <c r="E185" t="s">
        <v>6</v>
      </c>
    </row>
    <row r="186" spans="2:5" x14ac:dyDescent="0.45">
      <c r="B186" t="s">
        <v>519</v>
      </c>
      <c r="C186" t="s">
        <v>15</v>
      </c>
      <c r="D186">
        <v>1.2036059178533842E-2</v>
      </c>
      <c r="E186" t="s">
        <v>6</v>
      </c>
    </row>
    <row r="187" spans="2:5" x14ac:dyDescent="0.45">
      <c r="B187" t="s">
        <v>519</v>
      </c>
      <c r="C187" t="s">
        <v>16</v>
      </c>
      <c r="D187">
        <v>8.3930834927640391E-2</v>
      </c>
      <c r="E187" t="s">
        <v>6</v>
      </c>
    </row>
    <row r="188" spans="2:5" x14ac:dyDescent="0.45">
      <c r="B188" t="s">
        <v>519</v>
      </c>
      <c r="C188" t="s">
        <v>17</v>
      </c>
      <c r="D188">
        <v>0.11603910980566534</v>
      </c>
      <c r="E188" t="s">
        <v>6</v>
      </c>
    </row>
    <row r="189" spans="2:5" x14ac:dyDescent="0.45">
      <c r="B189" t="s">
        <v>519</v>
      </c>
      <c r="C189" t="s">
        <v>18</v>
      </c>
      <c r="D189">
        <v>7.1010919233804912E-2</v>
      </c>
      <c r="E189" t="s">
        <v>6</v>
      </c>
    </row>
    <row r="190" spans="2:5" x14ac:dyDescent="0.45">
      <c r="B190" t="s">
        <v>519</v>
      </c>
      <c r="C190" t="s">
        <v>19</v>
      </c>
      <c r="D190">
        <v>8.6692436301096243E-3</v>
      </c>
      <c r="E190" t="s">
        <v>6</v>
      </c>
    </row>
    <row r="191" spans="2:5" x14ac:dyDescent="0.45">
      <c r="B191" t="s">
        <v>519</v>
      </c>
      <c r="C191" t="s">
        <v>20</v>
      </c>
      <c r="D191">
        <v>0</v>
      </c>
      <c r="E191" t="s">
        <v>6</v>
      </c>
    </row>
    <row r="192" spans="2:5" x14ac:dyDescent="0.45">
      <c r="B192" t="s">
        <v>519</v>
      </c>
      <c r="C192" t="s">
        <v>21</v>
      </c>
      <c r="D192">
        <v>1.7936528747719411E-2</v>
      </c>
      <c r="E192" t="s">
        <v>6</v>
      </c>
    </row>
    <row r="193" spans="2:5" x14ac:dyDescent="0.45">
      <c r="B193" t="s">
        <v>519</v>
      </c>
      <c r="C193" t="s">
        <v>22</v>
      </c>
      <c r="D193">
        <v>8.9286367751544082E-2</v>
      </c>
      <c r="E193" t="s">
        <v>6</v>
      </c>
    </row>
    <row r="194" spans="2:5" x14ac:dyDescent="0.45">
      <c r="B194" t="s">
        <v>519</v>
      </c>
      <c r="C194" t="s">
        <v>23</v>
      </c>
      <c r="D194">
        <v>0.11589505882634969</v>
      </c>
      <c r="E194" t="s">
        <v>6</v>
      </c>
    </row>
    <row r="195" spans="2:5" x14ac:dyDescent="0.45">
      <c r="B195" t="s">
        <v>519</v>
      </c>
      <c r="C195" t="s">
        <v>24</v>
      </c>
      <c r="D195">
        <v>7.7379005978940693E-2</v>
      </c>
      <c r="E195" t="s">
        <v>6</v>
      </c>
    </row>
    <row r="196" spans="2:5" x14ac:dyDescent="0.45">
      <c r="B196" t="s">
        <v>519</v>
      </c>
      <c r="C196" t="s">
        <v>25</v>
      </c>
      <c r="D196">
        <v>1.3920633259187231E-2</v>
      </c>
      <c r="E196" t="s">
        <v>6</v>
      </c>
    </row>
    <row r="197" spans="2:5" x14ac:dyDescent="0.45">
      <c r="B197" t="s">
        <v>519</v>
      </c>
      <c r="C197" t="s">
        <v>26</v>
      </c>
      <c r="D197">
        <v>0</v>
      </c>
      <c r="E197" t="s">
        <v>6</v>
      </c>
    </row>
    <row r="198" spans="2:5" x14ac:dyDescent="0.45">
      <c r="B198" t="s">
        <v>519</v>
      </c>
      <c r="C198" t="s">
        <v>27</v>
      </c>
      <c r="D198">
        <v>3.9100476359546802E-3</v>
      </c>
      <c r="E198" t="s">
        <v>6</v>
      </c>
    </row>
    <row r="199" spans="2:5" x14ac:dyDescent="0.45">
      <c r="B199" t="s">
        <v>519</v>
      </c>
      <c r="C199" t="s">
        <v>28</v>
      </c>
      <c r="D199">
        <v>5.7438845415979899E-2</v>
      </c>
      <c r="E199" t="s">
        <v>6</v>
      </c>
    </row>
    <row r="200" spans="2:5" x14ac:dyDescent="0.45">
      <c r="B200" t="s">
        <v>519</v>
      </c>
      <c r="C200" t="s">
        <v>29</v>
      </c>
      <c r="D200">
        <v>9.1400747905952498E-2</v>
      </c>
      <c r="E200" t="s">
        <v>6</v>
      </c>
    </row>
    <row r="201" spans="2:5" x14ac:dyDescent="0.45">
      <c r="B201" t="s">
        <v>519</v>
      </c>
      <c r="C201" t="s">
        <v>30</v>
      </c>
      <c r="D201">
        <v>4.7303470594537045E-2</v>
      </c>
      <c r="E201" t="s">
        <v>6</v>
      </c>
    </row>
    <row r="202" spans="2:5" x14ac:dyDescent="0.45">
      <c r="B202" t="s">
        <v>519</v>
      </c>
      <c r="C202" t="s">
        <v>31</v>
      </c>
      <c r="D202">
        <v>1.7185940729365903E-3</v>
      </c>
      <c r="E202" t="s">
        <v>6</v>
      </c>
    </row>
    <row r="203" spans="2:5" x14ac:dyDescent="0.45">
      <c r="B203" t="s">
        <v>520</v>
      </c>
      <c r="C203" t="s">
        <v>5</v>
      </c>
      <c r="D203">
        <v>0</v>
      </c>
      <c r="E203" t="s">
        <v>6</v>
      </c>
    </row>
    <row r="204" spans="2:5" x14ac:dyDescent="0.45">
      <c r="B204" t="s">
        <v>520</v>
      </c>
      <c r="C204" t="s">
        <v>9</v>
      </c>
      <c r="D204">
        <v>1.1971171204967299E-4</v>
      </c>
      <c r="E204" t="s">
        <v>6</v>
      </c>
    </row>
    <row r="205" spans="2:5" x14ac:dyDescent="0.45">
      <c r="B205" t="s">
        <v>520</v>
      </c>
      <c r="C205" t="s">
        <v>10</v>
      </c>
      <c r="D205">
        <v>4.2507677024437578E-2</v>
      </c>
      <c r="E205" t="s">
        <v>6</v>
      </c>
    </row>
    <row r="206" spans="2:5" x14ac:dyDescent="0.45">
      <c r="B206" t="s">
        <v>520</v>
      </c>
      <c r="C206" t="s">
        <v>11</v>
      </c>
      <c r="D206">
        <v>9.6607788270025766E-2</v>
      </c>
      <c r="E206" t="s">
        <v>6</v>
      </c>
    </row>
    <row r="207" spans="2:5" x14ac:dyDescent="0.45">
      <c r="B207" t="s">
        <v>520</v>
      </c>
      <c r="C207" t="s">
        <v>12</v>
      </c>
      <c r="D207">
        <v>5.2643887305597478E-2</v>
      </c>
      <c r="E207" t="s">
        <v>6</v>
      </c>
    </row>
    <row r="208" spans="2:5" x14ac:dyDescent="0.45">
      <c r="B208" t="s">
        <v>520</v>
      </c>
      <c r="C208" t="s">
        <v>13</v>
      </c>
      <c r="D208">
        <v>1.4466099475182786E-3</v>
      </c>
      <c r="E208" t="s">
        <v>6</v>
      </c>
    </row>
    <row r="209" spans="2:5" x14ac:dyDescent="0.45">
      <c r="B209" t="s">
        <v>520</v>
      </c>
      <c r="C209" t="s">
        <v>14</v>
      </c>
      <c r="D209">
        <v>0</v>
      </c>
      <c r="E209" t="s">
        <v>6</v>
      </c>
    </row>
    <row r="210" spans="2:5" x14ac:dyDescent="0.45">
      <c r="B210" t="s">
        <v>520</v>
      </c>
      <c r="C210" t="s">
        <v>15</v>
      </c>
      <c r="D210">
        <v>8.6529497590003262E-3</v>
      </c>
      <c r="E210" t="s">
        <v>6</v>
      </c>
    </row>
    <row r="211" spans="2:5" x14ac:dyDescent="0.45">
      <c r="B211" t="s">
        <v>520</v>
      </c>
      <c r="C211" t="s">
        <v>16</v>
      </c>
      <c r="D211">
        <v>7.3491273558398865E-2</v>
      </c>
      <c r="E211" t="s">
        <v>6</v>
      </c>
    </row>
    <row r="212" spans="2:5" x14ac:dyDescent="0.45">
      <c r="B212" t="s">
        <v>520</v>
      </c>
      <c r="C212" t="s">
        <v>17</v>
      </c>
      <c r="D212">
        <v>0.10956623215367435</v>
      </c>
      <c r="E212" t="s">
        <v>6</v>
      </c>
    </row>
    <row r="213" spans="2:5" x14ac:dyDescent="0.45">
      <c r="B213" t="s">
        <v>520</v>
      </c>
      <c r="C213" t="s">
        <v>18</v>
      </c>
      <c r="D213">
        <v>7.5209596213214283E-2</v>
      </c>
      <c r="E213" t="s">
        <v>6</v>
      </c>
    </row>
    <row r="214" spans="2:5" x14ac:dyDescent="0.45">
      <c r="B214" t="s">
        <v>520</v>
      </c>
      <c r="C214" t="s">
        <v>19</v>
      </c>
      <c r="D214">
        <v>1.0753752035110867E-2</v>
      </c>
      <c r="E214" t="s">
        <v>6</v>
      </c>
    </row>
    <row r="215" spans="2:5" x14ac:dyDescent="0.45">
      <c r="B215" t="s">
        <v>520</v>
      </c>
      <c r="C215" t="s">
        <v>20</v>
      </c>
      <c r="D215">
        <v>0</v>
      </c>
      <c r="E215" t="s">
        <v>6</v>
      </c>
    </row>
    <row r="216" spans="2:5" x14ac:dyDescent="0.45">
      <c r="B216" t="s">
        <v>520</v>
      </c>
      <c r="C216" t="s">
        <v>21</v>
      </c>
      <c r="D216">
        <v>1.480906989029461E-2</v>
      </c>
      <c r="E216" t="s">
        <v>6</v>
      </c>
    </row>
    <row r="217" spans="2:5" x14ac:dyDescent="0.45">
      <c r="B217" t="s">
        <v>520</v>
      </c>
      <c r="C217" t="s">
        <v>22</v>
      </c>
      <c r="D217">
        <v>8.9217156583025162E-2</v>
      </c>
      <c r="E217" t="s">
        <v>6</v>
      </c>
    </row>
    <row r="218" spans="2:5" x14ac:dyDescent="0.45">
      <c r="B218" t="s">
        <v>520</v>
      </c>
      <c r="C218" t="s">
        <v>23</v>
      </c>
      <c r="D218">
        <v>0.12093300633714144</v>
      </c>
      <c r="E218" t="s">
        <v>6</v>
      </c>
    </row>
    <row r="219" spans="2:5" x14ac:dyDescent="0.45">
      <c r="B219" t="s">
        <v>520</v>
      </c>
      <c r="C219" t="s">
        <v>24</v>
      </c>
      <c r="D219">
        <v>8.4428871921358187E-2</v>
      </c>
      <c r="E219" t="s">
        <v>6</v>
      </c>
    </row>
    <row r="220" spans="2:5" x14ac:dyDescent="0.45">
      <c r="B220" t="s">
        <v>520</v>
      </c>
      <c r="C220" t="s">
        <v>25</v>
      </c>
      <c r="D220">
        <v>1.7600766961084383E-2</v>
      </c>
      <c r="E220" t="s">
        <v>6</v>
      </c>
    </row>
    <row r="221" spans="2:5" x14ac:dyDescent="0.45">
      <c r="B221" t="s">
        <v>520</v>
      </c>
      <c r="C221" t="s">
        <v>26</v>
      </c>
      <c r="D221">
        <v>0</v>
      </c>
      <c r="E221" t="s">
        <v>6</v>
      </c>
    </row>
    <row r="222" spans="2:5" x14ac:dyDescent="0.45">
      <c r="B222" t="s">
        <v>520</v>
      </c>
      <c r="C222" t="s">
        <v>27</v>
      </c>
      <c r="D222">
        <v>2.7353370547417806E-3</v>
      </c>
      <c r="E222" t="s">
        <v>6</v>
      </c>
    </row>
    <row r="223" spans="2:5" x14ac:dyDescent="0.45">
      <c r="B223" t="s">
        <v>520</v>
      </c>
      <c r="C223" t="s">
        <v>28</v>
      </c>
      <c r="D223">
        <v>5.3246951863366726E-2</v>
      </c>
      <c r="E223" t="s">
        <v>6</v>
      </c>
    </row>
    <row r="224" spans="2:5" x14ac:dyDescent="0.45">
      <c r="B224" t="s">
        <v>520</v>
      </c>
      <c r="C224" t="s">
        <v>29</v>
      </c>
      <c r="D224">
        <v>9.1316144499454022E-2</v>
      </c>
      <c r="E224" t="s">
        <v>6</v>
      </c>
    </row>
    <row r="225" spans="2:5" x14ac:dyDescent="0.45">
      <c r="B225" t="s">
        <v>520</v>
      </c>
      <c r="C225" t="s">
        <v>30</v>
      </c>
      <c r="D225">
        <v>5.2290144728473514E-2</v>
      </c>
      <c r="E225" t="s">
        <v>6</v>
      </c>
    </row>
    <row r="226" spans="2:5" x14ac:dyDescent="0.45">
      <c r="B226" t="s">
        <v>520</v>
      </c>
      <c r="C226" t="s">
        <v>31</v>
      </c>
      <c r="D226">
        <v>2.4230721820314351E-3</v>
      </c>
      <c r="E226" t="s">
        <v>6</v>
      </c>
    </row>
    <row r="227" spans="2:5" x14ac:dyDescent="0.45">
      <c r="B227" t="s">
        <v>521</v>
      </c>
      <c r="C227" t="s">
        <v>5</v>
      </c>
      <c r="D227">
        <v>0</v>
      </c>
      <c r="E227" t="s">
        <v>6</v>
      </c>
    </row>
    <row r="228" spans="2:5" x14ac:dyDescent="0.45">
      <c r="B228" t="s">
        <v>521</v>
      </c>
      <c r="C228" t="s">
        <v>9</v>
      </c>
      <c r="D228">
        <v>1.6305855482136181E-4</v>
      </c>
      <c r="E228" t="s">
        <v>6</v>
      </c>
    </row>
    <row r="229" spans="2:5" x14ac:dyDescent="0.45">
      <c r="B229" t="s">
        <v>521</v>
      </c>
      <c r="C229" t="s">
        <v>10</v>
      </c>
      <c r="D229">
        <v>4.5216115410050078E-2</v>
      </c>
      <c r="E229" t="s">
        <v>6</v>
      </c>
    </row>
    <row r="230" spans="2:5" x14ac:dyDescent="0.45">
      <c r="B230" t="s">
        <v>521</v>
      </c>
      <c r="C230" t="s">
        <v>11</v>
      </c>
      <c r="D230">
        <v>9.6621866063759845E-2</v>
      </c>
      <c r="E230" t="s">
        <v>6</v>
      </c>
    </row>
    <row r="231" spans="2:5" x14ac:dyDescent="0.45">
      <c r="B231" t="s">
        <v>521</v>
      </c>
      <c r="C231" t="s">
        <v>12</v>
      </c>
      <c r="D231">
        <v>5.0751982991676901E-2</v>
      </c>
      <c r="E231" t="s">
        <v>6</v>
      </c>
    </row>
    <row r="232" spans="2:5" x14ac:dyDescent="0.45">
      <c r="B232" t="s">
        <v>521</v>
      </c>
      <c r="C232" t="s">
        <v>13</v>
      </c>
      <c r="D232">
        <v>9.8192041412919519E-4</v>
      </c>
      <c r="E232" t="s">
        <v>6</v>
      </c>
    </row>
    <row r="233" spans="2:5" x14ac:dyDescent="0.45">
      <c r="B233" t="s">
        <v>521</v>
      </c>
      <c r="C233" t="s">
        <v>14</v>
      </c>
      <c r="D233">
        <v>0</v>
      </c>
      <c r="E233" t="s">
        <v>6</v>
      </c>
    </row>
    <row r="234" spans="2:5" x14ac:dyDescent="0.45">
      <c r="B234" t="s">
        <v>521</v>
      </c>
      <c r="C234" t="s">
        <v>15</v>
      </c>
      <c r="D234">
        <v>1.087400011974941E-2</v>
      </c>
      <c r="E234" t="s">
        <v>6</v>
      </c>
    </row>
    <row r="235" spans="2:5" x14ac:dyDescent="0.45">
      <c r="B235" t="s">
        <v>521</v>
      </c>
      <c r="C235" t="s">
        <v>16</v>
      </c>
      <c r="D235">
        <v>7.9826621929726602E-2</v>
      </c>
      <c r="E235" t="s">
        <v>6</v>
      </c>
    </row>
    <row r="236" spans="2:5" x14ac:dyDescent="0.45">
      <c r="B236" t="s">
        <v>521</v>
      </c>
      <c r="C236" t="s">
        <v>17</v>
      </c>
      <c r="D236">
        <v>0.11519793132772843</v>
      </c>
      <c r="E236" t="s">
        <v>6</v>
      </c>
    </row>
    <row r="237" spans="2:5" x14ac:dyDescent="0.45">
      <c r="B237" t="s">
        <v>521</v>
      </c>
      <c r="C237" t="s">
        <v>18</v>
      </c>
      <c r="D237">
        <v>7.7199021356903444E-2</v>
      </c>
      <c r="E237" t="s">
        <v>6</v>
      </c>
    </row>
    <row r="238" spans="2:5" x14ac:dyDescent="0.45">
      <c r="B238" t="s">
        <v>521</v>
      </c>
      <c r="C238" t="s">
        <v>19</v>
      </c>
      <c r="D238">
        <v>1.0889392320496115E-2</v>
      </c>
      <c r="E238" t="s">
        <v>6</v>
      </c>
    </row>
    <row r="239" spans="2:5" x14ac:dyDescent="0.45">
      <c r="B239" t="s">
        <v>521</v>
      </c>
      <c r="C239" t="s">
        <v>20</v>
      </c>
      <c r="D239">
        <v>0</v>
      </c>
      <c r="E239" t="s">
        <v>6</v>
      </c>
    </row>
    <row r="240" spans="2:5" x14ac:dyDescent="0.45">
      <c r="B240" t="s">
        <v>521</v>
      </c>
      <c r="C240" t="s">
        <v>21</v>
      </c>
      <c r="D240">
        <v>1.5306550477625568E-2</v>
      </c>
      <c r="E240" t="s">
        <v>6</v>
      </c>
    </row>
    <row r="241" spans="2:5" x14ac:dyDescent="0.45">
      <c r="B241" t="s">
        <v>521</v>
      </c>
      <c r="C241" t="s">
        <v>22</v>
      </c>
      <c r="D241">
        <v>8.5333221361713896E-2</v>
      </c>
      <c r="E241" t="s">
        <v>6</v>
      </c>
    </row>
    <row r="242" spans="2:5" x14ac:dyDescent="0.45">
      <c r="B242" t="s">
        <v>521</v>
      </c>
      <c r="C242" t="s">
        <v>23</v>
      </c>
      <c r="D242">
        <v>0.11407068366146443</v>
      </c>
      <c r="E242" t="s">
        <v>6</v>
      </c>
    </row>
    <row r="243" spans="2:5" x14ac:dyDescent="0.45">
      <c r="B243" t="s">
        <v>521</v>
      </c>
      <c r="C243" t="s">
        <v>24</v>
      </c>
      <c r="D243">
        <v>7.6752078122464124E-2</v>
      </c>
      <c r="E243" t="s">
        <v>6</v>
      </c>
    </row>
    <row r="244" spans="2:5" x14ac:dyDescent="0.45">
      <c r="B244" t="s">
        <v>521</v>
      </c>
      <c r="C244" t="s">
        <v>25</v>
      </c>
      <c r="D244">
        <v>1.58514534549314E-2</v>
      </c>
      <c r="E244" t="s">
        <v>6</v>
      </c>
    </row>
    <row r="245" spans="2:5" x14ac:dyDescent="0.45">
      <c r="B245" t="s">
        <v>521</v>
      </c>
      <c r="C245" t="s">
        <v>26</v>
      </c>
      <c r="D245">
        <v>0</v>
      </c>
      <c r="E245" t="s">
        <v>6</v>
      </c>
    </row>
    <row r="246" spans="2:5" x14ac:dyDescent="0.45">
      <c r="B246" t="s">
        <v>521</v>
      </c>
      <c r="C246" t="s">
        <v>27</v>
      </c>
      <c r="D246">
        <v>3.3354565480270314E-3</v>
      </c>
      <c r="E246" t="s">
        <v>6</v>
      </c>
    </row>
    <row r="247" spans="2:5" x14ac:dyDescent="0.45">
      <c r="B247" t="s">
        <v>521</v>
      </c>
      <c r="C247" t="s">
        <v>28</v>
      </c>
      <c r="D247">
        <v>5.599826807407296E-2</v>
      </c>
      <c r="E247" t="s">
        <v>6</v>
      </c>
    </row>
    <row r="248" spans="2:5" x14ac:dyDescent="0.45">
      <c r="B248" t="s">
        <v>521</v>
      </c>
      <c r="C248" t="s">
        <v>29</v>
      </c>
      <c r="D248">
        <v>9.2670951199465543E-2</v>
      </c>
      <c r="E248" t="s">
        <v>6</v>
      </c>
    </row>
    <row r="249" spans="2:5" x14ac:dyDescent="0.45">
      <c r="B249" t="s">
        <v>521</v>
      </c>
      <c r="C249" t="s">
        <v>30</v>
      </c>
      <c r="D249">
        <v>5.0911560161937951E-2</v>
      </c>
      <c r="E249" t="s">
        <v>6</v>
      </c>
    </row>
    <row r="250" spans="2:5" x14ac:dyDescent="0.45">
      <c r="B250" t="s">
        <v>521</v>
      </c>
      <c r="C250" t="s">
        <v>31</v>
      </c>
      <c r="D250">
        <v>2.0478664492548058E-3</v>
      </c>
      <c r="E250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2C0BA-B6BF-4C2A-9FBF-9E3A6BADC3E5}">
  <dimension ref="B9:DH26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other_indexes=ACT; region=CHE")</f>
        <v>~TFM_DINS-TSL: attribute=FLO_EMIS; other_indexes=ACT; region=CHE</v>
      </c>
      <c r="AC9" t="str">
        <f>IF(A11="x","DeActivated","~TFM_INS-TSL: attribute=FLO_SHAR; limtype=FX; region=CHE")</f>
        <v>~TFM_INS-TSL: attribute=FLO_SHAR; limtype=FX; region=CHE</v>
      </c>
      <c r="BD9" t="str">
        <f>IF(A11="x","DeActivated","~TFM_INS-TSL: attribute=FLO_SHAR; limtype=FX; region=CHE")</f>
        <v>~TFM_INS-TSL: attribute=FLO_SHAR; limtype=FX; region=CHE</v>
      </c>
      <c r="CE9" t="str">
        <f>IF(A11="x","DeActivated","~TFM_DINS-TSL: attribute=NCAP_PKCNT; region=CHE")</f>
        <v>~TFM_DINS-TSL: attribute=NCAP_PKCNT; region=CHE</v>
      </c>
      <c r="DE9" t="str">
        <f>IF(A11="x","DeActivated","~TFM_DINS-AT: region=CHE")</f>
        <v>~TFM_DINS-AT: region=CHE</v>
      </c>
    </row>
    <row r="10" spans="2:112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C10" t="s">
        <v>3</v>
      </c>
      <c r="AD10" t="s">
        <v>0</v>
      </c>
      <c r="AE10" t="s">
        <v>5</v>
      </c>
      <c r="AF10" t="s">
        <v>9</v>
      </c>
      <c r="AG10" t="s">
        <v>10</v>
      </c>
      <c r="AH10" t="s">
        <v>11</v>
      </c>
      <c r="AI10" t="s">
        <v>12</v>
      </c>
      <c r="AJ10" t="s">
        <v>13</v>
      </c>
      <c r="AK10" t="s">
        <v>14</v>
      </c>
      <c r="AL10" t="s">
        <v>15</v>
      </c>
      <c r="AM10" t="s">
        <v>16</v>
      </c>
      <c r="AN10" t="s">
        <v>17</v>
      </c>
      <c r="AO10" t="s">
        <v>18</v>
      </c>
      <c r="AP10" t="s">
        <v>19</v>
      </c>
      <c r="AQ10" t="s">
        <v>20</v>
      </c>
      <c r="AR10" t="s">
        <v>21</v>
      </c>
      <c r="AS10" t="s">
        <v>22</v>
      </c>
      <c r="AT10" t="s">
        <v>23</v>
      </c>
      <c r="AU10" t="s">
        <v>24</v>
      </c>
      <c r="AV10" t="s">
        <v>25</v>
      </c>
      <c r="AW10" t="s">
        <v>26</v>
      </c>
      <c r="AX10" t="s">
        <v>27</v>
      </c>
      <c r="AY10" t="s">
        <v>28</v>
      </c>
      <c r="AZ10" t="s">
        <v>29</v>
      </c>
      <c r="BA10" t="s">
        <v>30</v>
      </c>
      <c r="BB10" t="s">
        <v>31</v>
      </c>
      <c r="BD10" t="s">
        <v>3</v>
      </c>
      <c r="BE10" t="s">
        <v>0</v>
      </c>
      <c r="BF10" t="s">
        <v>5</v>
      </c>
      <c r="BG10" t="s">
        <v>9</v>
      </c>
      <c r="BH10" t="s">
        <v>10</v>
      </c>
      <c r="BI10" t="s">
        <v>11</v>
      </c>
      <c r="BJ10" t="s">
        <v>12</v>
      </c>
      <c r="BK10" t="s">
        <v>13</v>
      </c>
      <c r="BL10" t="s">
        <v>14</v>
      </c>
      <c r="BM10" t="s">
        <v>15</v>
      </c>
      <c r="BN10" t="s">
        <v>16</v>
      </c>
      <c r="BO10" t="s">
        <v>17</v>
      </c>
      <c r="BP10" t="s">
        <v>18</v>
      </c>
      <c r="BQ10" t="s">
        <v>19</v>
      </c>
      <c r="BR10" t="s">
        <v>20</v>
      </c>
      <c r="BS10" t="s">
        <v>21</v>
      </c>
      <c r="BT10" t="s">
        <v>22</v>
      </c>
      <c r="BU10" t="s">
        <v>23</v>
      </c>
      <c r="BV10" t="s">
        <v>24</v>
      </c>
      <c r="BW10" t="s">
        <v>25</v>
      </c>
      <c r="BX10" t="s">
        <v>26</v>
      </c>
      <c r="BY10" t="s">
        <v>27</v>
      </c>
      <c r="BZ10" t="s">
        <v>28</v>
      </c>
      <c r="CA10" t="s">
        <v>29</v>
      </c>
      <c r="CB10" t="s">
        <v>30</v>
      </c>
      <c r="CC10" t="s">
        <v>31</v>
      </c>
      <c r="CE10" t="s">
        <v>3</v>
      </c>
      <c r="CF10" t="s">
        <v>5</v>
      </c>
      <c r="CG10" t="s">
        <v>9</v>
      </c>
      <c r="CH10" t="s">
        <v>10</v>
      </c>
      <c r="CI10" t="s">
        <v>11</v>
      </c>
      <c r="CJ10" t="s">
        <v>12</v>
      </c>
      <c r="CK10" t="s">
        <v>13</v>
      </c>
      <c r="CL10" t="s">
        <v>14</v>
      </c>
      <c r="CM10" t="s">
        <v>15</v>
      </c>
      <c r="CN10" t="s">
        <v>16</v>
      </c>
      <c r="CO10" t="s">
        <v>17</v>
      </c>
      <c r="CP10" t="s">
        <v>18</v>
      </c>
      <c r="CQ10" t="s">
        <v>19</v>
      </c>
      <c r="CR10" t="s">
        <v>20</v>
      </c>
      <c r="CS10" t="s">
        <v>21</v>
      </c>
      <c r="CT10" t="s">
        <v>22</v>
      </c>
      <c r="CU10" t="s">
        <v>23</v>
      </c>
      <c r="CV10" t="s">
        <v>24</v>
      </c>
      <c r="CW10" t="s">
        <v>25</v>
      </c>
      <c r="CX10" t="s">
        <v>26</v>
      </c>
      <c r="CY10" t="s">
        <v>27</v>
      </c>
      <c r="CZ10" t="s">
        <v>28</v>
      </c>
      <c r="DA10" t="s">
        <v>29</v>
      </c>
      <c r="DB10" t="s">
        <v>30</v>
      </c>
      <c r="DC10" t="s">
        <v>31</v>
      </c>
      <c r="DE10" t="s">
        <v>3</v>
      </c>
      <c r="DF10" t="s">
        <v>0</v>
      </c>
      <c r="DG10" t="s">
        <v>104</v>
      </c>
      <c r="DH10" t="s">
        <v>105</v>
      </c>
    </row>
    <row r="11" spans="2:112" x14ac:dyDescent="0.45">
      <c r="B11" t="s">
        <v>522</v>
      </c>
      <c r="C11" t="s">
        <v>107</v>
      </c>
      <c r="D11">
        <v>0</v>
      </c>
      <c r="E11">
        <v>0.97777777777777797</v>
      </c>
      <c r="F11">
        <v>0.33396586389146693</v>
      </c>
      <c r="G11">
        <v>0.19659927532912294</v>
      </c>
      <c r="H11">
        <v>0.33870947310008204</v>
      </c>
      <c r="I11">
        <v>0.92120261195244579</v>
      </c>
      <c r="J11">
        <v>0</v>
      </c>
      <c r="K11">
        <v>0.61579834718180326</v>
      </c>
      <c r="L11">
        <v>0.21325777331204981</v>
      </c>
      <c r="M11">
        <v>0.17055784969685822</v>
      </c>
      <c r="N11">
        <v>0.2113601129878375</v>
      </c>
      <c r="O11">
        <v>0.52820416459874453</v>
      </c>
      <c r="P11">
        <v>0</v>
      </c>
      <c r="Q11">
        <v>0.52359157424177583</v>
      </c>
      <c r="R11">
        <v>0.17147685965748935</v>
      </c>
      <c r="S11">
        <v>0.12468082715891189</v>
      </c>
      <c r="T11">
        <v>0.15663763474805917</v>
      </c>
      <c r="U11">
        <v>0.39281539207484145</v>
      </c>
      <c r="V11">
        <v>0</v>
      </c>
      <c r="W11">
        <v>0.7820225576479215</v>
      </c>
      <c r="X11">
        <v>0.28061767614306454</v>
      </c>
      <c r="Y11">
        <v>0.193633842237356</v>
      </c>
      <c r="Z11">
        <v>0.30144755928997286</v>
      </c>
      <c r="AA11">
        <v>0.82050302062103675</v>
      </c>
      <c r="AC11" t="s">
        <v>108</v>
      </c>
      <c r="AD11" t="s">
        <v>109</v>
      </c>
      <c r="AE11">
        <v>0</v>
      </c>
      <c r="AF11">
        <v>0.94432693219915942</v>
      </c>
      <c r="AG11">
        <v>0.21458804167053824</v>
      </c>
      <c r="AH11">
        <v>9.139380495345388E-2</v>
      </c>
      <c r="AI11">
        <v>2.7769854796336525E-2</v>
      </c>
      <c r="AJ11">
        <v>0.34538128531753287</v>
      </c>
      <c r="AK11">
        <v>0</v>
      </c>
      <c r="AL11">
        <v>0.45753161919111568</v>
      </c>
      <c r="AM11">
        <v>0.12986149532318644</v>
      </c>
      <c r="AN11">
        <v>5.5107991361700477E-2</v>
      </c>
      <c r="AO11">
        <v>1.5361995187100394E-2</v>
      </c>
      <c r="AP11">
        <v>0.26585199035270907</v>
      </c>
      <c r="AQ11">
        <v>0</v>
      </c>
      <c r="AR11">
        <v>0.37987086808913201</v>
      </c>
      <c r="AS11">
        <v>8.8893288748103511E-2</v>
      </c>
      <c r="AT11">
        <v>4.6215941896795523E-2</v>
      </c>
      <c r="AU11">
        <v>1.0159481059053959E-2</v>
      </c>
      <c r="AV11">
        <v>0.23013862243108071</v>
      </c>
      <c r="AW11">
        <v>0</v>
      </c>
      <c r="AX11">
        <v>0.65314712967177124</v>
      </c>
      <c r="AY11">
        <v>0.17502104593248413</v>
      </c>
      <c r="AZ11">
        <v>6.2157167510466432E-2</v>
      </c>
      <c r="BA11">
        <v>2.3488819131515733E-2</v>
      </c>
      <c r="BB11">
        <v>0.20854741894276471</v>
      </c>
      <c r="BD11" t="s">
        <v>108</v>
      </c>
      <c r="BE11" t="s">
        <v>110</v>
      </c>
      <c r="BF11">
        <v>0</v>
      </c>
      <c r="BG11">
        <v>0</v>
      </c>
      <c r="BH11">
        <v>0</v>
      </c>
      <c r="BI11">
        <v>7.8423131153866968E-3</v>
      </c>
      <c r="BJ11">
        <v>0.17049153768083572</v>
      </c>
      <c r="BK11">
        <v>0.37385585112615677</v>
      </c>
      <c r="BL11">
        <v>0</v>
      </c>
      <c r="BM11">
        <v>0</v>
      </c>
      <c r="BN11">
        <v>0</v>
      </c>
      <c r="BO11">
        <v>3.8058984126673703E-2</v>
      </c>
      <c r="BP11">
        <v>0.10645560118463726</v>
      </c>
      <c r="BQ11">
        <v>3.6957935752464893E-2</v>
      </c>
      <c r="BR11">
        <v>0</v>
      </c>
      <c r="BS11">
        <v>0</v>
      </c>
      <c r="BT11">
        <v>0</v>
      </c>
      <c r="BU11">
        <v>7.5672229845684287E-3</v>
      </c>
      <c r="BV11">
        <v>7.2439873898360554E-2</v>
      </c>
      <c r="BW11">
        <v>3.4896428203573145E-2</v>
      </c>
      <c r="BX11">
        <v>0</v>
      </c>
      <c r="BY11">
        <v>0</v>
      </c>
      <c r="BZ11">
        <v>0</v>
      </c>
      <c r="CA11">
        <v>4.5768292238815865E-2</v>
      </c>
      <c r="CB11">
        <v>0.15161254415012429</v>
      </c>
      <c r="CC11">
        <v>0.1144518450558478</v>
      </c>
      <c r="CE11" t="s">
        <v>522</v>
      </c>
      <c r="CF11">
        <v>0</v>
      </c>
      <c r="CG11">
        <v>6.2850691461444216E-4</v>
      </c>
      <c r="CH11">
        <v>0.1920747888424344</v>
      </c>
      <c r="CI11">
        <v>0.4237052788929645</v>
      </c>
      <c r="CJ11">
        <v>0.214272924258648</v>
      </c>
      <c r="CK11">
        <v>4.2340759380318695E-3</v>
      </c>
      <c r="CL11">
        <v>0</v>
      </c>
      <c r="CM11">
        <v>3.5421606597745098E-2</v>
      </c>
      <c r="CN11">
        <v>0.35010762620785019</v>
      </c>
      <c r="CO11">
        <v>0.50294666912725872</v>
      </c>
      <c r="CP11">
        <v>0.32473304822243432</v>
      </c>
      <c r="CQ11">
        <v>4.3855449978177079E-2</v>
      </c>
      <c r="CR11">
        <v>0</v>
      </c>
      <c r="CS11">
        <v>5.6129227256749813E-2</v>
      </c>
      <c r="CT11">
        <v>0.40609467600356774</v>
      </c>
      <c r="CU11">
        <v>0.54722931308462075</v>
      </c>
      <c r="CV11">
        <v>0.37851096859537969</v>
      </c>
      <c r="CW11">
        <v>7.4678495802022016E-2</v>
      </c>
      <c r="CX11">
        <v>0</v>
      </c>
      <c r="CY11">
        <v>1.1371518226786259E-2</v>
      </c>
      <c r="CZ11">
        <v>0.24531596515489765</v>
      </c>
      <c r="DA11">
        <v>0.41657682851575428</v>
      </c>
      <c r="DB11">
        <v>0.22844209673733995</v>
      </c>
      <c r="DC11">
        <v>9.2280664206233678E-3</v>
      </c>
      <c r="DE11" t="s">
        <v>522</v>
      </c>
      <c r="DF11" t="s">
        <v>111</v>
      </c>
      <c r="DG11" t="s">
        <v>112</v>
      </c>
      <c r="DH11">
        <v>0.52005075391285194</v>
      </c>
    </row>
    <row r="12" spans="2:112" x14ac:dyDescent="0.45">
      <c r="B12" t="s">
        <v>523</v>
      </c>
      <c r="C12" t="s">
        <v>107</v>
      </c>
      <c r="D12">
        <v>0</v>
      </c>
      <c r="E12">
        <v>0.97422974662799577</v>
      </c>
      <c r="F12">
        <v>0.33831666383150349</v>
      </c>
      <c r="G12">
        <v>0.19937825217464483</v>
      </c>
      <c r="H12">
        <v>0.35478809877612588</v>
      </c>
      <c r="I12">
        <v>0.92764363922410464</v>
      </c>
      <c r="J12">
        <v>0</v>
      </c>
      <c r="K12">
        <v>0.60955716991979869</v>
      </c>
      <c r="L12">
        <v>0.21807978110345005</v>
      </c>
      <c r="M12">
        <v>0.17663546670936847</v>
      </c>
      <c r="N12">
        <v>0.21758219304276041</v>
      </c>
      <c r="O12">
        <v>0.54315852214869975</v>
      </c>
      <c r="P12">
        <v>0</v>
      </c>
      <c r="Q12">
        <v>0.51420493189659</v>
      </c>
      <c r="R12">
        <v>0.18268735549390713</v>
      </c>
      <c r="S12">
        <v>0.14041637330914467</v>
      </c>
      <c r="T12">
        <v>0.16372945991766494</v>
      </c>
      <c r="U12">
        <v>0.4102132244727813</v>
      </c>
      <c r="V12">
        <v>0</v>
      </c>
      <c r="W12">
        <v>0.77818148017064692</v>
      </c>
      <c r="X12">
        <v>0.29426168892069099</v>
      </c>
      <c r="Y12">
        <v>0.22543269460927565</v>
      </c>
      <c r="Z12">
        <v>0.31777205131582598</v>
      </c>
      <c r="AA12">
        <v>0.8268366581233535</v>
      </c>
      <c r="AC12" t="s">
        <v>114</v>
      </c>
      <c r="AD12" t="s">
        <v>109</v>
      </c>
      <c r="AE12">
        <v>1.2502311500320442E-2</v>
      </c>
      <c r="AF12">
        <v>0</v>
      </c>
      <c r="AG12">
        <v>3.2261542744511273E-4</v>
      </c>
      <c r="AH12">
        <v>4.9164259624798869E-3</v>
      </c>
      <c r="AI12">
        <v>1.5048253472202389E-2</v>
      </c>
      <c r="AJ12">
        <v>3.1912843098782874E-2</v>
      </c>
      <c r="AK12">
        <v>5.1333093797871848E-2</v>
      </c>
      <c r="AL12">
        <v>9.1592784146352375E-3</v>
      </c>
      <c r="AM12">
        <v>2.8082057465762866E-2</v>
      </c>
      <c r="AN12">
        <v>4.0679626695349184E-2</v>
      </c>
      <c r="AO12">
        <v>4.7618774520973545E-2</v>
      </c>
      <c r="AP12">
        <v>5.3217102658978353E-2</v>
      </c>
      <c r="AQ12">
        <v>2.6357808478932852E-2</v>
      </c>
      <c r="AR12">
        <v>1.8554383617987707E-2</v>
      </c>
      <c r="AS12">
        <v>1.7668542259436607E-2</v>
      </c>
      <c r="AT12">
        <v>4.5703883695701664E-2</v>
      </c>
      <c r="AU12">
        <v>4.1176369651419971E-2</v>
      </c>
      <c r="AV12">
        <v>7.6070721508440728E-2</v>
      </c>
      <c r="AW12">
        <v>2.5062842388121967E-2</v>
      </c>
      <c r="AX12">
        <v>8.9585749817727676E-3</v>
      </c>
      <c r="AY12">
        <v>7.1199294750296733E-3</v>
      </c>
      <c r="AZ12">
        <v>4.6228568808038559E-3</v>
      </c>
      <c r="BA12">
        <v>1.91448626353707E-3</v>
      </c>
      <c r="BB12">
        <v>2.8273134457400956E-3</v>
      </c>
      <c r="BD12" t="s">
        <v>114</v>
      </c>
      <c r="BE12" t="s">
        <v>110</v>
      </c>
      <c r="BF12">
        <v>6.3169999263817153E-2</v>
      </c>
      <c r="BG12">
        <v>1.9224490601899218E-2</v>
      </c>
      <c r="BH12">
        <v>7.7360612766277335E-3</v>
      </c>
      <c r="BI12">
        <v>0</v>
      </c>
      <c r="BJ12">
        <v>3.2183565752443789E-3</v>
      </c>
      <c r="BK12">
        <v>2.3444402345184429E-2</v>
      </c>
      <c r="BL12">
        <v>8.0170968825171565E-2</v>
      </c>
      <c r="BM12">
        <v>0.11449045244708492</v>
      </c>
      <c r="BN12">
        <v>7.9028444061153141E-2</v>
      </c>
      <c r="BO12">
        <v>8.0402773315801979E-2</v>
      </c>
      <c r="BP12">
        <v>1.447583833489249E-2</v>
      </c>
      <c r="BQ12">
        <v>2.8862390752537579E-2</v>
      </c>
      <c r="BR12">
        <v>3.2479838198525367E-2</v>
      </c>
      <c r="BS12">
        <v>5.9745043445313166E-2</v>
      </c>
      <c r="BT12">
        <v>2.9763380404723247E-2</v>
      </c>
      <c r="BU12">
        <v>5.66164353394527E-3</v>
      </c>
      <c r="BV12">
        <v>1.9416293498654119E-2</v>
      </c>
      <c r="BW12">
        <v>1.2458328498123294E-2</v>
      </c>
      <c r="BX12">
        <v>5.9410592824731455E-2</v>
      </c>
      <c r="BY12">
        <v>4.5228674618026848E-2</v>
      </c>
      <c r="BZ12">
        <v>3.3827772269352914E-2</v>
      </c>
      <c r="CA12">
        <v>2.7746005892446895E-2</v>
      </c>
      <c r="CB12">
        <v>2.9369017375995145E-2</v>
      </c>
      <c r="CC12">
        <v>4.3182886863573779E-2</v>
      </c>
      <c r="CE12" t="s">
        <v>523</v>
      </c>
      <c r="CF12">
        <v>0</v>
      </c>
      <c r="CG12">
        <v>6.1081574843549339E-4</v>
      </c>
      <c r="CH12">
        <v>0.17284690702294617</v>
      </c>
      <c r="CI12">
        <v>0.38185043346658176</v>
      </c>
      <c r="CJ12">
        <v>0.1858825015415409</v>
      </c>
      <c r="CK12">
        <v>2.6802482322766611E-3</v>
      </c>
      <c r="CL12">
        <v>0</v>
      </c>
      <c r="CM12">
        <v>3.6761866669899217E-2</v>
      </c>
      <c r="CN12">
        <v>0.33599590305395144</v>
      </c>
      <c r="CO12">
        <v>0.48638852633188007</v>
      </c>
      <c r="CP12">
        <v>0.30524197404078146</v>
      </c>
      <c r="CQ12">
        <v>3.818773173515512E-2</v>
      </c>
      <c r="CR12">
        <v>0</v>
      </c>
      <c r="CS12">
        <v>5.8118629131725393E-2</v>
      </c>
      <c r="CT12">
        <v>0.3946857000620404</v>
      </c>
      <c r="CU12">
        <v>0.53221028072373766</v>
      </c>
      <c r="CV12">
        <v>0.37500031444031701</v>
      </c>
      <c r="CW12">
        <v>6.8920832246099642E-2</v>
      </c>
      <c r="CX12">
        <v>0</v>
      </c>
      <c r="CY12">
        <v>1.2264299935147842E-2</v>
      </c>
      <c r="CZ12">
        <v>0.23292643999670121</v>
      </c>
      <c r="DA12">
        <v>0.38610018727834378</v>
      </c>
      <c r="DB12">
        <v>0.20904440418115922</v>
      </c>
      <c r="DC12">
        <v>8.0094214539226296E-3</v>
      </c>
      <c r="DE12" t="s">
        <v>523</v>
      </c>
      <c r="DF12" t="s">
        <v>111</v>
      </c>
      <c r="DG12" t="s">
        <v>112</v>
      </c>
      <c r="DH12">
        <v>0.485229958024335</v>
      </c>
    </row>
    <row r="13" spans="2:112" x14ac:dyDescent="0.45">
      <c r="B13" t="s">
        <v>524</v>
      </c>
      <c r="C13" t="s">
        <v>107</v>
      </c>
      <c r="D13">
        <v>0</v>
      </c>
      <c r="E13">
        <v>0.98611111111111138</v>
      </c>
      <c r="F13">
        <v>0.38397759998223779</v>
      </c>
      <c r="G13">
        <v>0.24297331236814504</v>
      </c>
      <c r="H13">
        <v>0.38235766090720752</v>
      </c>
      <c r="I13">
        <v>0.91938203039921329</v>
      </c>
      <c r="J13">
        <v>0</v>
      </c>
      <c r="K13">
        <v>0.63617147941260221</v>
      </c>
      <c r="L13">
        <v>0.24694341099481987</v>
      </c>
      <c r="M13">
        <v>0.20055568914306771</v>
      </c>
      <c r="N13">
        <v>0.23582136518477714</v>
      </c>
      <c r="O13">
        <v>0.52451196233418651</v>
      </c>
      <c r="P13">
        <v>0</v>
      </c>
      <c r="Q13">
        <v>0.53880744973444017</v>
      </c>
      <c r="R13">
        <v>0.16084637242632918</v>
      </c>
      <c r="S13">
        <v>0.12648497951397183</v>
      </c>
      <c r="T13">
        <v>0.14541960557857594</v>
      </c>
      <c r="U13">
        <v>0.38221094837004438</v>
      </c>
      <c r="V13">
        <v>0</v>
      </c>
      <c r="W13">
        <v>0.80452069004820492</v>
      </c>
      <c r="X13">
        <v>0.3366048472243256</v>
      </c>
      <c r="Y13">
        <v>0.23865967579496336</v>
      </c>
      <c r="Z13">
        <v>0.32307602177996753</v>
      </c>
      <c r="AA13">
        <v>0.81188230655667348</v>
      </c>
      <c r="CE13" t="s">
        <v>524</v>
      </c>
      <c r="CF13">
        <v>0</v>
      </c>
      <c r="CG13">
        <v>2.40330799717571E-4</v>
      </c>
      <c r="CH13">
        <v>0.15191986917748368</v>
      </c>
      <c r="CI13">
        <v>0.35533593014019615</v>
      </c>
      <c r="CJ13">
        <v>0.17813153284874947</v>
      </c>
      <c r="CK13">
        <v>4.1735730085961046E-3</v>
      </c>
      <c r="CL13">
        <v>0</v>
      </c>
      <c r="CM13">
        <v>3.0438573784248548E-2</v>
      </c>
      <c r="CN13">
        <v>0.31249477853307706</v>
      </c>
      <c r="CO13">
        <v>0.4496607612398752</v>
      </c>
      <c r="CP13">
        <v>0.28600573166037063</v>
      </c>
      <c r="CQ13">
        <v>4.2863124171361643E-2</v>
      </c>
      <c r="CR13">
        <v>0</v>
      </c>
      <c r="CS13">
        <v>5.4967038101751207E-2</v>
      </c>
      <c r="CT13">
        <v>0.40242586860602636</v>
      </c>
      <c r="CU13">
        <v>0.54106553094244414</v>
      </c>
      <c r="CV13">
        <v>0.39609337725001897</v>
      </c>
      <c r="CW13">
        <v>8.1371432811557856E-2</v>
      </c>
      <c r="CX13">
        <v>0</v>
      </c>
      <c r="CY13">
        <v>8.949275297333581E-3</v>
      </c>
      <c r="CZ13">
        <v>0.21043867150464407</v>
      </c>
      <c r="DA13">
        <v>0.36973701569012479</v>
      </c>
      <c r="DB13">
        <v>0.20586507565811391</v>
      </c>
      <c r="DC13">
        <v>9.601933223768155E-3</v>
      </c>
      <c r="DE13" t="s">
        <v>524</v>
      </c>
      <c r="DF13" t="s">
        <v>111</v>
      </c>
      <c r="DG13" t="s">
        <v>112</v>
      </c>
      <c r="DH13">
        <v>0.47898768859875129</v>
      </c>
    </row>
    <row r="14" spans="2:112" x14ac:dyDescent="0.45">
      <c r="B14" t="s">
        <v>525</v>
      </c>
      <c r="C14" t="s">
        <v>107</v>
      </c>
      <c r="D14">
        <v>0</v>
      </c>
      <c r="E14">
        <v>0.98883430083746338</v>
      </c>
      <c r="F14">
        <v>0.36688755533544781</v>
      </c>
      <c r="G14">
        <v>0.21209730756875447</v>
      </c>
      <c r="H14">
        <v>0.32902115407626581</v>
      </c>
      <c r="I14">
        <v>0.91498187578674672</v>
      </c>
      <c r="J14">
        <v>0</v>
      </c>
      <c r="K14">
        <v>0.63724872141822786</v>
      </c>
      <c r="L14">
        <v>0.24287135381571903</v>
      </c>
      <c r="M14">
        <v>0.18434932653027306</v>
      </c>
      <c r="N14">
        <v>0.21325848783345874</v>
      </c>
      <c r="O14">
        <v>0.51838370650631915</v>
      </c>
      <c r="P14">
        <v>0</v>
      </c>
      <c r="Q14">
        <v>0.54719544818355104</v>
      </c>
      <c r="R14">
        <v>0.15905392162670004</v>
      </c>
      <c r="S14">
        <v>0.11206506102433285</v>
      </c>
      <c r="T14">
        <v>0.14499324537427632</v>
      </c>
      <c r="U14">
        <v>0.38332324519125044</v>
      </c>
      <c r="V14">
        <v>0</v>
      </c>
      <c r="W14">
        <v>0.8071455873307174</v>
      </c>
      <c r="X14">
        <v>0.30115513138810018</v>
      </c>
      <c r="Y14">
        <v>0.20770906765192187</v>
      </c>
      <c r="Z14">
        <v>0.30170956209131616</v>
      </c>
      <c r="AA14">
        <v>0.80522046120266921</v>
      </c>
      <c r="CE14" t="s">
        <v>525</v>
      </c>
      <c r="CF14">
        <v>0</v>
      </c>
      <c r="CG14">
        <v>2.4622658477254072E-4</v>
      </c>
      <c r="CH14">
        <v>0.16530232709469969</v>
      </c>
      <c r="CI14">
        <v>0.40832553032129221</v>
      </c>
      <c r="CJ14">
        <v>0.21852041184360041</v>
      </c>
      <c r="CK14">
        <v>5.7804191298311582E-3</v>
      </c>
      <c r="CL14">
        <v>0</v>
      </c>
      <c r="CM14">
        <v>2.8791879627237175E-2</v>
      </c>
      <c r="CN14">
        <v>0.32277162954856808</v>
      </c>
      <c r="CO14">
        <v>0.48232692966432283</v>
      </c>
      <c r="CP14">
        <v>0.32172401625788422</v>
      </c>
      <c r="CQ14">
        <v>4.7682360737956689E-2</v>
      </c>
      <c r="CR14">
        <v>0</v>
      </c>
      <c r="CS14">
        <v>5.1371496577114595E-2</v>
      </c>
      <c r="CT14">
        <v>0.4091142875829703</v>
      </c>
      <c r="CU14">
        <v>0.56994258404564202</v>
      </c>
      <c r="CV14">
        <v>0.4052711175489595</v>
      </c>
      <c r="CW14">
        <v>8.4778143582716112E-2</v>
      </c>
      <c r="CX14">
        <v>0</v>
      </c>
      <c r="CY14">
        <v>8.6507661700903037E-3</v>
      </c>
      <c r="CZ14">
        <v>0.2274150840279891</v>
      </c>
      <c r="DA14">
        <v>0.40900463345524229</v>
      </c>
      <c r="DB14">
        <v>0.23073668731079061</v>
      </c>
      <c r="DC14">
        <v>1.0922580073701586E-2</v>
      </c>
      <c r="DE14" t="s">
        <v>525</v>
      </c>
      <c r="DF14" t="s">
        <v>111</v>
      </c>
      <c r="DG14" t="s">
        <v>112</v>
      </c>
      <c r="DH14">
        <v>0.49085844422850777</v>
      </c>
    </row>
    <row r="15" spans="2:112" x14ac:dyDescent="0.45">
      <c r="B15" t="s">
        <v>526</v>
      </c>
      <c r="C15" t="s">
        <v>107</v>
      </c>
      <c r="D15">
        <v>0</v>
      </c>
      <c r="E15">
        <v>0.96944444444444411</v>
      </c>
      <c r="F15">
        <v>0.31073331363430468</v>
      </c>
      <c r="G15">
        <v>0.18445614918993145</v>
      </c>
      <c r="H15">
        <v>0.3181911360369501</v>
      </c>
      <c r="I15">
        <v>0.92957476860873101</v>
      </c>
      <c r="J15">
        <v>0</v>
      </c>
      <c r="K15">
        <v>0.61111414491375526</v>
      </c>
      <c r="L15">
        <v>0.21574444046803593</v>
      </c>
      <c r="M15">
        <v>0.17464232076007136</v>
      </c>
      <c r="N15">
        <v>0.21674996575014888</v>
      </c>
      <c r="O15">
        <v>0.55578773974129525</v>
      </c>
      <c r="P15">
        <v>0</v>
      </c>
      <c r="Q15">
        <v>0.49570162111136135</v>
      </c>
      <c r="R15">
        <v>0.12421502601440261</v>
      </c>
      <c r="S15">
        <v>8.5964427252559913E-2</v>
      </c>
      <c r="T15">
        <v>0.14032581994682822</v>
      </c>
      <c r="U15">
        <v>0.40135604830667537</v>
      </c>
      <c r="V15">
        <v>0</v>
      </c>
      <c r="W15">
        <v>0.76512160528081108</v>
      </c>
      <c r="X15">
        <v>0.29699657542739499</v>
      </c>
      <c r="Y15">
        <v>0.23878021184614842</v>
      </c>
      <c r="Z15">
        <v>0.33311187719979124</v>
      </c>
      <c r="AA15">
        <v>0.84239349279514564</v>
      </c>
      <c r="CE15" t="s">
        <v>526</v>
      </c>
      <c r="CF15">
        <v>0</v>
      </c>
      <c r="CG15">
        <v>1.0907275540608563E-3</v>
      </c>
      <c r="CH15">
        <v>0.25556754109932739</v>
      </c>
      <c r="CI15">
        <v>0.47308469031820172</v>
      </c>
      <c r="CJ15">
        <v>0.23756857040814017</v>
      </c>
      <c r="CK15">
        <v>3.2785453058214536E-3</v>
      </c>
      <c r="CL15">
        <v>0</v>
      </c>
      <c r="CM15">
        <v>4.4653419259202548E-2</v>
      </c>
      <c r="CN15">
        <v>0.38536320101638377</v>
      </c>
      <c r="CO15">
        <v>0.49847734906067903</v>
      </c>
      <c r="CP15">
        <v>0.3076770337074945</v>
      </c>
      <c r="CQ15">
        <v>4.0096544478856064E-2</v>
      </c>
      <c r="CR15">
        <v>0</v>
      </c>
      <c r="CS15">
        <v>6.89757163077198E-2</v>
      </c>
      <c r="CT15">
        <v>0.43654809911623127</v>
      </c>
      <c r="CU15">
        <v>0.5490075023466654</v>
      </c>
      <c r="CV15">
        <v>0.3601901187353585</v>
      </c>
      <c r="CW15">
        <v>6.5222137300892685E-2</v>
      </c>
      <c r="CX15">
        <v>0</v>
      </c>
      <c r="CY15">
        <v>1.6631193180082663E-2</v>
      </c>
      <c r="CZ15">
        <v>0.28633659072762135</v>
      </c>
      <c r="DA15">
        <v>0.42267645707165741</v>
      </c>
      <c r="DB15">
        <v>0.21449758236712951</v>
      </c>
      <c r="DC15">
        <v>8.6198355735527879E-3</v>
      </c>
      <c r="DE15" t="s">
        <v>526</v>
      </c>
      <c r="DF15" t="s">
        <v>111</v>
      </c>
      <c r="DG15" t="s">
        <v>112</v>
      </c>
      <c r="DH15">
        <v>0.46022741259780237</v>
      </c>
    </row>
    <row r="16" spans="2:112" x14ac:dyDescent="0.45">
      <c r="B16" t="s">
        <v>527</v>
      </c>
      <c r="C16" t="s">
        <v>107</v>
      </c>
      <c r="D16">
        <v>0</v>
      </c>
      <c r="E16">
        <v>0.97499999999999964</v>
      </c>
      <c r="F16">
        <v>0.31054448739553042</v>
      </c>
      <c r="G16">
        <v>0.16969838806858759</v>
      </c>
      <c r="H16">
        <v>0.30371848646649569</v>
      </c>
      <c r="I16">
        <v>0.92209921316011845</v>
      </c>
      <c r="J16">
        <v>0</v>
      </c>
      <c r="K16">
        <v>0.61696593571877845</v>
      </c>
      <c r="L16">
        <v>0.22264867801537616</v>
      </c>
      <c r="M16">
        <v>0.17695334015964095</v>
      </c>
      <c r="N16">
        <v>0.21158390028979335</v>
      </c>
      <c r="O16">
        <v>0.54226159406880703</v>
      </c>
      <c r="P16">
        <v>0</v>
      </c>
      <c r="Q16">
        <v>0.50425369417280663</v>
      </c>
      <c r="R16">
        <v>0.13330887664947616</v>
      </c>
      <c r="S16">
        <v>7.9718911482674126E-2</v>
      </c>
      <c r="T16">
        <v>0.13120071477179698</v>
      </c>
      <c r="U16">
        <v>0.40255615940418327</v>
      </c>
      <c r="V16">
        <v>0</v>
      </c>
      <c r="W16">
        <v>0.77242344464572954</v>
      </c>
      <c r="X16">
        <v>0.3025807459050765</v>
      </c>
      <c r="Y16">
        <v>0.23410766503957417</v>
      </c>
      <c r="Z16">
        <v>0.3272358857944444</v>
      </c>
      <c r="AA16">
        <v>0.82639140634565489</v>
      </c>
      <c r="CE16" t="s">
        <v>527</v>
      </c>
      <c r="CF16">
        <v>0</v>
      </c>
      <c r="CG16">
        <v>7.7738443920706676E-4</v>
      </c>
      <c r="CH16">
        <v>0.23709539160402515</v>
      </c>
      <c r="CI16">
        <v>0.47748316453476203</v>
      </c>
      <c r="CJ16">
        <v>0.25081605512188132</v>
      </c>
      <c r="CK16">
        <v>4.3177862050055842E-3</v>
      </c>
      <c r="CL16">
        <v>0</v>
      </c>
      <c r="CM16">
        <v>4.1609973339979962E-2</v>
      </c>
      <c r="CN16">
        <v>0.37466772856412434</v>
      </c>
      <c r="CO16">
        <v>0.5247205255777504</v>
      </c>
      <c r="CP16">
        <v>0.34342252542719259</v>
      </c>
      <c r="CQ16">
        <v>4.6935827658992575E-2</v>
      </c>
      <c r="CR16">
        <v>0</v>
      </c>
      <c r="CS16">
        <v>6.33226836571774E-2</v>
      </c>
      <c r="CT16">
        <v>0.43413279388418941</v>
      </c>
      <c r="CU16">
        <v>0.57609162494402344</v>
      </c>
      <c r="CV16">
        <v>0.39340617023262031</v>
      </c>
      <c r="CW16">
        <v>7.3553785505509076E-2</v>
      </c>
      <c r="CX16">
        <v>0</v>
      </c>
      <c r="CY16">
        <v>1.3960451137449616E-2</v>
      </c>
      <c r="CZ16">
        <v>0.26173108066800999</v>
      </c>
      <c r="DA16">
        <v>0.41380102857474432</v>
      </c>
      <c r="DB16">
        <v>0.22245219130062813</v>
      </c>
      <c r="DC16">
        <v>9.6578336328899932E-3</v>
      </c>
      <c r="DE16" t="s">
        <v>527</v>
      </c>
      <c r="DF16" t="s">
        <v>111</v>
      </c>
      <c r="DG16" t="s">
        <v>112</v>
      </c>
      <c r="DH16">
        <v>0.5320165728543782</v>
      </c>
    </row>
    <row r="17" spans="2:112" x14ac:dyDescent="0.45">
      <c r="B17" t="s">
        <v>528</v>
      </c>
      <c r="C17" t="s">
        <v>107</v>
      </c>
      <c r="D17">
        <v>0</v>
      </c>
      <c r="E17">
        <v>0.96944444444444455</v>
      </c>
      <c r="F17">
        <v>0.29578329413209553</v>
      </c>
      <c r="G17">
        <v>0.16516767243281891</v>
      </c>
      <c r="H17">
        <v>0.31778377482541015</v>
      </c>
      <c r="I17">
        <v>0.93522800368324721</v>
      </c>
      <c r="J17">
        <v>0</v>
      </c>
      <c r="K17">
        <v>0.57927606548310306</v>
      </c>
      <c r="L17">
        <v>0.17353755711579633</v>
      </c>
      <c r="M17">
        <v>0.12277023746378322</v>
      </c>
      <c r="N17">
        <v>0.17837655699746272</v>
      </c>
      <c r="O17">
        <v>0.53353036890593342</v>
      </c>
      <c r="P17">
        <v>0</v>
      </c>
      <c r="Q17">
        <v>0.49145196767848975</v>
      </c>
      <c r="R17">
        <v>0.12424197245594289</v>
      </c>
      <c r="S17">
        <v>9.3284211954547225E-2</v>
      </c>
      <c r="T17">
        <v>0.15060785752348435</v>
      </c>
      <c r="U17">
        <v>0.40122051302046036</v>
      </c>
      <c r="V17">
        <v>0</v>
      </c>
      <c r="W17">
        <v>0.75584912268308946</v>
      </c>
      <c r="X17">
        <v>0.25214381292762744</v>
      </c>
      <c r="Y17">
        <v>0.17303915040773021</v>
      </c>
      <c r="Z17">
        <v>0.30006486053228559</v>
      </c>
      <c r="AA17">
        <v>0.83938499689277668</v>
      </c>
      <c r="CE17" t="s">
        <v>528</v>
      </c>
      <c r="CF17">
        <v>0</v>
      </c>
      <c r="CG17">
        <v>1.2924369284925885E-3</v>
      </c>
      <c r="CH17">
        <v>0.27150938421927606</v>
      </c>
      <c r="CI17">
        <v>0.5265091060144601</v>
      </c>
      <c r="CJ17">
        <v>0.25550518649338066</v>
      </c>
      <c r="CK17">
        <v>3.470831543647448E-3</v>
      </c>
      <c r="CL17">
        <v>0</v>
      </c>
      <c r="CM17">
        <v>5.4084182143850072E-2</v>
      </c>
      <c r="CN17">
        <v>0.46449496954166003</v>
      </c>
      <c r="CO17">
        <v>0.6131648208679279</v>
      </c>
      <c r="CP17">
        <v>0.38127847678074539</v>
      </c>
      <c r="CQ17">
        <v>4.9765955174010695E-2</v>
      </c>
      <c r="CR17">
        <v>0</v>
      </c>
      <c r="CS17">
        <v>7.2878895245831896E-2</v>
      </c>
      <c r="CT17">
        <v>0.46394941114588389</v>
      </c>
      <c r="CU17">
        <v>0.5749449364620951</v>
      </c>
      <c r="CV17">
        <v>0.36551937827195946</v>
      </c>
      <c r="CW17">
        <v>6.698895961718998E-2</v>
      </c>
      <c r="CX17">
        <v>0</v>
      </c>
      <c r="CY17">
        <v>1.7469515996628531E-2</v>
      </c>
      <c r="CZ17">
        <v>0.32477489265616377</v>
      </c>
      <c r="DA17">
        <v>0.49642451136324484</v>
      </c>
      <c r="DB17">
        <v>0.24872711348741394</v>
      </c>
      <c r="DC17">
        <v>9.08692685174191E-3</v>
      </c>
      <c r="DE17" t="s">
        <v>528</v>
      </c>
      <c r="DF17" t="s">
        <v>111</v>
      </c>
      <c r="DG17" t="s">
        <v>112</v>
      </c>
      <c r="DH17">
        <v>0.483171980753902</v>
      </c>
    </row>
    <row r="18" spans="2:112" x14ac:dyDescent="0.45">
      <c r="B18" t="s">
        <v>529</v>
      </c>
      <c r="C18" t="s">
        <v>107</v>
      </c>
      <c r="D18">
        <v>0</v>
      </c>
      <c r="E18">
        <v>0.97331939313924065</v>
      </c>
      <c r="F18">
        <v>0.32266011154802521</v>
      </c>
      <c r="G18">
        <v>0.18552390197729102</v>
      </c>
      <c r="H18">
        <v>0.3377061889129232</v>
      </c>
      <c r="I18">
        <v>0.93663867148490265</v>
      </c>
      <c r="J18">
        <v>0</v>
      </c>
      <c r="K18">
        <v>0.59123518242440654</v>
      </c>
      <c r="L18">
        <v>0.19198972318534582</v>
      </c>
      <c r="M18">
        <v>0.1465076147153703</v>
      </c>
      <c r="N18">
        <v>0.20177194842703167</v>
      </c>
      <c r="O18">
        <v>0.54511989016298212</v>
      </c>
      <c r="P18">
        <v>0</v>
      </c>
      <c r="Q18">
        <v>0.51125237071348606</v>
      </c>
      <c r="R18">
        <v>0.16932641769846105</v>
      </c>
      <c r="S18">
        <v>0.12721744824158968</v>
      </c>
      <c r="T18">
        <v>0.16687880591469662</v>
      </c>
      <c r="U18">
        <v>0.41596699873961868</v>
      </c>
      <c r="V18">
        <v>0</v>
      </c>
      <c r="W18">
        <v>0.77522841132249831</v>
      </c>
      <c r="X18">
        <v>0.26151982808955576</v>
      </c>
      <c r="Y18">
        <v>0.18711878334440404</v>
      </c>
      <c r="Z18">
        <v>0.31250907866418937</v>
      </c>
      <c r="AA18">
        <v>0.84047349105797775</v>
      </c>
      <c r="CE18" t="s">
        <v>529</v>
      </c>
      <c r="CF18">
        <v>0</v>
      </c>
      <c r="CG18">
        <v>1.0849673947913208E-3</v>
      </c>
      <c r="CH18">
        <v>0.23224548033921502</v>
      </c>
      <c r="CI18">
        <v>0.46954019236040029</v>
      </c>
      <c r="CJ18">
        <v>0.22458328087285312</v>
      </c>
      <c r="CK18">
        <v>2.9648725904273194E-3</v>
      </c>
      <c r="CL18">
        <v>0</v>
      </c>
      <c r="CM18">
        <v>4.2782355038501911E-2</v>
      </c>
      <c r="CN18">
        <v>0.39777790225073895</v>
      </c>
      <c r="CO18">
        <v>0.54995036945998332</v>
      </c>
      <c r="CP18">
        <v>0.33654585366715217</v>
      </c>
      <c r="CQ18">
        <v>4.1086610758234422E-2</v>
      </c>
      <c r="CR18">
        <v>0</v>
      </c>
      <c r="CS18">
        <v>6.3755663681997921E-2</v>
      </c>
      <c r="CT18">
        <v>0.42315966586555342</v>
      </c>
      <c r="CU18">
        <v>0.54926766093672441</v>
      </c>
      <c r="CV18">
        <v>0.36672646832462225</v>
      </c>
      <c r="CW18">
        <v>6.5974802950730493E-2</v>
      </c>
      <c r="CX18">
        <v>0</v>
      </c>
      <c r="CY18">
        <v>1.4051052501902212E-2</v>
      </c>
      <c r="CZ18">
        <v>0.27521445865676691</v>
      </c>
      <c r="DA18">
        <v>0.43794068584745766</v>
      </c>
      <c r="DB18">
        <v>0.22665147528609506</v>
      </c>
      <c r="DC18">
        <v>8.2345307258280109E-3</v>
      </c>
      <c r="DE18" t="s">
        <v>529</v>
      </c>
      <c r="DF18" t="s">
        <v>111</v>
      </c>
      <c r="DG18" t="s">
        <v>112</v>
      </c>
      <c r="DH18">
        <v>0.47983344136941464</v>
      </c>
    </row>
    <row r="19" spans="2:112" x14ac:dyDescent="0.45">
      <c r="B19" t="s">
        <v>530</v>
      </c>
      <c r="C19" t="s">
        <v>107</v>
      </c>
      <c r="D19">
        <v>0</v>
      </c>
      <c r="E19">
        <v>0.98885419218338888</v>
      </c>
      <c r="F19">
        <v>0.35907099450230523</v>
      </c>
      <c r="G19">
        <v>0.1966727497764062</v>
      </c>
      <c r="H19">
        <v>0.30824716804875835</v>
      </c>
      <c r="I19">
        <v>0.91062110517686889</v>
      </c>
      <c r="J19">
        <v>0</v>
      </c>
      <c r="K19">
        <v>0.63927883023463783</v>
      </c>
      <c r="L19">
        <v>0.22991508279210979</v>
      </c>
      <c r="M19">
        <v>0.17401858797413322</v>
      </c>
      <c r="N19">
        <v>0.20067098886274168</v>
      </c>
      <c r="O19">
        <v>0.50723779789424561</v>
      </c>
      <c r="P19">
        <v>0</v>
      </c>
      <c r="Q19">
        <v>0.55107055265082627</v>
      </c>
      <c r="R19">
        <v>0.15944907359198757</v>
      </c>
      <c r="S19">
        <v>0.11177973973291515</v>
      </c>
      <c r="T19">
        <v>0.14265561527474055</v>
      </c>
      <c r="U19">
        <v>0.37942273781043262</v>
      </c>
      <c r="V19">
        <v>0</v>
      </c>
      <c r="W19">
        <v>0.811479166778731</v>
      </c>
      <c r="X19">
        <v>0.28709979134729735</v>
      </c>
      <c r="Y19">
        <v>0.21012530638710181</v>
      </c>
      <c r="Z19">
        <v>0.29650575022353548</v>
      </c>
      <c r="AA19">
        <v>0.80366321700697674</v>
      </c>
      <c r="CE19" t="s">
        <v>530</v>
      </c>
      <c r="CF19">
        <v>0</v>
      </c>
      <c r="CG19">
        <v>4.3162274479269236E-4</v>
      </c>
      <c r="CH19">
        <v>0.20434959863616373</v>
      </c>
      <c r="CI19">
        <v>0.46442817251005641</v>
      </c>
      <c r="CJ19">
        <v>0.25307798483934252</v>
      </c>
      <c r="CK19">
        <v>6.9543711360301862E-3</v>
      </c>
      <c r="CL19">
        <v>0</v>
      </c>
      <c r="CM19">
        <v>3.052014162070189E-2</v>
      </c>
      <c r="CN19">
        <v>0.34561841365985335</v>
      </c>
      <c r="CO19">
        <v>0.51527352179505714</v>
      </c>
      <c r="CP19">
        <v>0.35369942683812106</v>
      </c>
      <c r="CQ19">
        <v>5.0573279510702944E-2</v>
      </c>
      <c r="CR19">
        <v>0</v>
      </c>
      <c r="CS19">
        <v>5.2233622395940073E-2</v>
      </c>
      <c r="CT19">
        <v>0.41957487789302228</v>
      </c>
      <c r="CU19">
        <v>0.56872975233102541</v>
      </c>
      <c r="CV19">
        <v>0.39705629481795707</v>
      </c>
      <c r="CW19">
        <v>8.2773761587528485E-2</v>
      </c>
      <c r="CX19">
        <v>0</v>
      </c>
      <c r="CY19">
        <v>9.7539302624822244E-3</v>
      </c>
      <c r="CZ19">
        <v>0.25316419623177838</v>
      </c>
      <c r="DA19">
        <v>0.4341652905223688</v>
      </c>
      <c r="DB19">
        <v>0.24861502861227519</v>
      </c>
      <c r="DC19">
        <v>1.1520567843013104E-2</v>
      </c>
      <c r="DE19" t="s">
        <v>530</v>
      </c>
      <c r="DF19" t="s">
        <v>111</v>
      </c>
      <c r="DG19" t="s">
        <v>112</v>
      </c>
      <c r="DH19">
        <v>0.51508633210399057</v>
      </c>
    </row>
    <row r="20" spans="2:112" x14ac:dyDescent="0.45">
      <c r="B20" t="s">
        <v>531</v>
      </c>
      <c r="C20" t="s">
        <v>107</v>
      </c>
      <c r="D20">
        <v>0</v>
      </c>
      <c r="E20">
        <v>0.98293408957519279</v>
      </c>
      <c r="F20">
        <v>0.32305506848249527</v>
      </c>
      <c r="G20">
        <v>0.17768331591543415</v>
      </c>
      <c r="H20">
        <v>0.30858655911905702</v>
      </c>
      <c r="I20">
        <v>0.92076468499263986</v>
      </c>
      <c r="J20">
        <v>0</v>
      </c>
      <c r="K20">
        <v>0.60738650021504681</v>
      </c>
      <c r="L20">
        <v>0.19448996066641011</v>
      </c>
      <c r="M20">
        <v>0.15120398153580147</v>
      </c>
      <c r="N20">
        <v>0.19135329535547141</v>
      </c>
      <c r="O20">
        <v>0.51329187330250348</v>
      </c>
      <c r="P20">
        <v>0</v>
      </c>
      <c r="Q20">
        <v>0.52229240820915845</v>
      </c>
      <c r="R20">
        <v>0.15725713093784108</v>
      </c>
      <c r="S20">
        <v>0.11353028040896672</v>
      </c>
      <c r="T20">
        <v>0.15371301157861783</v>
      </c>
      <c r="U20">
        <v>0.38452728046144963</v>
      </c>
      <c r="V20">
        <v>0</v>
      </c>
      <c r="W20">
        <v>0.79120309031698899</v>
      </c>
      <c r="X20">
        <v>0.25588545544561542</v>
      </c>
      <c r="Y20">
        <v>0.1724119709098014</v>
      </c>
      <c r="Z20">
        <v>0.2876529117168875</v>
      </c>
      <c r="AA20">
        <v>0.81511114688950292</v>
      </c>
      <c r="CE20" t="s">
        <v>531</v>
      </c>
      <c r="CF20">
        <v>0</v>
      </c>
      <c r="CG20">
        <v>6.4155648937692163E-4</v>
      </c>
      <c r="CH20">
        <v>0.2372047047558167</v>
      </c>
      <c r="CI20">
        <v>0.50688036786804624</v>
      </c>
      <c r="CJ20">
        <v>0.26624598402889676</v>
      </c>
      <c r="CK20">
        <v>5.1511754120181505E-3</v>
      </c>
      <c r="CL20">
        <v>0</v>
      </c>
      <c r="CM20">
        <v>4.1853841847062846E-2</v>
      </c>
      <c r="CN20">
        <v>0.40966841672967841</v>
      </c>
      <c r="CO20">
        <v>0.59119317586944709</v>
      </c>
      <c r="CP20">
        <v>0.39618363007023433</v>
      </c>
      <c r="CQ20">
        <v>5.5884114888553452E-2</v>
      </c>
      <c r="CR20">
        <v>0</v>
      </c>
      <c r="CS20">
        <v>5.8914652920694303E-2</v>
      </c>
      <c r="CT20">
        <v>0.43792816036323318</v>
      </c>
      <c r="CU20">
        <v>0.58540816636338133</v>
      </c>
      <c r="CV20">
        <v>0.393889927508425</v>
      </c>
      <c r="CW20">
        <v>8.1349300305637737E-2</v>
      </c>
      <c r="CX20">
        <v>0</v>
      </c>
      <c r="CY20">
        <v>1.2979193819170986E-2</v>
      </c>
      <c r="CZ20">
        <v>0.29053988638175376</v>
      </c>
      <c r="DA20">
        <v>0.48081143503878798</v>
      </c>
      <c r="DB20">
        <v>0.26414814982136658</v>
      </c>
      <c r="DC20">
        <v>1.0625094417285631E-2</v>
      </c>
      <c r="DE20" t="s">
        <v>531</v>
      </c>
      <c r="DF20" t="s">
        <v>111</v>
      </c>
      <c r="DG20" t="s">
        <v>112</v>
      </c>
      <c r="DH20">
        <v>0.55220033945595204</v>
      </c>
    </row>
    <row r="21" spans="2:112" x14ac:dyDescent="0.45">
      <c r="B21" t="s">
        <v>532</v>
      </c>
      <c r="C21" t="s">
        <v>107</v>
      </c>
      <c r="D21">
        <v>0.44276323143684382</v>
      </c>
      <c r="E21">
        <v>0.44709017634359799</v>
      </c>
      <c r="F21">
        <v>0.45824167672783411</v>
      </c>
      <c r="G21">
        <v>0.47211148983620471</v>
      </c>
      <c r="H21">
        <v>0.45627672348096227</v>
      </c>
      <c r="I21">
        <v>0.42003568770395633</v>
      </c>
      <c r="J21">
        <v>0.45455966899794759</v>
      </c>
      <c r="K21">
        <v>0.4571921675547953</v>
      </c>
      <c r="L21">
        <v>0.48145992943307675</v>
      </c>
      <c r="M21">
        <v>0.42716790608587435</v>
      </c>
      <c r="N21">
        <v>0.40071648054384229</v>
      </c>
      <c r="O21">
        <v>0.40935051689645696</v>
      </c>
      <c r="P21">
        <v>0.39641662461911131</v>
      </c>
      <c r="Q21">
        <v>0.45631149707398316</v>
      </c>
      <c r="R21">
        <v>0.49027875079296496</v>
      </c>
      <c r="S21">
        <v>0.44574796586015247</v>
      </c>
      <c r="T21">
        <v>0.39321962673783634</v>
      </c>
      <c r="U21">
        <v>0.37739576390526791</v>
      </c>
      <c r="V21">
        <v>0.40306077523251982</v>
      </c>
      <c r="W21">
        <v>0.45482015704044898</v>
      </c>
      <c r="X21">
        <v>0.4934024810249964</v>
      </c>
      <c r="Y21">
        <v>0.50303300342612822</v>
      </c>
      <c r="Z21">
        <v>0.48234016977341776</v>
      </c>
      <c r="AA21">
        <v>0.44329166006266862</v>
      </c>
      <c r="CE21" t="s">
        <v>532</v>
      </c>
      <c r="CF21">
        <v>0.11744766506728613</v>
      </c>
      <c r="CG21">
        <v>0.11072674918816322</v>
      </c>
      <c r="CH21">
        <v>9.6662995802169596E-2</v>
      </c>
      <c r="CI21">
        <v>8.5807890800276287E-2</v>
      </c>
      <c r="CJ21">
        <v>0.10731609966390318</v>
      </c>
      <c r="CK21">
        <v>0.12493992166300477</v>
      </c>
      <c r="CL21">
        <v>7.2986267027179405E-2</v>
      </c>
      <c r="CM21">
        <v>6.4561783090618483E-2</v>
      </c>
      <c r="CN21">
        <v>6.1804879191449669E-2</v>
      </c>
      <c r="CO21">
        <v>7.4542623654385839E-2</v>
      </c>
      <c r="CP21">
        <v>8.6515101259135627E-2</v>
      </c>
      <c r="CQ21">
        <v>7.743516443735933E-2</v>
      </c>
      <c r="CR21">
        <v>5.3235392620674407E-2</v>
      </c>
      <c r="CS21">
        <v>3.9433191544642046E-2</v>
      </c>
      <c r="CT21">
        <v>3.5060649976873283E-2</v>
      </c>
      <c r="CU21">
        <v>4.468257740507766E-2</v>
      </c>
      <c r="CV21">
        <v>6.0570064684092671E-2</v>
      </c>
      <c r="CW21">
        <v>5.7272244375570255E-2</v>
      </c>
      <c r="CX21">
        <v>0.11761120063186224</v>
      </c>
      <c r="CY21">
        <v>0.13009076007350173</v>
      </c>
      <c r="CZ21">
        <v>0.12709005052503539</v>
      </c>
      <c r="DA21">
        <v>0.12858146168854456</v>
      </c>
      <c r="DB21">
        <v>0.12500954436303727</v>
      </c>
      <c r="DC21">
        <v>0.11586127221676429</v>
      </c>
      <c r="DE21" t="s">
        <v>532</v>
      </c>
      <c r="DF21" t="s">
        <v>111</v>
      </c>
      <c r="DG21" t="s">
        <v>112</v>
      </c>
      <c r="DH21">
        <v>0.12779903202957299</v>
      </c>
    </row>
    <row r="22" spans="2:112" x14ac:dyDescent="0.45">
      <c r="B22" t="s">
        <v>533</v>
      </c>
      <c r="C22" t="s">
        <v>107</v>
      </c>
      <c r="D22">
        <v>0.45941059750917068</v>
      </c>
      <c r="E22">
        <v>0.47660908608399855</v>
      </c>
      <c r="F22">
        <v>0.49095404862584502</v>
      </c>
      <c r="G22">
        <v>0.49252602135861528</v>
      </c>
      <c r="H22">
        <v>0.47355883707604801</v>
      </c>
      <c r="I22">
        <v>0.44232739669239274</v>
      </c>
      <c r="J22">
        <v>0.43136118279060076</v>
      </c>
      <c r="K22">
        <v>0.46822688462634149</v>
      </c>
      <c r="L22">
        <v>0.47728636000210078</v>
      </c>
      <c r="M22">
        <v>0.44519166097185187</v>
      </c>
      <c r="N22">
        <v>0.39401566051315728</v>
      </c>
      <c r="O22">
        <v>0.385289714013205</v>
      </c>
      <c r="P22">
        <v>0.38790383423139757</v>
      </c>
      <c r="Q22">
        <v>0.46298717469680473</v>
      </c>
      <c r="R22">
        <v>0.49726881945114304</v>
      </c>
      <c r="S22">
        <v>0.43271426571813038</v>
      </c>
      <c r="T22">
        <v>0.37971940536122029</v>
      </c>
      <c r="U22">
        <v>0.3591926191649773</v>
      </c>
      <c r="V22">
        <v>0.39693032410551521</v>
      </c>
      <c r="W22">
        <v>0.42421488444665778</v>
      </c>
      <c r="X22">
        <v>0.4661515067294843</v>
      </c>
      <c r="Y22">
        <v>0.48052596385677959</v>
      </c>
      <c r="Z22">
        <v>0.45415066949210198</v>
      </c>
      <c r="AA22">
        <v>0.40803862804318974</v>
      </c>
      <c r="CE22" t="s">
        <v>533</v>
      </c>
      <c r="CF22">
        <v>0.23057753610385892</v>
      </c>
      <c r="CG22">
        <v>0.21661650267002794</v>
      </c>
      <c r="CH22">
        <v>0.19669068269000423</v>
      </c>
      <c r="CI22">
        <v>0.17188417328719946</v>
      </c>
      <c r="CJ22">
        <v>0.19725626511025002</v>
      </c>
      <c r="CK22">
        <v>0.23290963285188709</v>
      </c>
      <c r="CL22">
        <v>0.13877163673833307</v>
      </c>
      <c r="CM22">
        <v>0.13126040646191384</v>
      </c>
      <c r="CN22">
        <v>0.11498989653942324</v>
      </c>
      <c r="CO22">
        <v>0.11606997970417413</v>
      </c>
      <c r="CP22">
        <v>0.13033152514717716</v>
      </c>
      <c r="CQ22">
        <v>0.13166932692241762</v>
      </c>
      <c r="CR22">
        <v>9.7991847738107346E-2</v>
      </c>
      <c r="CS22">
        <v>7.7614857338156304E-2</v>
      </c>
      <c r="CT22">
        <v>6.3953742734156549E-2</v>
      </c>
      <c r="CU22">
        <v>7.2419833777425141E-2</v>
      </c>
      <c r="CV22">
        <v>9.3134546967938645E-2</v>
      </c>
      <c r="CW22">
        <v>9.5957424381133707E-2</v>
      </c>
      <c r="CX22">
        <v>0.22528204261542778</v>
      </c>
      <c r="CY22">
        <v>0.22589809026512839</v>
      </c>
      <c r="CZ22">
        <v>0.2109032712583413</v>
      </c>
      <c r="DA22">
        <v>0.20529677755593395</v>
      </c>
      <c r="DB22">
        <v>0.20267851443768517</v>
      </c>
      <c r="DC22">
        <v>0.20159268401300487</v>
      </c>
      <c r="DE22" t="s">
        <v>533</v>
      </c>
      <c r="DF22" t="s">
        <v>111</v>
      </c>
      <c r="DG22" t="s">
        <v>112</v>
      </c>
      <c r="DH22">
        <v>0.22978159133862291</v>
      </c>
    </row>
    <row r="23" spans="2:112" x14ac:dyDescent="0.45">
      <c r="B23" t="s">
        <v>534</v>
      </c>
      <c r="C23" t="s">
        <v>107</v>
      </c>
      <c r="D23">
        <v>0.48394407395958072</v>
      </c>
      <c r="E23">
        <v>0.50476818243459343</v>
      </c>
      <c r="F23">
        <v>0.52628803906494448</v>
      </c>
      <c r="G23">
        <v>0.5063792604752545</v>
      </c>
      <c r="H23">
        <v>0.49973398191290735</v>
      </c>
      <c r="I23">
        <v>0.47447735580239064</v>
      </c>
      <c r="J23">
        <v>0.45464971245451469</v>
      </c>
      <c r="K23">
        <v>0.46838611729176971</v>
      </c>
      <c r="L23">
        <v>0.52703537206056439</v>
      </c>
      <c r="M23">
        <v>0.4763812765425951</v>
      </c>
      <c r="N23">
        <v>0.42297914247359675</v>
      </c>
      <c r="O23">
        <v>0.41040188938873012</v>
      </c>
      <c r="P23">
        <v>0.41927076721896411</v>
      </c>
      <c r="Q23">
        <v>0.47906110951040137</v>
      </c>
      <c r="R23">
        <v>0.51521941032223739</v>
      </c>
      <c r="S23">
        <v>0.43885607676326632</v>
      </c>
      <c r="T23">
        <v>0.39948216708546147</v>
      </c>
      <c r="U23">
        <v>0.40335435920305307</v>
      </c>
      <c r="V23">
        <v>0.43733700845150525</v>
      </c>
      <c r="W23">
        <v>0.49629528884183971</v>
      </c>
      <c r="X23">
        <v>0.53137051048411954</v>
      </c>
      <c r="Y23">
        <v>0.51318826700183884</v>
      </c>
      <c r="Z23">
        <v>0.4894954020829051</v>
      </c>
      <c r="AA23">
        <v>0.4486237556080595</v>
      </c>
      <c r="CE23" t="s">
        <v>534</v>
      </c>
      <c r="CF23">
        <v>0.13568382895157102</v>
      </c>
      <c r="CG23">
        <v>0.12607728761245704</v>
      </c>
      <c r="CH23">
        <v>0.11768251870094833</v>
      </c>
      <c r="CI23">
        <v>0.10688832432324825</v>
      </c>
      <c r="CJ23">
        <v>0.12490601885624023</v>
      </c>
      <c r="CK23">
        <v>0.13832242212008203</v>
      </c>
      <c r="CL23">
        <v>8.1856059054742844E-2</v>
      </c>
      <c r="CM23">
        <v>7.1721917748420863E-2</v>
      </c>
      <c r="CN23">
        <v>7.1779067582531789E-2</v>
      </c>
      <c r="CO23">
        <v>8.2465508072873228E-2</v>
      </c>
      <c r="CP23">
        <v>9.8550070905585541E-2</v>
      </c>
      <c r="CQ23">
        <v>8.5127685116131557E-2</v>
      </c>
      <c r="CR23">
        <v>5.4618310652744105E-2</v>
      </c>
      <c r="CS23">
        <v>4.2450029251441541E-2</v>
      </c>
      <c r="CT23">
        <v>4.3833834400899926E-2</v>
      </c>
      <c r="CU23">
        <v>5.5093106489790523E-2</v>
      </c>
      <c r="CV23">
        <v>6.889567574050845E-2</v>
      </c>
      <c r="CW23">
        <v>6.1919382772496159E-2</v>
      </c>
      <c r="CX23">
        <v>0.13185043739740848</v>
      </c>
      <c r="CY23">
        <v>0.13532057502127898</v>
      </c>
      <c r="CZ23">
        <v>0.13860950211358117</v>
      </c>
      <c r="DA23">
        <v>0.14211496713293217</v>
      </c>
      <c r="DB23">
        <v>0.14532088200628226</v>
      </c>
      <c r="DC23">
        <v>0.1299983337521553</v>
      </c>
      <c r="DE23" t="s">
        <v>534</v>
      </c>
      <c r="DF23" t="s">
        <v>111</v>
      </c>
      <c r="DG23" t="s">
        <v>112</v>
      </c>
      <c r="DH23">
        <v>0.14417988135080254</v>
      </c>
    </row>
    <row r="24" spans="2:112" x14ac:dyDescent="0.45">
      <c r="B24" t="s">
        <v>535</v>
      </c>
      <c r="C24" t="s">
        <v>107</v>
      </c>
      <c r="D24">
        <v>0.45688586382936336</v>
      </c>
      <c r="E24">
        <v>0.49736986143383899</v>
      </c>
      <c r="F24">
        <v>0.53774036660365765</v>
      </c>
      <c r="G24">
        <v>0.54418248913695333</v>
      </c>
      <c r="H24">
        <v>0.49091909095768144</v>
      </c>
      <c r="I24">
        <v>0.44976602477089794</v>
      </c>
      <c r="J24">
        <v>0.40680381537393179</v>
      </c>
      <c r="K24">
        <v>0.44644708498563279</v>
      </c>
      <c r="L24">
        <v>0.5323425050104984</v>
      </c>
      <c r="M24">
        <v>0.48140325216134683</v>
      </c>
      <c r="N24">
        <v>0.41325091996378466</v>
      </c>
      <c r="O24">
        <v>0.39239312678654403</v>
      </c>
      <c r="P24">
        <v>0.38666361923660197</v>
      </c>
      <c r="Q24">
        <v>0.43063206896553874</v>
      </c>
      <c r="R24">
        <v>0.46691411578724795</v>
      </c>
      <c r="S24">
        <v>0.45024745370447983</v>
      </c>
      <c r="T24">
        <v>0.39947913150148923</v>
      </c>
      <c r="U24">
        <v>0.37631261309689562</v>
      </c>
      <c r="V24">
        <v>0.44867679290962864</v>
      </c>
      <c r="W24">
        <v>0.49646491909584473</v>
      </c>
      <c r="X24">
        <v>0.52452118103426515</v>
      </c>
      <c r="Y24">
        <v>0.49980896032268562</v>
      </c>
      <c r="Z24">
        <v>0.47858590733558892</v>
      </c>
      <c r="AA24">
        <v>0.44155336191783079</v>
      </c>
      <c r="CE24" t="s">
        <v>535</v>
      </c>
      <c r="CF24">
        <v>0.18131031195047803</v>
      </c>
      <c r="CG24">
        <v>0.17272119149404008</v>
      </c>
      <c r="CH24">
        <v>0.16428419309926945</v>
      </c>
      <c r="CI24">
        <v>0.15675537418401628</v>
      </c>
      <c r="CJ24">
        <v>0.16493249194506832</v>
      </c>
      <c r="CK24">
        <v>0.19207129037801038</v>
      </c>
      <c r="CL24">
        <v>0.12735982795445877</v>
      </c>
      <c r="CM24">
        <v>0.11517955849178732</v>
      </c>
      <c r="CN24">
        <v>0.10565175455480315</v>
      </c>
      <c r="CO24">
        <v>0.11391284576013172</v>
      </c>
      <c r="CP24">
        <v>0.12860001076562871</v>
      </c>
      <c r="CQ24">
        <v>0.12513779541156997</v>
      </c>
      <c r="CR24">
        <v>9.5770364159682722E-2</v>
      </c>
      <c r="CS24">
        <v>6.7105092228144786E-2</v>
      </c>
      <c r="CT24">
        <v>6.6455555641922445E-2</v>
      </c>
      <c r="CU24">
        <v>8.1553925887050543E-2</v>
      </c>
      <c r="CV24">
        <v>8.5155001757548365E-2</v>
      </c>
      <c r="CW24">
        <v>8.5806483429843095E-2</v>
      </c>
      <c r="CX24">
        <v>0.17720467697478484</v>
      </c>
      <c r="CY24">
        <v>0.17234610740394732</v>
      </c>
      <c r="CZ24">
        <v>0.16532172836216624</v>
      </c>
      <c r="DA24">
        <v>0.1720905714397977</v>
      </c>
      <c r="DB24">
        <v>0.178691920183425</v>
      </c>
      <c r="DC24">
        <v>0.17448722439026632</v>
      </c>
      <c r="DE24" t="s">
        <v>535</v>
      </c>
      <c r="DF24" t="s">
        <v>111</v>
      </c>
      <c r="DG24" t="s">
        <v>112</v>
      </c>
      <c r="DH24">
        <v>0.18910416627164792</v>
      </c>
    </row>
    <row r="25" spans="2:112" x14ac:dyDescent="0.45">
      <c r="B25" t="s">
        <v>536</v>
      </c>
      <c r="C25" t="s">
        <v>107</v>
      </c>
      <c r="D25">
        <v>0.47880263371952808</v>
      </c>
      <c r="E25">
        <v>0.4678042960293109</v>
      </c>
      <c r="F25">
        <v>0.50332459071900082</v>
      </c>
      <c r="G25">
        <v>0.51544834803568795</v>
      </c>
      <c r="H25">
        <v>0.50130085077547881</v>
      </c>
      <c r="I25">
        <v>0.47751627684524062</v>
      </c>
      <c r="J25">
        <v>0.42195994978727752</v>
      </c>
      <c r="K25">
        <v>0.45540937299462309</v>
      </c>
      <c r="L25">
        <v>0.54794343580690541</v>
      </c>
      <c r="M25">
        <v>0.48705047171931054</v>
      </c>
      <c r="N25">
        <v>0.41188631476462573</v>
      </c>
      <c r="O25">
        <v>0.39804262117163336</v>
      </c>
      <c r="P25">
        <v>0.38875051120716486</v>
      </c>
      <c r="Q25">
        <v>0.39886572295835437</v>
      </c>
      <c r="R25">
        <v>0.4746313945170833</v>
      </c>
      <c r="S25">
        <v>0.47546723631511006</v>
      </c>
      <c r="T25">
        <v>0.41839761412465432</v>
      </c>
      <c r="U25">
        <v>0.37180258833006991</v>
      </c>
      <c r="V25">
        <v>0.47192422987020383</v>
      </c>
      <c r="W25">
        <v>0.51313017849849052</v>
      </c>
      <c r="X25">
        <v>0.54461382624799393</v>
      </c>
      <c r="Y25">
        <v>0.53037613504705494</v>
      </c>
      <c r="Z25">
        <v>0.51031324845053738</v>
      </c>
      <c r="AA25">
        <v>0.49835111935084969</v>
      </c>
      <c r="CE25" t="s">
        <v>536</v>
      </c>
      <c r="CF25">
        <v>0.12234610610305229</v>
      </c>
      <c r="CG25">
        <v>0.10858831520502767</v>
      </c>
      <c r="CH25">
        <v>0.10570760218392092</v>
      </c>
      <c r="CI25">
        <v>0.10449209812105875</v>
      </c>
      <c r="CJ25">
        <v>0.11546715443815898</v>
      </c>
      <c r="CK25">
        <v>0.12712544413128246</v>
      </c>
      <c r="CL25">
        <v>8.1244799707865634E-2</v>
      </c>
      <c r="CM25">
        <v>7.3430279127458795E-2</v>
      </c>
      <c r="CN25">
        <v>6.9758798608613753E-2</v>
      </c>
      <c r="CO25">
        <v>7.930828132194237E-2</v>
      </c>
      <c r="CP25">
        <v>8.9292590577658135E-2</v>
      </c>
      <c r="CQ25">
        <v>8.3356790059833263E-2</v>
      </c>
      <c r="CR25">
        <v>5.4148471927992825E-2</v>
      </c>
      <c r="CS25">
        <v>3.5241779165200729E-2</v>
      </c>
      <c r="CT25">
        <v>3.6543234412143334E-2</v>
      </c>
      <c r="CU25">
        <v>5.4325829381949901E-2</v>
      </c>
      <c r="CV25">
        <v>6.3482247323575561E-2</v>
      </c>
      <c r="CW25">
        <v>5.9335354109045009E-2</v>
      </c>
      <c r="CX25">
        <v>0.1092878742366428</v>
      </c>
      <c r="CY25">
        <v>0.10784002384305215</v>
      </c>
      <c r="CZ25">
        <v>0.10175931135247096</v>
      </c>
      <c r="DA25">
        <v>0.11737607969073477</v>
      </c>
      <c r="DB25">
        <v>0.12275792155141904</v>
      </c>
      <c r="DC25">
        <v>0.11647122522437392</v>
      </c>
      <c r="DE25" t="s">
        <v>536</v>
      </c>
      <c r="DF25" t="s">
        <v>111</v>
      </c>
      <c r="DG25" t="s">
        <v>112</v>
      </c>
      <c r="DH25">
        <v>0.12381061726094533</v>
      </c>
    </row>
    <row r="26" spans="2:112" x14ac:dyDescent="0.45">
      <c r="B26" t="s">
        <v>537</v>
      </c>
      <c r="C26" t="s">
        <v>107</v>
      </c>
      <c r="D26">
        <v>0.5299183567145469</v>
      </c>
      <c r="E26">
        <v>0.51594659714513913</v>
      </c>
      <c r="F26">
        <v>0.54441142620859628</v>
      </c>
      <c r="G26">
        <v>0.5467676709237399</v>
      </c>
      <c r="H26">
        <v>0.54190643379785441</v>
      </c>
      <c r="I26">
        <v>0.52772556564555062</v>
      </c>
      <c r="J26">
        <v>0.42168191733763283</v>
      </c>
      <c r="K26">
        <v>0.44327633932368365</v>
      </c>
      <c r="L26">
        <v>0.5284013149786887</v>
      </c>
      <c r="M26">
        <v>0.49842386803507349</v>
      </c>
      <c r="N26">
        <v>0.43264290159667218</v>
      </c>
      <c r="O26">
        <v>0.41308056970639756</v>
      </c>
      <c r="P26">
        <v>0.4210177619777703</v>
      </c>
      <c r="Q26">
        <v>0.43371978328406424</v>
      </c>
      <c r="R26">
        <v>0.48082951846272082</v>
      </c>
      <c r="S26">
        <v>0.47688620426287598</v>
      </c>
      <c r="T26">
        <v>0.46235355120025962</v>
      </c>
      <c r="U26">
        <v>0.4272669001902899</v>
      </c>
      <c r="V26">
        <v>0.47896144818345165</v>
      </c>
      <c r="W26">
        <v>0.52108990005254396</v>
      </c>
      <c r="X26">
        <v>0.54117182620223547</v>
      </c>
      <c r="Y26">
        <v>0.53501332448416739</v>
      </c>
      <c r="Z26">
        <v>0.53131781694491498</v>
      </c>
      <c r="AA26">
        <v>0.49862315686078956</v>
      </c>
      <c r="CE26" t="s">
        <v>537</v>
      </c>
      <c r="CF26">
        <v>0.11097463720345534</v>
      </c>
      <c r="CG26">
        <v>9.539135884228421E-2</v>
      </c>
      <c r="CH26">
        <v>8.7669221032410857E-2</v>
      </c>
      <c r="CI26">
        <v>8.9378305811745426E-2</v>
      </c>
      <c r="CJ26">
        <v>0.10487650598149263</v>
      </c>
      <c r="CK26">
        <v>0.11328721818496922</v>
      </c>
      <c r="CL26">
        <v>8.5431560901981909E-2</v>
      </c>
      <c r="CM26">
        <v>6.8761395147821924E-2</v>
      </c>
      <c r="CN26">
        <v>6.5939486577205927E-2</v>
      </c>
      <c r="CO26">
        <v>7.7404001723482288E-2</v>
      </c>
      <c r="CP26">
        <v>9.023764285982748E-2</v>
      </c>
      <c r="CQ26">
        <v>9.0453249777319666E-2</v>
      </c>
      <c r="CR26">
        <v>6.1688752517907036E-2</v>
      </c>
      <c r="CS26">
        <v>3.8333335309922091E-2</v>
      </c>
      <c r="CT26">
        <v>3.7019051131842985E-2</v>
      </c>
      <c r="CU26">
        <v>5.4960957492121321E-2</v>
      </c>
      <c r="CV26">
        <v>6.5802247199800157E-2</v>
      </c>
      <c r="CW26">
        <v>5.3161138256984777E-2</v>
      </c>
      <c r="CX26">
        <v>9.2578213771608159E-2</v>
      </c>
      <c r="CY26">
        <v>8.5895037484818373E-2</v>
      </c>
      <c r="CZ26">
        <v>7.8367438243451312E-2</v>
      </c>
      <c r="DA26">
        <v>9.9267739693006507E-2</v>
      </c>
      <c r="DB26">
        <v>0.10719599043558123</v>
      </c>
      <c r="DC26">
        <v>0.10741122483745756</v>
      </c>
      <c r="DE26" t="s">
        <v>537</v>
      </c>
      <c r="DF26" t="s">
        <v>111</v>
      </c>
      <c r="DG26" t="s">
        <v>112</v>
      </c>
      <c r="DH26">
        <v>0.11106941829418281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41DB5-D026-46DE-93E8-03A955618D0F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region=CHE")</f>
        <v>~TFM_DINS-AT: region=CHE</v>
      </c>
      <c r="H9" t="str">
        <f>IF(A11="x","DeActivated","~TFM_DINS-AT: region=CHE")</f>
        <v>~TFM_DINS-AT: region=CHE</v>
      </c>
      <c r="L9" t="str">
        <f>IF(A11="x","DeActivated","~TFM_DINS-AT: region=CHE")</f>
        <v>~TFM_DINS-AT: region=CHE</v>
      </c>
      <c r="P9" t="str">
        <f>IF(A11="x","DeActivated","~TFM_INS-AT: region=CHE")</f>
        <v>~TFM_INS-AT: region=CHE</v>
      </c>
    </row>
    <row r="10" spans="1:19" x14ac:dyDescent="0.45">
      <c r="A10" t="s">
        <v>189</v>
      </c>
      <c r="C10" t="s">
        <v>190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191</v>
      </c>
      <c r="P10" t="s">
        <v>192</v>
      </c>
      <c r="Q10" t="s">
        <v>1</v>
      </c>
      <c r="R10" t="s">
        <v>193</v>
      </c>
      <c r="S10" t="s">
        <v>194</v>
      </c>
    </row>
    <row r="11" spans="1:19" x14ac:dyDescent="0.45">
      <c r="C11">
        <v>8.2191780821917804E-2</v>
      </c>
      <c r="D11">
        <v>2.291226412748925E-2</v>
      </c>
      <c r="E11" t="s">
        <v>5</v>
      </c>
      <c r="F11" t="s">
        <v>195</v>
      </c>
      <c r="H11" t="s">
        <v>196</v>
      </c>
      <c r="I11" t="s">
        <v>5</v>
      </c>
      <c r="L11" t="s">
        <v>197</v>
      </c>
      <c r="M11" t="s">
        <v>5</v>
      </c>
      <c r="N11">
        <v>0.12242688547357394</v>
      </c>
      <c r="P11">
        <v>2020</v>
      </c>
      <c r="Q11" t="s">
        <v>198</v>
      </c>
      <c r="R11">
        <v>0.27886666666666665</v>
      </c>
      <c r="S11" t="s">
        <v>199</v>
      </c>
    </row>
    <row r="12" spans="1:19" x14ac:dyDescent="0.45">
      <c r="C12">
        <v>4.1095890410958902E-2</v>
      </c>
      <c r="D12">
        <v>5.0687417646620103E-2</v>
      </c>
      <c r="E12" t="s">
        <v>9</v>
      </c>
      <c r="F12" t="s">
        <v>195</v>
      </c>
      <c r="H12" t="s">
        <v>196</v>
      </c>
      <c r="I12" t="s">
        <v>9</v>
      </c>
      <c r="L12" t="s">
        <v>197</v>
      </c>
      <c r="M12" t="s">
        <v>9</v>
      </c>
      <c r="N12">
        <v>0.16024514246682653</v>
      </c>
      <c r="P12">
        <v>2020</v>
      </c>
      <c r="Q12" t="s">
        <v>200</v>
      </c>
      <c r="R12">
        <v>0.28170000000000001</v>
      </c>
      <c r="S12" t="s">
        <v>199</v>
      </c>
    </row>
    <row r="13" spans="1:19" x14ac:dyDescent="0.45">
      <c r="C13">
        <v>3.0821917808219176E-2</v>
      </c>
      <c r="D13">
        <v>3.8336275265395424E-2</v>
      </c>
      <c r="E13" t="s">
        <v>10</v>
      </c>
      <c r="F13" t="s">
        <v>195</v>
      </c>
      <c r="H13" t="s">
        <v>196</v>
      </c>
      <c r="I13" t="s">
        <v>10</v>
      </c>
      <c r="L13" t="s">
        <v>197</v>
      </c>
      <c r="M13" t="s">
        <v>10</v>
      </c>
      <c r="N13">
        <v>8.0774077907513675E-2</v>
      </c>
      <c r="P13">
        <v>2020</v>
      </c>
      <c r="Q13" t="s">
        <v>201</v>
      </c>
      <c r="R13">
        <v>0.3746666666666667</v>
      </c>
      <c r="S13" t="s">
        <v>199</v>
      </c>
    </row>
    <row r="14" spans="1:19" x14ac:dyDescent="0.45">
      <c r="C14">
        <v>3.0821917808219176E-2</v>
      </c>
      <c r="D14">
        <v>3.9768291773363502E-2</v>
      </c>
      <c r="E14" t="s">
        <v>11</v>
      </c>
      <c r="F14" t="s">
        <v>195</v>
      </c>
      <c r="H14" t="s">
        <v>196</v>
      </c>
      <c r="I14" t="s">
        <v>11</v>
      </c>
      <c r="L14" t="s">
        <v>197</v>
      </c>
      <c r="M14" t="s">
        <v>11</v>
      </c>
      <c r="N14">
        <v>6.9933915278322489E-2</v>
      </c>
      <c r="P14">
        <v>2020</v>
      </c>
      <c r="Q14" t="s">
        <v>202</v>
      </c>
      <c r="R14">
        <v>0.30306666666666665</v>
      </c>
      <c r="S14" t="s">
        <v>199</v>
      </c>
    </row>
    <row r="15" spans="1:19" x14ac:dyDescent="0.45">
      <c r="C15">
        <v>3.0821917808219176E-2</v>
      </c>
      <c r="D15">
        <v>5.5490639683763034E-2</v>
      </c>
      <c r="E15" t="s">
        <v>12</v>
      </c>
      <c r="F15" t="s">
        <v>195</v>
      </c>
      <c r="H15" t="s">
        <v>196</v>
      </c>
      <c r="I15" t="s">
        <v>12</v>
      </c>
      <c r="L15" t="s">
        <v>197</v>
      </c>
      <c r="M15" t="s">
        <v>12</v>
      </c>
      <c r="N15">
        <v>6.7585069919436247E-2</v>
      </c>
      <c r="P15">
        <v>2021</v>
      </c>
      <c r="Q15" t="s">
        <v>198</v>
      </c>
      <c r="R15">
        <v>0.26756666666666667</v>
      </c>
      <c r="S15" t="s">
        <v>199</v>
      </c>
    </row>
    <row r="16" spans="1:19" x14ac:dyDescent="0.45">
      <c r="C16">
        <v>3.0821917808219176E-2</v>
      </c>
      <c r="D16">
        <v>3.9380453969122146E-2</v>
      </c>
      <c r="E16" t="s">
        <v>13</v>
      </c>
      <c r="F16" t="s">
        <v>195</v>
      </c>
      <c r="H16" t="s">
        <v>196</v>
      </c>
      <c r="I16" t="s">
        <v>13</v>
      </c>
      <c r="L16" t="s">
        <v>197</v>
      </c>
      <c r="M16" t="s">
        <v>13</v>
      </c>
      <c r="N16">
        <v>6.985596086365442E-2</v>
      </c>
      <c r="P16">
        <v>2021</v>
      </c>
      <c r="Q16" t="s">
        <v>200</v>
      </c>
      <c r="R16">
        <v>0.24306666666666668</v>
      </c>
      <c r="S16" t="s">
        <v>199</v>
      </c>
    </row>
    <row r="17" spans="3:19" x14ac:dyDescent="0.45">
      <c r="C17">
        <v>8.4018264840182655E-2</v>
      </c>
      <c r="D17">
        <v>2.3421425552544572E-2</v>
      </c>
      <c r="E17" t="s">
        <v>14</v>
      </c>
      <c r="F17" t="s">
        <v>195</v>
      </c>
      <c r="H17" t="s">
        <v>196</v>
      </c>
      <c r="I17" t="s">
        <v>14</v>
      </c>
      <c r="L17" t="s">
        <v>197</v>
      </c>
      <c r="M17" t="s">
        <v>14</v>
      </c>
      <c r="N17">
        <v>0.2131130037049036</v>
      </c>
      <c r="P17">
        <v>2021</v>
      </c>
      <c r="Q17" t="s">
        <v>201</v>
      </c>
      <c r="R17">
        <v>0.4190666666666667</v>
      </c>
      <c r="S17" t="s">
        <v>199</v>
      </c>
    </row>
    <row r="18" spans="3:19" x14ac:dyDescent="0.45">
      <c r="C18">
        <v>4.2009132420091327E-2</v>
      </c>
      <c r="D18">
        <v>5.1813804705433876E-2</v>
      </c>
      <c r="E18" t="s">
        <v>15</v>
      </c>
      <c r="F18" t="s">
        <v>195</v>
      </c>
      <c r="H18" t="s">
        <v>196</v>
      </c>
      <c r="I18" t="s">
        <v>15</v>
      </c>
      <c r="L18" t="s">
        <v>197</v>
      </c>
      <c r="M18" t="s">
        <v>15</v>
      </c>
      <c r="N18">
        <v>0.20264769650199121</v>
      </c>
      <c r="P18">
        <v>2021</v>
      </c>
      <c r="Q18" t="s">
        <v>202</v>
      </c>
      <c r="R18">
        <v>0.25446666666666667</v>
      </c>
      <c r="S18" t="s">
        <v>199</v>
      </c>
    </row>
    <row r="19" spans="3:19" x14ac:dyDescent="0.45">
      <c r="C19">
        <v>3.1506849315068496E-2</v>
      </c>
      <c r="D19">
        <v>3.9188192493515323E-2</v>
      </c>
      <c r="E19" t="s">
        <v>16</v>
      </c>
      <c r="F19" t="s">
        <v>195</v>
      </c>
      <c r="H19" t="s">
        <v>196</v>
      </c>
      <c r="I19" t="s">
        <v>16</v>
      </c>
      <c r="L19" t="s">
        <v>197</v>
      </c>
      <c r="M19" t="s">
        <v>16</v>
      </c>
      <c r="N19">
        <v>0.12395049978611339</v>
      </c>
      <c r="P19">
        <v>2022</v>
      </c>
      <c r="Q19" t="s">
        <v>198</v>
      </c>
      <c r="R19">
        <v>0.22466666666666668</v>
      </c>
      <c r="S19" t="s">
        <v>199</v>
      </c>
    </row>
    <row r="20" spans="3:19" x14ac:dyDescent="0.45">
      <c r="C20">
        <v>3.1506849315068496E-2</v>
      </c>
      <c r="D20">
        <v>4.0652031590549358E-2</v>
      </c>
      <c r="E20" t="s">
        <v>17</v>
      </c>
      <c r="F20" t="s">
        <v>195</v>
      </c>
      <c r="H20" t="s">
        <v>196</v>
      </c>
      <c r="I20" t="s">
        <v>17</v>
      </c>
      <c r="L20" t="s">
        <v>197</v>
      </c>
      <c r="M20" t="s">
        <v>17</v>
      </c>
      <c r="N20">
        <v>0.13561844175446525</v>
      </c>
      <c r="P20">
        <v>2022</v>
      </c>
      <c r="Q20" t="s">
        <v>200</v>
      </c>
      <c r="R20">
        <v>0.23303333333333334</v>
      </c>
      <c r="S20" t="s">
        <v>199</v>
      </c>
    </row>
    <row r="21" spans="3:19" x14ac:dyDescent="0.45">
      <c r="C21">
        <v>3.1506849315068496E-2</v>
      </c>
      <c r="D21">
        <v>5.6723765010068872E-2</v>
      </c>
      <c r="E21" t="s">
        <v>18</v>
      </c>
      <c r="F21" t="s">
        <v>195</v>
      </c>
      <c r="H21" t="s">
        <v>196</v>
      </c>
      <c r="I21" t="s">
        <v>18</v>
      </c>
      <c r="L21" t="s">
        <v>197</v>
      </c>
      <c r="M21" t="s">
        <v>18</v>
      </c>
      <c r="N21">
        <v>0.1454864221742489</v>
      </c>
      <c r="P21">
        <v>2022</v>
      </c>
      <c r="Q21" t="s">
        <v>201</v>
      </c>
      <c r="R21">
        <v>0.31319999999999998</v>
      </c>
      <c r="S21" t="s">
        <v>199</v>
      </c>
    </row>
    <row r="22" spans="3:19" x14ac:dyDescent="0.45">
      <c r="C22">
        <v>3.1506849315068496E-2</v>
      </c>
      <c r="D22">
        <v>4.0255575168435975E-2</v>
      </c>
      <c r="E22" t="s">
        <v>19</v>
      </c>
      <c r="F22" t="s">
        <v>195</v>
      </c>
      <c r="H22" t="s">
        <v>196</v>
      </c>
      <c r="I22" t="s">
        <v>19</v>
      </c>
      <c r="L22" t="s">
        <v>197</v>
      </c>
      <c r="M22" t="s">
        <v>19</v>
      </c>
      <c r="N22">
        <v>0.15401841447180309</v>
      </c>
      <c r="P22">
        <v>2022</v>
      </c>
      <c r="Q22" t="s">
        <v>202</v>
      </c>
      <c r="R22">
        <v>0.22989999999999999</v>
      </c>
      <c r="S22" t="s">
        <v>199</v>
      </c>
    </row>
    <row r="23" spans="3:19" x14ac:dyDescent="0.45">
      <c r="C23">
        <v>8.4018264840182655E-2</v>
      </c>
      <c r="D23">
        <v>2.3421425552544572E-2</v>
      </c>
      <c r="E23" t="s">
        <v>20</v>
      </c>
      <c r="F23" t="s">
        <v>195</v>
      </c>
      <c r="H23" t="s">
        <v>196</v>
      </c>
      <c r="I23" t="s">
        <v>20</v>
      </c>
      <c r="L23" t="s">
        <v>197</v>
      </c>
      <c r="M23" t="s">
        <v>20</v>
      </c>
      <c r="N23">
        <v>0.17583234536874093</v>
      </c>
      <c r="P23">
        <v>2025</v>
      </c>
      <c r="Q23" t="s">
        <v>198</v>
      </c>
      <c r="R23">
        <v>0.26369999999999999</v>
      </c>
      <c r="S23" t="s">
        <v>199</v>
      </c>
    </row>
    <row r="24" spans="3:19" x14ac:dyDescent="0.45">
      <c r="C24">
        <v>4.2009132420091327E-2</v>
      </c>
      <c r="D24">
        <v>5.1813804705433876E-2</v>
      </c>
      <c r="E24" t="s">
        <v>21</v>
      </c>
      <c r="F24" t="s">
        <v>195</v>
      </c>
      <c r="H24" t="s">
        <v>196</v>
      </c>
      <c r="I24" t="s">
        <v>21</v>
      </c>
      <c r="L24" t="s">
        <v>197</v>
      </c>
      <c r="M24" t="s">
        <v>21</v>
      </c>
      <c r="N24">
        <v>0.17950221021506674</v>
      </c>
      <c r="P24">
        <v>2025</v>
      </c>
      <c r="Q24" t="s">
        <v>200</v>
      </c>
      <c r="R24">
        <v>0.25206666666666666</v>
      </c>
      <c r="S24" t="s">
        <v>199</v>
      </c>
    </row>
    <row r="25" spans="3:19" x14ac:dyDescent="0.45">
      <c r="C25">
        <v>3.1506849315068496E-2</v>
      </c>
      <c r="D25">
        <v>3.9188192493515323E-2</v>
      </c>
      <c r="E25" t="s">
        <v>22</v>
      </c>
      <c r="F25" t="s">
        <v>195</v>
      </c>
      <c r="H25" t="s">
        <v>196</v>
      </c>
      <c r="I25" t="s">
        <v>22</v>
      </c>
      <c r="L25" t="s">
        <v>197</v>
      </c>
      <c r="M25" t="s">
        <v>22</v>
      </c>
      <c r="N25">
        <v>9.4146105999117102E-2</v>
      </c>
      <c r="P25">
        <v>2025</v>
      </c>
      <c r="Q25" t="s">
        <v>201</v>
      </c>
      <c r="R25">
        <v>0.37946666666666662</v>
      </c>
      <c r="S25" t="s">
        <v>199</v>
      </c>
    </row>
    <row r="26" spans="3:19" x14ac:dyDescent="0.45">
      <c r="C26">
        <v>3.1506849315068496E-2</v>
      </c>
      <c r="D26">
        <v>4.0652031590549358E-2</v>
      </c>
      <c r="E26" t="s">
        <v>23</v>
      </c>
      <c r="F26" t="s">
        <v>195</v>
      </c>
      <c r="H26" t="s">
        <v>196</v>
      </c>
      <c r="I26" t="s">
        <v>23</v>
      </c>
      <c r="L26" t="s">
        <v>197</v>
      </c>
      <c r="M26" t="s">
        <v>23</v>
      </c>
      <c r="N26">
        <v>0.11067032613621408</v>
      </c>
      <c r="P26">
        <v>2025</v>
      </c>
      <c r="Q26" t="s">
        <v>202</v>
      </c>
      <c r="R26">
        <v>0.27790000000000004</v>
      </c>
      <c r="S26" t="s">
        <v>199</v>
      </c>
    </row>
    <row r="27" spans="3:19" x14ac:dyDescent="0.45">
      <c r="C27">
        <v>3.1506849315068496E-2</v>
      </c>
      <c r="D27">
        <v>5.6723765010068872E-2</v>
      </c>
      <c r="E27" t="s">
        <v>24</v>
      </c>
      <c r="F27" t="s">
        <v>195</v>
      </c>
      <c r="H27" t="s">
        <v>196</v>
      </c>
      <c r="I27" t="s">
        <v>24</v>
      </c>
      <c r="L27" t="s">
        <v>197</v>
      </c>
      <c r="M27" t="s">
        <v>24</v>
      </c>
      <c r="N27">
        <v>0.11410523281436658</v>
      </c>
      <c r="P27">
        <v>2026</v>
      </c>
      <c r="Q27" t="s">
        <v>198</v>
      </c>
      <c r="R27">
        <v>0.23240000000000002</v>
      </c>
      <c r="S27" t="s">
        <v>199</v>
      </c>
    </row>
    <row r="28" spans="3:19" x14ac:dyDescent="0.45">
      <c r="C28">
        <v>3.1506849315068496E-2</v>
      </c>
      <c r="D28">
        <v>4.0255575168435975E-2</v>
      </c>
      <c r="E28" t="s">
        <v>25</v>
      </c>
      <c r="F28" t="s">
        <v>195</v>
      </c>
      <c r="H28" t="s">
        <v>196</v>
      </c>
      <c r="I28" t="s">
        <v>25</v>
      </c>
      <c r="L28" t="s">
        <v>197</v>
      </c>
      <c r="M28" t="s">
        <v>25</v>
      </c>
      <c r="N28">
        <v>0.11409973604512769</v>
      </c>
      <c r="P28">
        <v>2026</v>
      </c>
      <c r="Q28" t="s">
        <v>200</v>
      </c>
      <c r="R28">
        <v>0.26023333333333332</v>
      </c>
      <c r="S28" t="s">
        <v>199</v>
      </c>
    </row>
    <row r="29" spans="3:19" x14ac:dyDescent="0.45">
      <c r="C29">
        <v>8.3105022831050229E-2</v>
      </c>
      <c r="D29">
        <v>2.3166844840016909E-2</v>
      </c>
      <c r="E29" t="s">
        <v>26</v>
      </c>
      <c r="F29" t="s">
        <v>195</v>
      </c>
      <c r="H29" t="s">
        <v>196</v>
      </c>
      <c r="I29" t="s">
        <v>26</v>
      </c>
      <c r="L29" t="s">
        <v>197</v>
      </c>
      <c r="M29" t="s">
        <v>26</v>
      </c>
      <c r="N29">
        <v>0.24529967036350153</v>
      </c>
      <c r="P29">
        <v>2026</v>
      </c>
      <c r="Q29" t="s">
        <v>201</v>
      </c>
      <c r="R29">
        <v>0.3891</v>
      </c>
      <c r="S29" t="s">
        <v>199</v>
      </c>
    </row>
    <row r="30" spans="3:19" x14ac:dyDescent="0.45">
      <c r="C30">
        <v>4.1552511415525115E-2</v>
      </c>
      <c r="D30">
        <v>5.1250611176026986E-2</v>
      </c>
      <c r="E30" t="s">
        <v>27</v>
      </c>
      <c r="F30" t="s">
        <v>195</v>
      </c>
      <c r="H30" t="s">
        <v>196</v>
      </c>
      <c r="I30" t="s">
        <v>27</v>
      </c>
      <c r="L30" t="s">
        <v>197</v>
      </c>
      <c r="M30" t="s">
        <v>27</v>
      </c>
      <c r="N30">
        <v>0.26346207847241732</v>
      </c>
      <c r="P30">
        <v>2026</v>
      </c>
      <c r="Q30" t="s">
        <v>202</v>
      </c>
      <c r="R30">
        <v>0.26973333333333332</v>
      </c>
      <c r="S30" t="s">
        <v>199</v>
      </c>
    </row>
    <row r="31" spans="3:19" x14ac:dyDescent="0.45">
      <c r="C31">
        <v>3.1164383561643836E-2</v>
      </c>
      <c r="D31">
        <v>3.8762233879455377E-2</v>
      </c>
      <c r="E31" t="s">
        <v>28</v>
      </c>
      <c r="F31" t="s">
        <v>195</v>
      </c>
      <c r="H31" t="s">
        <v>196</v>
      </c>
      <c r="I31" t="s">
        <v>28</v>
      </c>
      <c r="L31" t="s">
        <v>197</v>
      </c>
      <c r="M31" t="s">
        <v>28</v>
      </c>
      <c r="N31">
        <v>0.15636199478547663</v>
      </c>
      <c r="P31">
        <v>2027</v>
      </c>
      <c r="Q31" t="s">
        <v>198</v>
      </c>
      <c r="R31">
        <v>0.24993333333333334</v>
      </c>
      <c r="S31" t="s">
        <v>199</v>
      </c>
    </row>
    <row r="32" spans="3:19" x14ac:dyDescent="0.45">
      <c r="C32">
        <v>3.1164383561643836E-2</v>
      </c>
      <c r="D32">
        <v>4.021016168195643E-2</v>
      </c>
      <c r="E32" t="s">
        <v>29</v>
      </c>
      <c r="F32" t="s">
        <v>195</v>
      </c>
      <c r="H32" t="s">
        <v>196</v>
      </c>
      <c r="I32" t="s">
        <v>29</v>
      </c>
      <c r="L32" t="s">
        <v>197</v>
      </c>
      <c r="M32" t="s">
        <v>29</v>
      </c>
      <c r="N32">
        <v>0.16472248852445981</v>
      </c>
      <c r="P32">
        <v>2027</v>
      </c>
      <c r="Q32" t="s">
        <v>200</v>
      </c>
      <c r="R32">
        <v>0.25436666666666669</v>
      </c>
      <c r="S32" t="s">
        <v>199</v>
      </c>
    </row>
    <row r="33" spans="3:19" x14ac:dyDescent="0.45">
      <c r="C33">
        <v>3.1164383561643836E-2</v>
      </c>
      <c r="D33">
        <v>5.6107202346915949E-2</v>
      </c>
      <c r="E33" t="s">
        <v>30</v>
      </c>
      <c r="F33" t="s">
        <v>195</v>
      </c>
      <c r="H33" t="s">
        <v>196</v>
      </c>
      <c r="I33" t="s">
        <v>30</v>
      </c>
      <c r="L33" t="s">
        <v>197</v>
      </c>
      <c r="M33" t="s">
        <v>30</v>
      </c>
      <c r="N33">
        <v>0.1728700161064245</v>
      </c>
      <c r="P33">
        <v>2027</v>
      </c>
      <c r="Q33" t="s">
        <v>201</v>
      </c>
      <c r="R33">
        <v>0.36630000000000001</v>
      </c>
      <c r="S33" t="s">
        <v>199</v>
      </c>
    </row>
    <row r="34" spans="3:19" x14ac:dyDescent="0.45">
      <c r="C34">
        <v>3.1164383561643836E-2</v>
      </c>
      <c r="D34">
        <v>3.9818014568779057E-2</v>
      </c>
      <c r="E34" t="s">
        <v>31</v>
      </c>
      <c r="F34" t="s">
        <v>195</v>
      </c>
      <c r="H34" t="s">
        <v>196</v>
      </c>
      <c r="I34" t="s">
        <v>31</v>
      </c>
      <c r="L34" t="s">
        <v>197</v>
      </c>
      <c r="M34" t="s">
        <v>31</v>
      </c>
      <c r="N34">
        <v>0.18061945719506234</v>
      </c>
      <c r="P34">
        <v>2027</v>
      </c>
      <c r="Q34" t="s">
        <v>202</v>
      </c>
      <c r="R34">
        <v>0.32746666666666663</v>
      </c>
      <c r="S34" t="s">
        <v>199</v>
      </c>
    </row>
    <row r="35" spans="3:19" x14ac:dyDescent="0.45">
      <c r="H35" t="s">
        <v>203</v>
      </c>
      <c r="I35" t="s">
        <v>5</v>
      </c>
      <c r="P35">
        <v>2028</v>
      </c>
      <c r="Q35" t="s">
        <v>198</v>
      </c>
      <c r="R35">
        <v>0.29683333333333334</v>
      </c>
      <c r="S35" t="s">
        <v>199</v>
      </c>
    </row>
    <row r="36" spans="3:19" x14ac:dyDescent="0.45">
      <c r="H36" t="s">
        <v>203</v>
      </c>
      <c r="I36" t="s">
        <v>9</v>
      </c>
      <c r="P36">
        <v>2028</v>
      </c>
      <c r="Q36" t="s">
        <v>200</v>
      </c>
      <c r="R36">
        <v>0.29469999999999996</v>
      </c>
      <c r="S36" t="s">
        <v>199</v>
      </c>
    </row>
    <row r="37" spans="3:19" x14ac:dyDescent="0.45">
      <c r="H37" t="s">
        <v>203</v>
      </c>
      <c r="I37" t="s">
        <v>10</v>
      </c>
      <c r="P37">
        <v>2028</v>
      </c>
      <c r="Q37" t="s">
        <v>201</v>
      </c>
      <c r="R37">
        <v>0.47143333333333332</v>
      </c>
      <c r="S37" t="s">
        <v>199</v>
      </c>
    </row>
    <row r="38" spans="3:19" x14ac:dyDescent="0.45">
      <c r="H38" t="s">
        <v>203</v>
      </c>
      <c r="I38" t="s">
        <v>11</v>
      </c>
      <c r="P38">
        <v>2028</v>
      </c>
      <c r="Q38" t="s">
        <v>202</v>
      </c>
      <c r="R38">
        <v>0.31273333333333336</v>
      </c>
      <c r="S38" t="s">
        <v>199</v>
      </c>
    </row>
    <row r="39" spans="3:19" x14ac:dyDescent="0.45">
      <c r="H39" t="s">
        <v>203</v>
      </c>
      <c r="I39" t="s">
        <v>12</v>
      </c>
      <c r="P39">
        <v>2029</v>
      </c>
      <c r="Q39" t="s">
        <v>198</v>
      </c>
      <c r="R39">
        <v>0.30913333333333332</v>
      </c>
      <c r="S39" t="s">
        <v>199</v>
      </c>
    </row>
    <row r="40" spans="3:19" x14ac:dyDescent="0.45">
      <c r="H40" t="s">
        <v>203</v>
      </c>
      <c r="I40" t="s">
        <v>13</v>
      </c>
      <c r="P40">
        <v>2029</v>
      </c>
      <c r="Q40" t="s">
        <v>200</v>
      </c>
      <c r="R40">
        <v>0.27963333333333334</v>
      </c>
      <c r="S40" t="s">
        <v>199</v>
      </c>
    </row>
    <row r="41" spans="3:19" x14ac:dyDescent="0.45">
      <c r="H41" t="s">
        <v>203</v>
      </c>
      <c r="I41" t="s">
        <v>14</v>
      </c>
      <c r="P41">
        <v>2029</v>
      </c>
      <c r="Q41" t="s">
        <v>201</v>
      </c>
      <c r="R41">
        <v>0.43053333333333327</v>
      </c>
      <c r="S41" t="s">
        <v>199</v>
      </c>
    </row>
    <row r="42" spans="3:19" x14ac:dyDescent="0.45">
      <c r="H42" t="s">
        <v>203</v>
      </c>
      <c r="I42" t="s">
        <v>15</v>
      </c>
      <c r="P42">
        <v>2029</v>
      </c>
      <c r="Q42" t="s">
        <v>202</v>
      </c>
      <c r="R42">
        <v>0.32423333333333337</v>
      </c>
      <c r="S42" t="s">
        <v>199</v>
      </c>
    </row>
    <row r="43" spans="3:19" x14ac:dyDescent="0.45">
      <c r="H43" t="s">
        <v>203</v>
      </c>
      <c r="I43" t="s">
        <v>16</v>
      </c>
      <c r="P43">
        <v>2030</v>
      </c>
      <c r="Q43" t="s">
        <v>198</v>
      </c>
      <c r="R43">
        <v>0.31393333333333334</v>
      </c>
      <c r="S43" t="s">
        <v>199</v>
      </c>
    </row>
    <row r="44" spans="3:19" x14ac:dyDescent="0.45">
      <c r="H44" t="s">
        <v>203</v>
      </c>
      <c r="I44" t="s">
        <v>17</v>
      </c>
      <c r="P44">
        <v>2030</v>
      </c>
      <c r="Q44" t="s">
        <v>200</v>
      </c>
      <c r="R44">
        <v>0.3274333333333333</v>
      </c>
      <c r="S44" t="s">
        <v>199</v>
      </c>
    </row>
    <row r="45" spans="3:19" x14ac:dyDescent="0.45">
      <c r="H45" t="s">
        <v>203</v>
      </c>
      <c r="I45" t="s">
        <v>18</v>
      </c>
      <c r="P45">
        <v>2030</v>
      </c>
      <c r="Q45" t="s">
        <v>201</v>
      </c>
      <c r="R45">
        <v>0.46556666666666668</v>
      </c>
      <c r="S45" t="s">
        <v>199</v>
      </c>
    </row>
    <row r="46" spans="3:19" x14ac:dyDescent="0.45">
      <c r="H46" t="s">
        <v>203</v>
      </c>
      <c r="I46" t="s">
        <v>19</v>
      </c>
      <c r="P46">
        <v>2030</v>
      </c>
      <c r="Q46" t="s">
        <v>202</v>
      </c>
      <c r="R46">
        <v>0.32099999999999995</v>
      </c>
      <c r="S46" t="s">
        <v>199</v>
      </c>
    </row>
    <row r="47" spans="3:19" x14ac:dyDescent="0.45">
      <c r="H47" t="s">
        <v>203</v>
      </c>
      <c r="I47" t="s">
        <v>20</v>
      </c>
      <c r="P47">
        <v>2031</v>
      </c>
      <c r="Q47" t="s">
        <v>198</v>
      </c>
      <c r="R47">
        <v>0.31513333333333332</v>
      </c>
      <c r="S47" t="s">
        <v>199</v>
      </c>
    </row>
    <row r="48" spans="3:19" x14ac:dyDescent="0.45">
      <c r="H48" t="s">
        <v>203</v>
      </c>
      <c r="I48" t="s">
        <v>21</v>
      </c>
      <c r="P48">
        <v>2031</v>
      </c>
      <c r="Q48" t="s">
        <v>200</v>
      </c>
      <c r="R48">
        <v>0.27993333333333331</v>
      </c>
      <c r="S48" t="s">
        <v>199</v>
      </c>
    </row>
    <row r="49" spans="8:19" x14ac:dyDescent="0.45">
      <c r="H49" t="s">
        <v>203</v>
      </c>
      <c r="I49" t="s">
        <v>22</v>
      </c>
      <c r="P49">
        <v>2031</v>
      </c>
      <c r="Q49" t="s">
        <v>201</v>
      </c>
      <c r="R49">
        <v>0.45293333333333335</v>
      </c>
      <c r="S49" t="s">
        <v>199</v>
      </c>
    </row>
    <row r="50" spans="8:19" x14ac:dyDescent="0.45">
      <c r="H50" t="s">
        <v>203</v>
      </c>
      <c r="I50" t="s">
        <v>23</v>
      </c>
      <c r="P50">
        <v>2031</v>
      </c>
      <c r="Q50" t="s">
        <v>202</v>
      </c>
      <c r="R50">
        <v>0.31756666666666672</v>
      </c>
      <c r="S50" t="s">
        <v>199</v>
      </c>
    </row>
    <row r="51" spans="8:19" x14ac:dyDescent="0.45">
      <c r="H51" t="s">
        <v>203</v>
      </c>
      <c r="I51" t="s">
        <v>24</v>
      </c>
      <c r="P51">
        <v>2032</v>
      </c>
      <c r="Q51" t="s">
        <v>198</v>
      </c>
      <c r="R51">
        <v>0.32116666666666666</v>
      </c>
      <c r="S51" t="s">
        <v>199</v>
      </c>
    </row>
    <row r="52" spans="8:19" x14ac:dyDescent="0.45">
      <c r="H52" t="s">
        <v>203</v>
      </c>
      <c r="I52" t="s">
        <v>25</v>
      </c>
      <c r="P52">
        <v>2032</v>
      </c>
      <c r="Q52" t="s">
        <v>200</v>
      </c>
      <c r="R52">
        <v>0.32406666666666667</v>
      </c>
      <c r="S52" t="s">
        <v>199</v>
      </c>
    </row>
    <row r="53" spans="8:19" x14ac:dyDescent="0.45">
      <c r="H53" t="s">
        <v>203</v>
      </c>
      <c r="I53" t="s">
        <v>26</v>
      </c>
      <c r="P53">
        <v>2032</v>
      </c>
      <c r="Q53" t="s">
        <v>201</v>
      </c>
      <c r="R53">
        <v>0.46383333333333332</v>
      </c>
      <c r="S53" t="s">
        <v>199</v>
      </c>
    </row>
    <row r="54" spans="8:19" x14ac:dyDescent="0.45">
      <c r="H54" t="s">
        <v>203</v>
      </c>
      <c r="I54" t="s">
        <v>27</v>
      </c>
      <c r="P54">
        <v>2032</v>
      </c>
      <c r="Q54" t="s">
        <v>202</v>
      </c>
      <c r="R54">
        <v>0.32050000000000001</v>
      </c>
      <c r="S54" t="s">
        <v>199</v>
      </c>
    </row>
    <row r="55" spans="8:19" x14ac:dyDescent="0.45">
      <c r="H55" t="s">
        <v>203</v>
      </c>
      <c r="I55" t="s">
        <v>28</v>
      </c>
      <c r="P55">
        <v>2033</v>
      </c>
      <c r="Q55" t="s">
        <v>198</v>
      </c>
      <c r="R55">
        <v>0.28553333333333336</v>
      </c>
      <c r="S55" t="s">
        <v>199</v>
      </c>
    </row>
    <row r="56" spans="8:19" x14ac:dyDescent="0.45">
      <c r="H56" t="s">
        <v>203</v>
      </c>
      <c r="I56" t="s">
        <v>29</v>
      </c>
      <c r="P56">
        <v>2033</v>
      </c>
      <c r="Q56" t="s">
        <v>200</v>
      </c>
      <c r="R56">
        <v>0.29236666666666666</v>
      </c>
      <c r="S56" t="s">
        <v>199</v>
      </c>
    </row>
    <row r="57" spans="8:19" x14ac:dyDescent="0.45">
      <c r="H57" t="s">
        <v>203</v>
      </c>
      <c r="I57" t="s">
        <v>30</v>
      </c>
      <c r="P57">
        <v>2033</v>
      </c>
      <c r="Q57" t="s">
        <v>201</v>
      </c>
      <c r="R57">
        <v>0.44373333333333331</v>
      </c>
      <c r="S57" t="s">
        <v>199</v>
      </c>
    </row>
    <row r="58" spans="8:19" x14ac:dyDescent="0.45">
      <c r="H58" t="s">
        <v>203</v>
      </c>
      <c r="I58" t="s">
        <v>31</v>
      </c>
      <c r="P58">
        <v>2033</v>
      </c>
      <c r="Q58" t="s">
        <v>202</v>
      </c>
      <c r="R58">
        <v>0.30050000000000004</v>
      </c>
      <c r="S58" t="s">
        <v>199</v>
      </c>
    </row>
    <row r="59" spans="8:19" x14ac:dyDescent="0.45">
      <c r="P59">
        <v>2034</v>
      </c>
      <c r="Q59" t="s">
        <v>198</v>
      </c>
      <c r="R59">
        <v>0.30433333333333334</v>
      </c>
      <c r="S59" t="s">
        <v>199</v>
      </c>
    </row>
    <row r="60" spans="8:19" x14ac:dyDescent="0.45">
      <c r="P60">
        <v>2034</v>
      </c>
      <c r="Q60" t="s">
        <v>200</v>
      </c>
      <c r="R60">
        <v>0.32886666666666664</v>
      </c>
      <c r="S60" t="s">
        <v>199</v>
      </c>
    </row>
    <row r="61" spans="8:19" x14ac:dyDescent="0.45">
      <c r="P61">
        <v>2034</v>
      </c>
      <c r="Q61" t="s">
        <v>201</v>
      </c>
      <c r="R61">
        <v>0.44026666666666675</v>
      </c>
      <c r="S61" t="s">
        <v>199</v>
      </c>
    </row>
    <row r="62" spans="8:19" x14ac:dyDescent="0.45">
      <c r="P62">
        <v>2034</v>
      </c>
      <c r="Q62" t="s">
        <v>202</v>
      </c>
      <c r="R62">
        <v>0.3301</v>
      </c>
      <c r="S62" t="s">
        <v>199</v>
      </c>
    </row>
    <row r="63" spans="8:19" x14ac:dyDescent="0.45">
      <c r="P63">
        <v>2035</v>
      </c>
      <c r="Q63" t="s">
        <v>198</v>
      </c>
      <c r="R63">
        <v>0.27323333333333333</v>
      </c>
      <c r="S63" t="s">
        <v>199</v>
      </c>
    </row>
    <row r="64" spans="8:19" x14ac:dyDescent="0.45">
      <c r="P64">
        <v>2035</v>
      </c>
      <c r="Q64" t="s">
        <v>200</v>
      </c>
      <c r="R64">
        <v>0.27489999999999998</v>
      </c>
      <c r="S64" t="s">
        <v>199</v>
      </c>
    </row>
    <row r="65" spans="16:19" x14ac:dyDescent="0.45">
      <c r="P65">
        <v>2035</v>
      </c>
      <c r="Q65" t="s">
        <v>201</v>
      </c>
      <c r="R65">
        <v>0.38610000000000005</v>
      </c>
      <c r="S65" t="s">
        <v>199</v>
      </c>
    </row>
    <row r="66" spans="16:19" x14ac:dyDescent="0.45">
      <c r="P66">
        <v>2035</v>
      </c>
      <c r="Q66" t="s">
        <v>202</v>
      </c>
      <c r="R66">
        <v>0.29493333333333333</v>
      </c>
      <c r="S66" t="s">
        <v>199</v>
      </c>
    </row>
    <row r="67" spans="16:19" x14ac:dyDescent="0.45">
      <c r="P67">
        <v>2036</v>
      </c>
      <c r="Q67" t="s">
        <v>198</v>
      </c>
      <c r="R67">
        <v>0.25030000000000002</v>
      </c>
      <c r="S67" t="s">
        <v>199</v>
      </c>
    </row>
    <row r="68" spans="16:19" x14ac:dyDescent="0.45">
      <c r="P68">
        <v>2036</v>
      </c>
      <c r="Q68" t="s">
        <v>200</v>
      </c>
      <c r="R68">
        <v>0.24419999999999997</v>
      </c>
      <c r="S68" t="s">
        <v>199</v>
      </c>
    </row>
    <row r="69" spans="16:19" x14ac:dyDescent="0.45">
      <c r="P69">
        <v>2036</v>
      </c>
      <c r="Q69" t="s">
        <v>201</v>
      </c>
      <c r="R69">
        <v>0.35400000000000004</v>
      </c>
      <c r="S69" t="s">
        <v>199</v>
      </c>
    </row>
    <row r="70" spans="16:19" x14ac:dyDescent="0.45">
      <c r="P70">
        <v>2036</v>
      </c>
      <c r="Q70" t="s">
        <v>202</v>
      </c>
      <c r="R70">
        <v>0.21916666666666665</v>
      </c>
      <c r="S70" t="s">
        <v>199</v>
      </c>
    </row>
    <row r="71" spans="16:19" x14ac:dyDescent="0.45">
      <c r="P71">
        <v>2037</v>
      </c>
      <c r="Q71" t="s">
        <v>198</v>
      </c>
      <c r="R71">
        <v>0.22456666666666666</v>
      </c>
      <c r="S71" t="s">
        <v>199</v>
      </c>
    </row>
    <row r="72" spans="16:19" x14ac:dyDescent="0.45">
      <c r="P72">
        <v>2037</v>
      </c>
      <c r="Q72" t="s">
        <v>200</v>
      </c>
      <c r="R72">
        <v>0.23803333333333332</v>
      </c>
      <c r="S72" t="s">
        <v>199</v>
      </c>
    </row>
    <row r="73" spans="16:19" x14ac:dyDescent="0.45">
      <c r="P73">
        <v>2037</v>
      </c>
      <c r="Q73" t="s">
        <v>201</v>
      </c>
      <c r="R73">
        <v>0.32946666666666669</v>
      </c>
      <c r="S73" t="s">
        <v>199</v>
      </c>
    </row>
    <row r="74" spans="16:19" x14ac:dyDescent="0.45">
      <c r="P74">
        <v>2037</v>
      </c>
      <c r="Q74" t="s">
        <v>202</v>
      </c>
      <c r="R74">
        <v>0.23236666666666664</v>
      </c>
      <c r="S74" t="s">
        <v>199</v>
      </c>
    </row>
    <row r="75" spans="16:19" x14ac:dyDescent="0.45">
      <c r="P75">
        <v>2038</v>
      </c>
      <c r="Q75" t="s">
        <v>198</v>
      </c>
      <c r="R75">
        <v>0.22999999999999998</v>
      </c>
      <c r="S75" t="s">
        <v>199</v>
      </c>
    </row>
    <row r="76" spans="16:19" x14ac:dyDescent="0.45">
      <c r="P76">
        <v>2038</v>
      </c>
      <c r="Q76" t="s">
        <v>200</v>
      </c>
      <c r="R76">
        <v>0.22103333333333333</v>
      </c>
      <c r="S76" t="s">
        <v>199</v>
      </c>
    </row>
    <row r="77" spans="16:19" x14ac:dyDescent="0.45">
      <c r="P77">
        <v>2038</v>
      </c>
      <c r="Q77" t="s">
        <v>201</v>
      </c>
      <c r="R77">
        <v>0.34933333333333333</v>
      </c>
      <c r="S77" t="s">
        <v>199</v>
      </c>
    </row>
    <row r="78" spans="16:19" x14ac:dyDescent="0.45">
      <c r="P78">
        <v>2038</v>
      </c>
      <c r="Q78" t="s">
        <v>202</v>
      </c>
      <c r="R78">
        <v>0.2732666666666666</v>
      </c>
      <c r="S78" t="s">
        <v>199</v>
      </c>
    </row>
    <row r="79" spans="16:19" x14ac:dyDescent="0.45">
      <c r="P79">
        <v>2039</v>
      </c>
      <c r="Q79" t="s">
        <v>198</v>
      </c>
      <c r="R79">
        <v>0.26860000000000001</v>
      </c>
      <c r="S79" t="s">
        <v>199</v>
      </c>
    </row>
    <row r="80" spans="16:19" x14ac:dyDescent="0.45">
      <c r="P80">
        <v>2039</v>
      </c>
      <c r="Q80" t="s">
        <v>200</v>
      </c>
      <c r="R80">
        <v>0.24006666666666665</v>
      </c>
      <c r="S80" t="s">
        <v>199</v>
      </c>
    </row>
    <row r="81" spans="16:19" x14ac:dyDescent="0.45">
      <c r="P81">
        <v>2039</v>
      </c>
      <c r="Q81" t="s">
        <v>201</v>
      </c>
      <c r="R81">
        <v>0.34749999999999998</v>
      </c>
      <c r="S81" t="s">
        <v>199</v>
      </c>
    </row>
    <row r="82" spans="16:19" x14ac:dyDescent="0.45">
      <c r="P82">
        <v>2039</v>
      </c>
      <c r="Q82" t="s">
        <v>202</v>
      </c>
      <c r="R82">
        <v>0.22003333333333333</v>
      </c>
      <c r="S82" t="s">
        <v>199</v>
      </c>
    </row>
    <row r="83" spans="16:19" x14ac:dyDescent="0.45">
      <c r="P83">
        <v>2040</v>
      </c>
      <c r="Q83" t="s">
        <v>198</v>
      </c>
      <c r="R83">
        <v>0.22606666666666667</v>
      </c>
      <c r="S83" t="s">
        <v>199</v>
      </c>
    </row>
    <row r="84" spans="16:19" x14ac:dyDescent="0.45">
      <c r="P84">
        <v>2040</v>
      </c>
      <c r="Q84" t="s">
        <v>200</v>
      </c>
      <c r="R84">
        <v>0.23170000000000002</v>
      </c>
      <c r="S84" t="s">
        <v>199</v>
      </c>
    </row>
    <row r="85" spans="16:19" x14ac:dyDescent="0.45">
      <c r="P85">
        <v>2040</v>
      </c>
      <c r="Q85" t="s">
        <v>201</v>
      </c>
      <c r="R85">
        <v>0.32396666666666668</v>
      </c>
      <c r="S85" t="s">
        <v>199</v>
      </c>
    </row>
    <row r="86" spans="16:19" x14ac:dyDescent="0.45">
      <c r="P86">
        <v>2040</v>
      </c>
      <c r="Q86" t="s">
        <v>202</v>
      </c>
      <c r="R86">
        <v>0.24803333333333333</v>
      </c>
      <c r="S86" t="s">
        <v>199</v>
      </c>
    </row>
    <row r="87" spans="16:19" x14ac:dyDescent="0.45">
      <c r="P87">
        <v>2041</v>
      </c>
      <c r="Q87" t="s">
        <v>198</v>
      </c>
      <c r="R87">
        <v>0.22060000000000002</v>
      </c>
      <c r="S87" t="s">
        <v>199</v>
      </c>
    </row>
    <row r="88" spans="16:19" x14ac:dyDescent="0.45">
      <c r="P88">
        <v>2041</v>
      </c>
      <c r="Q88" t="s">
        <v>200</v>
      </c>
      <c r="R88">
        <v>0.21913333333333332</v>
      </c>
      <c r="S88" t="s">
        <v>199</v>
      </c>
    </row>
    <row r="89" spans="16:19" x14ac:dyDescent="0.45">
      <c r="P89">
        <v>2041</v>
      </c>
      <c r="Q89" t="s">
        <v>201</v>
      </c>
      <c r="R89">
        <v>0.33816666666666667</v>
      </c>
      <c r="S89" t="s">
        <v>199</v>
      </c>
    </row>
    <row r="90" spans="16:19" x14ac:dyDescent="0.45">
      <c r="P90">
        <v>2041</v>
      </c>
      <c r="Q90" t="s">
        <v>202</v>
      </c>
      <c r="R90">
        <v>0.23656666666666668</v>
      </c>
      <c r="S90" t="s">
        <v>199</v>
      </c>
    </row>
    <row r="91" spans="16:19" x14ac:dyDescent="0.45">
      <c r="P91">
        <v>2042</v>
      </c>
      <c r="Q91" t="s">
        <v>198</v>
      </c>
      <c r="R91">
        <v>0.23663333333333333</v>
      </c>
      <c r="S91" t="s">
        <v>199</v>
      </c>
    </row>
    <row r="92" spans="16:19" x14ac:dyDescent="0.45">
      <c r="P92">
        <v>2042</v>
      </c>
      <c r="Q92" t="s">
        <v>200</v>
      </c>
      <c r="R92">
        <v>0.19523333333333329</v>
      </c>
      <c r="S92" t="s">
        <v>199</v>
      </c>
    </row>
    <row r="93" spans="16:19" x14ac:dyDescent="0.45">
      <c r="P93">
        <v>2042</v>
      </c>
      <c r="Q93" t="s">
        <v>201</v>
      </c>
      <c r="R93">
        <v>0.32773333333333332</v>
      </c>
      <c r="S93" t="s">
        <v>199</v>
      </c>
    </row>
    <row r="94" spans="16:19" x14ac:dyDescent="0.45">
      <c r="P94">
        <v>2042</v>
      </c>
      <c r="Q94" t="s">
        <v>202</v>
      </c>
      <c r="R94">
        <v>0.2389</v>
      </c>
      <c r="S94" t="s">
        <v>199</v>
      </c>
    </row>
    <row r="95" spans="16:19" x14ac:dyDescent="0.45">
      <c r="P95">
        <v>2043</v>
      </c>
      <c r="Q95" t="s">
        <v>198</v>
      </c>
      <c r="R95">
        <v>0.23946666666666669</v>
      </c>
      <c r="S95" t="s">
        <v>199</v>
      </c>
    </row>
    <row r="96" spans="16:19" x14ac:dyDescent="0.45">
      <c r="P96">
        <v>2043</v>
      </c>
      <c r="Q96" t="s">
        <v>200</v>
      </c>
      <c r="R96">
        <v>0.23140000000000002</v>
      </c>
      <c r="S96" t="s">
        <v>199</v>
      </c>
    </row>
    <row r="97" spans="16:19" x14ac:dyDescent="0.45">
      <c r="P97">
        <v>2043</v>
      </c>
      <c r="Q97" t="s">
        <v>201</v>
      </c>
      <c r="R97">
        <v>0.34713333333333335</v>
      </c>
      <c r="S97" t="s">
        <v>199</v>
      </c>
    </row>
    <row r="98" spans="16:19" x14ac:dyDescent="0.45">
      <c r="P98">
        <v>2043</v>
      </c>
      <c r="Q98" t="s">
        <v>202</v>
      </c>
      <c r="R98">
        <v>0.19986666666666664</v>
      </c>
      <c r="S98" t="s">
        <v>199</v>
      </c>
    </row>
    <row r="99" spans="16:19" x14ac:dyDescent="0.45">
      <c r="P99">
        <v>2044</v>
      </c>
      <c r="Q99" t="s">
        <v>198</v>
      </c>
      <c r="R99">
        <v>0.21883333333333332</v>
      </c>
      <c r="S99" t="s">
        <v>199</v>
      </c>
    </row>
    <row r="100" spans="16:19" x14ac:dyDescent="0.45">
      <c r="P100">
        <v>2044</v>
      </c>
      <c r="Q100" t="s">
        <v>200</v>
      </c>
      <c r="R100">
        <v>0.1986</v>
      </c>
      <c r="S100" t="s">
        <v>199</v>
      </c>
    </row>
    <row r="101" spans="16:19" x14ac:dyDescent="0.45">
      <c r="P101">
        <v>2044</v>
      </c>
      <c r="Q101" t="s">
        <v>201</v>
      </c>
      <c r="R101">
        <v>0.33260000000000001</v>
      </c>
      <c r="S101" t="s">
        <v>199</v>
      </c>
    </row>
    <row r="102" spans="16:19" x14ac:dyDescent="0.45">
      <c r="P102">
        <v>2044</v>
      </c>
      <c r="Q102" t="s">
        <v>202</v>
      </c>
      <c r="R102">
        <v>0.24843333333333337</v>
      </c>
      <c r="S102" t="s">
        <v>199</v>
      </c>
    </row>
    <row r="103" spans="16:19" x14ac:dyDescent="0.45">
      <c r="P103">
        <v>2045</v>
      </c>
      <c r="Q103" t="s">
        <v>198</v>
      </c>
      <c r="R103">
        <v>0.25269999999999998</v>
      </c>
      <c r="S103" t="s">
        <v>199</v>
      </c>
    </row>
    <row r="104" spans="16:19" x14ac:dyDescent="0.45">
      <c r="P104">
        <v>2045</v>
      </c>
      <c r="Q104" t="s">
        <v>200</v>
      </c>
      <c r="R104">
        <v>0.25806666666666667</v>
      </c>
      <c r="S104" t="s">
        <v>199</v>
      </c>
    </row>
    <row r="105" spans="16:19" x14ac:dyDescent="0.45">
      <c r="P105">
        <v>2045</v>
      </c>
      <c r="Q105" t="s">
        <v>201</v>
      </c>
      <c r="R105">
        <v>0.35620000000000002</v>
      </c>
      <c r="S105" t="s">
        <v>199</v>
      </c>
    </row>
    <row r="106" spans="16:19" x14ac:dyDescent="0.45">
      <c r="P106">
        <v>2045</v>
      </c>
      <c r="Q106" t="s">
        <v>202</v>
      </c>
      <c r="R106">
        <v>0.24856666666666669</v>
      </c>
      <c r="S106" t="s">
        <v>199</v>
      </c>
    </row>
    <row r="107" spans="16:19" x14ac:dyDescent="0.45">
      <c r="P107">
        <v>2046</v>
      </c>
      <c r="Q107" t="s">
        <v>198</v>
      </c>
      <c r="R107">
        <v>0.24723333333333333</v>
      </c>
      <c r="S107" t="s">
        <v>199</v>
      </c>
    </row>
    <row r="108" spans="16:19" x14ac:dyDescent="0.45">
      <c r="P108">
        <v>2046</v>
      </c>
      <c r="Q108" t="s">
        <v>200</v>
      </c>
      <c r="R108">
        <v>0.24366666666666661</v>
      </c>
      <c r="S108" t="s">
        <v>199</v>
      </c>
    </row>
    <row r="109" spans="16:19" x14ac:dyDescent="0.45">
      <c r="P109">
        <v>2046</v>
      </c>
      <c r="Q109" t="s">
        <v>201</v>
      </c>
      <c r="R109">
        <v>0.36276666666666668</v>
      </c>
      <c r="S109" t="s">
        <v>199</v>
      </c>
    </row>
    <row r="110" spans="16:19" x14ac:dyDescent="0.45">
      <c r="P110">
        <v>2046</v>
      </c>
      <c r="Q110" t="s">
        <v>202</v>
      </c>
      <c r="R110">
        <v>0.30499999999999999</v>
      </c>
      <c r="S110" t="s">
        <v>199</v>
      </c>
    </row>
    <row r="111" spans="16:19" x14ac:dyDescent="0.45">
      <c r="P111">
        <v>2047</v>
      </c>
      <c r="Q111" t="s">
        <v>198</v>
      </c>
      <c r="R111">
        <v>0.30596666666666666</v>
      </c>
      <c r="S111" t="s">
        <v>199</v>
      </c>
    </row>
    <row r="112" spans="16:19" x14ac:dyDescent="0.45">
      <c r="P112">
        <v>2047</v>
      </c>
      <c r="Q112" t="s">
        <v>200</v>
      </c>
      <c r="R112">
        <v>0.28420000000000001</v>
      </c>
      <c r="S112" t="s">
        <v>199</v>
      </c>
    </row>
    <row r="113" spans="16:19" x14ac:dyDescent="0.45">
      <c r="P113">
        <v>2047</v>
      </c>
      <c r="Q113" t="s">
        <v>201</v>
      </c>
      <c r="R113">
        <v>0.41599999999999998</v>
      </c>
      <c r="S113" t="s">
        <v>199</v>
      </c>
    </row>
    <row r="114" spans="16:19" x14ac:dyDescent="0.45">
      <c r="P114">
        <v>2047</v>
      </c>
      <c r="Q114" t="s">
        <v>202</v>
      </c>
      <c r="R114">
        <v>0.31583333333333335</v>
      </c>
      <c r="S114" t="s">
        <v>199</v>
      </c>
    </row>
    <row r="115" spans="16:19" x14ac:dyDescent="0.45">
      <c r="P115">
        <v>2048</v>
      </c>
      <c r="Q115" t="s">
        <v>198</v>
      </c>
      <c r="R115">
        <v>0.28606666666666664</v>
      </c>
      <c r="S115" t="s">
        <v>199</v>
      </c>
    </row>
    <row r="116" spans="16:19" x14ac:dyDescent="0.45">
      <c r="P116">
        <v>2048</v>
      </c>
      <c r="Q116" t="s">
        <v>200</v>
      </c>
      <c r="R116">
        <v>0.23243333333333335</v>
      </c>
      <c r="S116" t="s">
        <v>199</v>
      </c>
    </row>
    <row r="117" spans="16:19" x14ac:dyDescent="0.45">
      <c r="P117">
        <v>2048</v>
      </c>
      <c r="Q117" t="s">
        <v>201</v>
      </c>
      <c r="R117">
        <v>0.39143333333333336</v>
      </c>
      <c r="S117" t="s">
        <v>199</v>
      </c>
    </row>
    <row r="118" spans="16:19" x14ac:dyDescent="0.45">
      <c r="P118">
        <v>2048</v>
      </c>
      <c r="Q118" t="s">
        <v>202</v>
      </c>
      <c r="R118">
        <v>0.27330000000000004</v>
      </c>
      <c r="S118" t="s">
        <v>199</v>
      </c>
    </row>
    <row r="119" spans="16:19" x14ac:dyDescent="0.45">
      <c r="P119">
        <v>2049</v>
      </c>
      <c r="Q119" t="s">
        <v>198</v>
      </c>
      <c r="R119">
        <v>0.31286666666666668</v>
      </c>
      <c r="S119" t="s">
        <v>199</v>
      </c>
    </row>
    <row r="120" spans="16:19" x14ac:dyDescent="0.45">
      <c r="P120">
        <v>2049</v>
      </c>
      <c r="Q120" t="s">
        <v>200</v>
      </c>
      <c r="R120">
        <v>0.29499999999999998</v>
      </c>
      <c r="S120" t="s">
        <v>199</v>
      </c>
    </row>
    <row r="121" spans="16:19" x14ac:dyDescent="0.45">
      <c r="P121">
        <v>2049</v>
      </c>
      <c r="Q121" t="s">
        <v>201</v>
      </c>
      <c r="R121">
        <v>0.40406666666666663</v>
      </c>
      <c r="S121" t="s">
        <v>199</v>
      </c>
    </row>
    <row r="122" spans="16:19" x14ac:dyDescent="0.45">
      <c r="P122">
        <v>2049</v>
      </c>
      <c r="Q122" t="s">
        <v>202</v>
      </c>
      <c r="R122">
        <v>0.28286666666666666</v>
      </c>
      <c r="S122" t="s">
        <v>199</v>
      </c>
    </row>
    <row r="123" spans="16:19" x14ac:dyDescent="0.45">
      <c r="P123">
        <v>2050</v>
      </c>
      <c r="Q123" t="s">
        <v>198</v>
      </c>
      <c r="R123">
        <v>0.23450000000000001</v>
      </c>
      <c r="S123" t="s">
        <v>199</v>
      </c>
    </row>
    <row r="124" spans="16:19" x14ac:dyDescent="0.45">
      <c r="P124">
        <v>2050</v>
      </c>
      <c r="Q124" t="s">
        <v>200</v>
      </c>
      <c r="R124">
        <v>0.31490000000000001</v>
      </c>
      <c r="S124" t="s">
        <v>199</v>
      </c>
    </row>
    <row r="125" spans="16:19" x14ac:dyDescent="0.45">
      <c r="P125">
        <v>2050</v>
      </c>
      <c r="Q125" t="s">
        <v>201</v>
      </c>
      <c r="R125">
        <v>0.37279999999999996</v>
      </c>
      <c r="S125" t="s">
        <v>199</v>
      </c>
    </row>
    <row r="126" spans="16:19" x14ac:dyDescent="0.45">
      <c r="P126">
        <v>2050</v>
      </c>
      <c r="Q126" t="s">
        <v>202</v>
      </c>
      <c r="R126">
        <v>0.25059999999999999</v>
      </c>
      <c r="S126" t="s">
        <v>199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8BE26-0822-4961-A662-E354D53889FE}">
  <dimension ref="B9:O586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region=ITA")</f>
        <v>~TFM_DINS-AT: region=ITA</v>
      </c>
      <c r="G9" t="str">
        <f>IF(A11="x","DeActivated","~TFM_DINS-AT: region=ITA")</f>
        <v>~TFM_DINS-AT: region=ITA</v>
      </c>
      <c r="L9" t="str">
        <f>IF(A11="x","DeActivated","~TFM_DINS-AT: region=ITA")</f>
        <v>~TFM_DINS-AT: region=ITA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538</v>
      </c>
      <c r="C11" t="s">
        <v>5</v>
      </c>
      <c r="D11">
        <v>0</v>
      </c>
      <c r="E11" t="s">
        <v>6</v>
      </c>
      <c r="G11" t="s">
        <v>539</v>
      </c>
      <c r="H11" t="s">
        <v>5</v>
      </c>
      <c r="I11">
        <v>0.10402354488478845</v>
      </c>
      <c r="J11" t="s">
        <v>6</v>
      </c>
      <c r="L11" t="s">
        <v>540</v>
      </c>
      <c r="M11" t="s">
        <v>5</v>
      </c>
      <c r="N11">
        <v>0.10507744887296382</v>
      </c>
      <c r="O11" t="s">
        <v>6</v>
      </c>
    </row>
    <row r="12" spans="2:15" x14ac:dyDescent="0.45">
      <c r="B12" t="s">
        <v>538</v>
      </c>
      <c r="C12" t="s">
        <v>9</v>
      </c>
      <c r="D12">
        <v>3.7882464448753126E-4</v>
      </c>
      <c r="E12" t="s">
        <v>6</v>
      </c>
      <c r="G12" t="s">
        <v>539</v>
      </c>
      <c r="H12" t="s">
        <v>9</v>
      </c>
      <c r="I12">
        <v>4.9707092956815344E-2</v>
      </c>
      <c r="J12" t="s">
        <v>6</v>
      </c>
      <c r="L12" t="s">
        <v>540</v>
      </c>
      <c r="M12" t="s">
        <v>9</v>
      </c>
      <c r="N12">
        <v>5.2694293436684983E-2</v>
      </c>
      <c r="O12" t="s">
        <v>6</v>
      </c>
    </row>
    <row r="13" spans="2:15" x14ac:dyDescent="0.45">
      <c r="B13" t="s">
        <v>538</v>
      </c>
      <c r="C13" t="s">
        <v>10</v>
      </c>
      <c r="D13">
        <v>4.5480008855382545E-2</v>
      </c>
      <c r="E13" t="s">
        <v>6</v>
      </c>
      <c r="G13" t="s">
        <v>539</v>
      </c>
      <c r="H13" t="s">
        <v>10</v>
      </c>
      <c r="I13">
        <v>3.2151634005745056E-2</v>
      </c>
      <c r="J13" t="s">
        <v>6</v>
      </c>
      <c r="L13" t="s">
        <v>540</v>
      </c>
      <c r="M13" t="s">
        <v>10</v>
      </c>
      <c r="N13">
        <v>3.7880809296086691E-2</v>
      </c>
      <c r="O13" t="s">
        <v>6</v>
      </c>
    </row>
    <row r="14" spans="2:15" x14ac:dyDescent="0.45">
      <c r="B14" t="s">
        <v>538</v>
      </c>
      <c r="C14" t="s">
        <v>11</v>
      </c>
      <c r="D14">
        <v>8.2792147806556818E-2</v>
      </c>
      <c r="E14" t="s">
        <v>6</v>
      </c>
      <c r="G14" t="s">
        <v>539</v>
      </c>
      <c r="H14" t="s">
        <v>11</v>
      </c>
      <c r="I14">
        <v>3.1626539140402608E-2</v>
      </c>
      <c r="J14" t="s">
        <v>6</v>
      </c>
      <c r="L14" t="s">
        <v>540</v>
      </c>
      <c r="M14" t="s">
        <v>11</v>
      </c>
      <c r="N14">
        <v>4.2162880661491299E-2</v>
      </c>
      <c r="O14" t="s">
        <v>6</v>
      </c>
    </row>
    <row r="15" spans="2:15" x14ac:dyDescent="0.45">
      <c r="B15" t="s">
        <v>538</v>
      </c>
      <c r="C15" t="s">
        <v>12</v>
      </c>
      <c r="D15">
        <v>4.4754899510850495E-2</v>
      </c>
      <c r="E15" t="s">
        <v>6</v>
      </c>
      <c r="G15" t="s">
        <v>539</v>
      </c>
      <c r="H15" t="s">
        <v>12</v>
      </c>
      <c r="I15">
        <v>3.2792719496444529E-2</v>
      </c>
      <c r="J15" t="s">
        <v>6</v>
      </c>
      <c r="L15" t="s">
        <v>540</v>
      </c>
      <c r="M15" t="s">
        <v>12</v>
      </c>
      <c r="N15">
        <v>4.4332361479387419E-2</v>
      </c>
      <c r="O15" t="s">
        <v>6</v>
      </c>
    </row>
    <row r="16" spans="2:15" x14ac:dyDescent="0.45">
      <c r="B16" t="s">
        <v>538</v>
      </c>
      <c r="C16" t="s">
        <v>13</v>
      </c>
      <c r="D16">
        <v>1.0673684574312259E-3</v>
      </c>
      <c r="E16" t="s">
        <v>6</v>
      </c>
      <c r="G16" t="s">
        <v>539</v>
      </c>
      <c r="H16" t="s">
        <v>13</v>
      </c>
      <c r="I16">
        <v>3.5799746608476707E-2</v>
      </c>
      <c r="J16" t="s">
        <v>6</v>
      </c>
      <c r="L16" t="s">
        <v>540</v>
      </c>
      <c r="M16" t="s">
        <v>13</v>
      </c>
      <c r="N16">
        <v>4.2652755747649443E-2</v>
      </c>
      <c r="O16" t="s">
        <v>6</v>
      </c>
    </row>
    <row r="17" spans="2:15" x14ac:dyDescent="0.45">
      <c r="B17" t="s">
        <v>538</v>
      </c>
      <c r="C17" t="s">
        <v>14</v>
      </c>
      <c r="D17">
        <v>0</v>
      </c>
      <c r="E17" t="s">
        <v>6</v>
      </c>
      <c r="G17" t="s">
        <v>539</v>
      </c>
      <c r="H17" t="s">
        <v>14</v>
      </c>
      <c r="I17">
        <v>8.8892924765485604E-2</v>
      </c>
      <c r="J17" t="s">
        <v>6</v>
      </c>
      <c r="L17" t="s">
        <v>540</v>
      </c>
      <c r="M17" t="s">
        <v>14</v>
      </c>
      <c r="N17">
        <v>0.10555280827618953</v>
      </c>
      <c r="O17" t="s">
        <v>6</v>
      </c>
    </row>
    <row r="18" spans="2:15" x14ac:dyDescent="0.45">
      <c r="B18" t="s">
        <v>538</v>
      </c>
      <c r="C18" t="s">
        <v>15</v>
      </c>
      <c r="D18">
        <v>1.0871243675386806E-2</v>
      </c>
      <c r="E18" t="s">
        <v>6</v>
      </c>
      <c r="G18" t="s">
        <v>539</v>
      </c>
      <c r="H18" t="s">
        <v>15</v>
      </c>
      <c r="I18">
        <v>4.6399036227020185E-2</v>
      </c>
      <c r="J18" t="s">
        <v>6</v>
      </c>
      <c r="L18" t="s">
        <v>540</v>
      </c>
      <c r="M18" t="s">
        <v>15</v>
      </c>
      <c r="N18">
        <v>4.6960979419487681E-2</v>
      </c>
      <c r="O18" t="s">
        <v>6</v>
      </c>
    </row>
    <row r="19" spans="2:15" x14ac:dyDescent="0.45">
      <c r="B19" t="s">
        <v>538</v>
      </c>
      <c r="C19" t="s">
        <v>16</v>
      </c>
      <c r="D19">
        <v>7.6621901680287263E-2</v>
      </c>
      <c r="E19" t="s">
        <v>6</v>
      </c>
      <c r="G19" t="s">
        <v>539</v>
      </c>
      <c r="H19" t="s">
        <v>16</v>
      </c>
      <c r="I19">
        <v>2.9371344762031452E-2</v>
      </c>
      <c r="J19" t="s">
        <v>6</v>
      </c>
      <c r="L19" t="s">
        <v>540</v>
      </c>
      <c r="M19" t="s">
        <v>16</v>
      </c>
      <c r="N19">
        <v>3.6121267220528483E-2</v>
      </c>
      <c r="O19" t="s">
        <v>6</v>
      </c>
    </row>
    <row r="20" spans="2:15" x14ac:dyDescent="0.45">
      <c r="B20" t="s">
        <v>538</v>
      </c>
      <c r="C20" t="s">
        <v>17</v>
      </c>
      <c r="D20">
        <v>0.10899791821192864</v>
      </c>
      <c r="E20" t="s">
        <v>6</v>
      </c>
      <c r="G20" t="s">
        <v>539</v>
      </c>
      <c r="H20" t="s">
        <v>17</v>
      </c>
      <c r="I20">
        <v>3.0014819388601753E-2</v>
      </c>
      <c r="J20" t="s">
        <v>6</v>
      </c>
      <c r="L20" t="s">
        <v>540</v>
      </c>
      <c r="M20" t="s">
        <v>17</v>
      </c>
      <c r="N20">
        <v>4.1358110859171626E-2</v>
      </c>
      <c r="O20" t="s">
        <v>6</v>
      </c>
    </row>
    <row r="21" spans="2:15" x14ac:dyDescent="0.45">
      <c r="B21" t="s">
        <v>538</v>
      </c>
      <c r="C21" t="s">
        <v>18</v>
      </c>
      <c r="D21">
        <v>7.5538286996166937E-2</v>
      </c>
      <c r="E21" t="s">
        <v>6</v>
      </c>
      <c r="G21" t="s">
        <v>539</v>
      </c>
      <c r="H21" t="s">
        <v>18</v>
      </c>
      <c r="I21">
        <v>3.2009122204066591E-2</v>
      </c>
      <c r="J21" t="s">
        <v>6</v>
      </c>
      <c r="L21" t="s">
        <v>540</v>
      </c>
      <c r="M21" t="s">
        <v>18</v>
      </c>
      <c r="N21">
        <v>4.2691252264559346E-2</v>
      </c>
      <c r="O21" t="s">
        <v>6</v>
      </c>
    </row>
    <row r="22" spans="2:15" x14ac:dyDescent="0.45">
      <c r="B22" t="s">
        <v>538</v>
      </c>
      <c r="C22" t="s">
        <v>19</v>
      </c>
      <c r="D22">
        <v>9.119149228339913E-3</v>
      </c>
      <c r="E22" t="s">
        <v>6</v>
      </c>
      <c r="G22" t="s">
        <v>539</v>
      </c>
      <c r="H22" t="s">
        <v>19</v>
      </c>
      <c r="I22">
        <v>3.1071386695749225E-2</v>
      </c>
      <c r="J22" t="s">
        <v>6</v>
      </c>
      <c r="L22" t="s">
        <v>540</v>
      </c>
      <c r="M22" t="s">
        <v>19</v>
      </c>
      <c r="N22">
        <v>4.1157917074968749E-2</v>
      </c>
      <c r="O22" t="s">
        <v>6</v>
      </c>
    </row>
    <row r="23" spans="2:15" x14ac:dyDescent="0.45">
      <c r="B23" t="s">
        <v>538</v>
      </c>
      <c r="C23" t="s">
        <v>20</v>
      </c>
      <c r="D23">
        <v>0</v>
      </c>
      <c r="E23" t="s">
        <v>6</v>
      </c>
      <c r="G23" t="s">
        <v>539</v>
      </c>
      <c r="H23" t="s">
        <v>20</v>
      </c>
      <c r="I23">
        <v>5.5311874137789714E-2</v>
      </c>
      <c r="J23" t="s">
        <v>6</v>
      </c>
      <c r="L23" t="s">
        <v>540</v>
      </c>
      <c r="M23" t="s">
        <v>20</v>
      </c>
      <c r="N23">
        <v>6.4918638217093538E-2</v>
      </c>
      <c r="O23" t="s">
        <v>6</v>
      </c>
    </row>
    <row r="24" spans="2:15" x14ac:dyDescent="0.45">
      <c r="B24" t="s">
        <v>538</v>
      </c>
      <c r="C24" t="s">
        <v>21</v>
      </c>
      <c r="D24">
        <v>1.5384943823004602E-2</v>
      </c>
      <c r="E24" t="s">
        <v>6</v>
      </c>
      <c r="G24" t="s">
        <v>539</v>
      </c>
      <c r="H24" t="s">
        <v>21</v>
      </c>
      <c r="I24">
        <v>2.971239378891468E-2</v>
      </c>
      <c r="J24" t="s">
        <v>6</v>
      </c>
      <c r="L24" t="s">
        <v>540</v>
      </c>
      <c r="M24" t="s">
        <v>21</v>
      </c>
      <c r="N24">
        <v>3.0348374819581449E-2</v>
      </c>
      <c r="O24" t="s">
        <v>6</v>
      </c>
    </row>
    <row r="25" spans="2:15" x14ac:dyDescent="0.45">
      <c r="B25" t="s">
        <v>538</v>
      </c>
      <c r="C25" t="s">
        <v>22</v>
      </c>
      <c r="D25">
        <v>8.6906473579742211E-2</v>
      </c>
      <c r="E25" t="s">
        <v>6</v>
      </c>
      <c r="G25" t="s">
        <v>539</v>
      </c>
      <c r="H25" t="s">
        <v>22</v>
      </c>
      <c r="I25">
        <v>1.5668472541261993E-2</v>
      </c>
      <c r="J25" t="s">
        <v>6</v>
      </c>
      <c r="L25" t="s">
        <v>540</v>
      </c>
      <c r="M25" t="s">
        <v>22</v>
      </c>
      <c r="N25">
        <v>1.781112194914412E-2</v>
      </c>
      <c r="O25" t="s">
        <v>6</v>
      </c>
    </row>
    <row r="26" spans="2:15" x14ac:dyDescent="0.45">
      <c r="B26" t="s">
        <v>538</v>
      </c>
      <c r="C26" t="s">
        <v>23</v>
      </c>
      <c r="D26">
        <v>0.11696493345414928</v>
      </c>
      <c r="E26" t="s">
        <v>6</v>
      </c>
      <c r="G26" t="s">
        <v>539</v>
      </c>
      <c r="H26" t="s">
        <v>23</v>
      </c>
      <c r="I26">
        <v>1.6304043741485735E-2</v>
      </c>
      <c r="J26" t="s">
        <v>6</v>
      </c>
      <c r="L26" t="s">
        <v>540</v>
      </c>
      <c r="M26" t="s">
        <v>23</v>
      </c>
      <c r="N26">
        <v>1.7094242509171773E-2</v>
      </c>
      <c r="O26" t="s">
        <v>6</v>
      </c>
    </row>
    <row r="27" spans="2:15" x14ac:dyDescent="0.45">
      <c r="B27" t="s">
        <v>538</v>
      </c>
      <c r="C27" t="s">
        <v>24</v>
      </c>
      <c r="D27">
        <v>8.3001135035242438E-2</v>
      </c>
      <c r="E27" t="s">
        <v>6</v>
      </c>
      <c r="G27" t="s">
        <v>539</v>
      </c>
      <c r="H27" t="s">
        <v>24</v>
      </c>
      <c r="I27">
        <v>1.8356296313928457E-2</v>
      </c>
      <c r="J27" t="s">
        <v>6</v>
      </c>
      <c r="L27" t="s">
        <v>540</v>
      </c>
      <c r="M27" t="s">
        <v>24</v>
      </c>
      <c r="N27">
        <v>1.6177922790448988E-2</v>
      </c>
      <c r="O27" t="s">
        <v>6</v>
      </c>
    </row>
    <row r="28" spans="2:15" x14ac:dyDescent="0.45">
      <c r="B28" t="s">
        <v>538</v>
      </c>
      <c r="C28" t="s">
        <v>25</v>
      </c>
      <c r="D28">
        <v>1.3802395715145497E-2</v>
      </c>
      <c r="E28" t="s">
        <v>6</v>
      </c>
      <c r="G28" t="s">
        <v>539</v>
      </c>
      <c r="H28" t="s">
        <v>25</v>
      </c>
      <c r="I28">
        <v>1.3248179189379769E-2</v>
      </c>
      <c r="J28" t="s">
        <v>6</v>
      </c>
      <c r="L28" t="s">
        <v>540</v>
      </c>
      <c r="M28" t="s">
        <v>25</v>
      </c>
      <c r="N28">
        <v>1.9076790347673716E-2</v>
      </c>
      <c r="O28" t="s">
        <v>6</v>
      </c>
    </row>
    <row r="29" spans="2:15" x14ac:dyDescent="0.45">
      <c r="B29" t="s">
        <v>538</v>
      </c>
      <c r="C29" t="s">
        <v>26</v>
      </c>
      <c r="D29">
        <v>0</v>
      </c>
      <c r="E29" t="s">
        <v>6</v>
      </c>
      <c r="G29" t="s">
        <v>539</v>
      </c>
      <c r="H29" t="s">
        <v>26</v>
      </c>
      <c r="I29">
        <v>0.1103962506042352</v>
      </c>
      <c r="J29" t="s">
        <v>6</v>
      </c>
      <c r="L29" t="s">
        <v>540</v>
      </c>
      <c r="M29" t="s">
        <v>26</v>
      </c>
      <c r="N29">
        <v>6.5968440146667626E-2</v>
      </c>
      <c r="O29" t="s">
        <v>6</v>
      </c>
    </row>
    <row r="30" spans="2:15" x14ac:dyDescent="0.45">
      <c r="B30" t="s">
        <v>538</v>
      </c>
      <c r="C30" t="s">
        <v>27</v>
      </c>
      <c r="D30">
        <v>5.5664109818394448E-3</v>
      </c>
      <c r="E30" t="s">
        <v>6</v>
      </c>
      <c r="G30" t="s">
        <v>539</v>
      </c>
      <c r="H30" t="s">
        <v>27</v>
      </c>
      <c r="I30">
        <v>5.371842411602179E-2</v>
      </c>
      <c r="J30" t="s">
        <v>6</v>
      </c>
      <c r="L30" t="s">
        <v>540</v>
      </c>
      <c r="M30" t="s">
        <v>27</v>
      </c>
      <c r="N30">
        <v>2.9456523161093262E-2</v>
      </c>
      <c r="O30" t="s">
        <v>6</v>
      </c>
    </row>
    <row r="31" spans="2:15" x14ac:dyDescent="0.45">
      <c r="B31" t="s">
        <v>538</v>
      </c>
      <c r="C31" t="s">
        <v>28</v>
      </c>
      <c r="D31">
        <v>6.8896301451335712E-2</v>
      </c>
      <c r="E31" t="s">
        <v>6</v>
      </c>
      <c r="G31" t="s">
        <v>539</v>
      </c>
      <c r="H31" t="s">
        <v>28</v>
      </c>
      <c r="I31">
        <v>3.530536703848404E-2</v>
      </c>
      <c r="J31" t="s">
        <v>6</v>
      </c>
      <c r="L31" t="s">
        <v>540</v>
      </c>
      <c r="M31" t="s">
        <v>28</v>
      </c>
      <c r="N31">
        <v>2.3858357547514086E-2</v>
      </c>
      <c r="O31" t="s">
        <v>6</v>
      </c>
    </row>
    <row r="32" spans="2:15" x14ac:dyDescent="0.45">
      <c r="B32" t="s">
        <v>538</v>
      </c>
      <c r="C32" t="s">
        <v>29</v>
      </c>
      <c r="D32">
        <v>9.8243019859125161E-2</v>
      </c>
      <c r="E32" t="s">
        <v>6</v>
      </c>
      <c r="G32" t="s">
        <v>539</v>
      </c>
      <c r="H32" t="s">
        <v>29</v>
      </c>
      <c r="I32">
        <v>3.573137517031718E-2</v>
      </c>
      <c r="J32" t="s">
        <v>6</v>
      </c>
      <c r="L32" t="s">
        <v>540</v>
      </c>
      <c r="M32" t="s">
        <v>29</v>
      </c>
      <c r="N32">
        <v>2.5354113189431038E-2</v>
      </c>
      <c r="O32" t="s">
        <v>6</v>
      </c>
    </row>
    <row r="33" spans="2:15" x14ac:dyDescent="0.45">
      <c r="B33" t="s">
        <v>538</v>
      </c>
      <c r="C33" t="s">
        <v>30</v>
      </c>
      <c r="D33">
        <v>5.3480796394617225E-2</v>
      </c>
      <c r="E33" t="s">
        <v>6</v>
      </c>
      <c r="G33" t="s">
        <v>539</v>
      </c>
      <c r="H33" t="s">
        <v>30</v>
      </c>
      <c r="I33">
        <v>3.5845416690449106E-2</v>
      </c>
      <c r="J33" t="s">
        <v>6</v>
      </c>
      <c r="L33" t="s">
        <v>540</v>
      </c>
      <c r="M33" t="s">
        <v>30</v>
      </c>
      <c r="N33">
        <v>2.6480500370284238E-2</v>
      </c>
      <c r="O33" t="s">
        <v>6</v>
      </c>
    </row>
    <row r="34" spans="2:15" x14ac:dyDescent="0.45">
      <c r="B34" t="s">
        <v>538</v>
      </c>
      <c r="C34" t="s">
        <v>31</v>
      </c>
      <c r="D34">
        <v>2.1318406389814718E-3</v>
      </c>
      <c r="E34" t="s">
        <v>6</v>
      </c>
      <c r="G34" t="s">
        <v>539</v>
      </c>
      <c r="H34" t="s">
        <v>31</v>
      </c>
      <c r="I34">
        <v>3.6541995532102842E-2</v>
      </c>
      <c r="J34" t="s">
        <v>6</v>
      </c>
      <c r="L34" t="s">
        <v>540</v>
      </c>
      <c r="M34" t="s">
        <v>31</v>
      </c>
      <c r="N34">
        <v>2.4812090342731349E-2</v>
      </c>
      <c r="O34" t="s">
        <v>6</v>
      </c>
    </row>
    <row r="35" spans="2:15" x14ac:dyDescent="0.45">
      <c r="B35" t="s">
        <v>541</v>
      </c>
      <c r="C35" t="s">
        <v>5</v>
      </c>
      <c r="D35">
        <v>0</v>
      </c>
      <c r="E35" t="s">
        <v>6</v>
      </c>
      <c r="G35" t="s">
        <v>542</v>
      </c>
      <c r="H35" t="s">
        <v>5</v>
      </c>
      <c r="I35">
        <v>9.1606695864720006E-2</v>
      </c>
      <c r="J35" t="s">
        <v>6</v>
      </c>
      <c r="L35" t="s">
        <v>543</v>
      </c>
      <c r="M35" t="s">
        <v>5</v>
      </c>
      <c r="N35">
        <v>0.10407568535205122</v>
      </c>
      <c r="O35" t="s">
        <v>6</v>
      </c>
    </row>
    <row r="36" spans="2:15" x14ac:dyDescent="0.45">
      <c r="B36" t="s">
        <v>541</v>
      </c>
      <c r="C36" t="s">
        <v>9</v>
      </c>
      <c r="D36">
        <v>3.9575753734439511E-4</v>
      </c>
      <c r="E36" t="s">
        <v>6</v>
      </c>
      <c r="G36" t="s">
        <v>542</v>
      </c>
      <c r="H36" t="s">
        <v>9</v>
      </c>
      <c r="I36">
        <v>4.4353840705784409E-2</v>
      </c>
      <c r="J36" t="s">
        <v>6</v>
      </c>
      <c r="L36" t="s">
        <v>543</v>
      </c>
      <c r="M36" t="s">
        <v>9</v>
      </c>
      <c r="N36">
        <v>4.8402230346882333E-2</v>
      </c>
      <c r="O36" t="s">
        <v>6</v>
      </c>
    </row>
    <row r="37" spans="2:15" x14ac:dyDescent="0.45">
      <c r="B37" t="s">
        <v>541</v>
      </c>
      <c r="C37" t="s">
        <v>10</v>
      </c>
      <c r="D37">
        <v>4.4750422725833967E-2</v>
      </c>
      <c r="E37" t="s">
        <v>6</v>
      </c>
      <c r="G37" t="s">
        <v>542</v>
      </c>
      <c r="H37" t="s">
        <v>10</v>
      </c>
      <c r="I37">
        <v>2.8089236074381709E-2</v>
      </c>
      <c r="J37" t="s">
        <v>6</v>
      </c>
      <c r="L37" t="s">
        <v>543</v>
      </c>
      <c r="M37" t="s">
        <v>10</v>
      </c>
      <c r="N37">
        <v>3.5405470343973469E-2</v>
      </c>
      <c r="O37" t="s">
        <v>6</v>
      </c>
    </row>
    <row r="38" spans="2:15" x14ac:dyDescent="0.45">
      <c r="B38" t="s">
        <v>541</v>
      </c>
      <c r="C38" t="s">
        <v>11</v>
      </c>
      <c r="D38">
        <v>8.3959690988397714E-2</v>
      </c>
      <c r="E38" t="s">
        <v>6</v>
      </c>
      <c r="G38" t="s">
        <v>542</v>
      </c>
      <c r="H38" t="s">
        <v>11</v>
      </c>
      <c r="I38">
        <v>2.6359094971222765E-2</v>
      </c>
      <c r="J38" t="s">
        <v>6</v>
      </c>
      <c r="L38" t="s">
        <v>543</v>
      </c>
      <c r="M38" t="s">
        <v>11</v>
      </c>
      <c r="N38">
        <v>3.7378148181123678E-2</v>
      </c>
      <c r="O38" t="s">
        <v>6</v>
      </c>
    </row>
    <row r="39" spans="2:15" x14ac:dyDescent="0.45">
      <c r="B39" t="s">
        <v>541</v>
      </c>
      <c r="C39" t="s">
        <v>12</v>
      </c>
      <c r="D39">
        <v>4.4844486859968995E-2</v>
      </c>
      <c r="E39" t="s">
        <v>6</v>
      </c>
      <c r="G39" t="s">
        <v>542</v>
      </c>
      <c r="H39" t="s">
        <v>12</v>
      </c>
      <c r="I39">
        <v>2.9494383106023515E-2</v>
      </c>
      <c r="J39" t="s">
        <v>6</v>
      </c>
      <c r="L39" t="s">
        <v>543</v>
      </c>
      <c r="M39" t="s">
        <v>12</v>
      </c>
      <c r="N39">
        <v>3.8241906420915801E-2</v>
      </c>
      <c r="O39" t="s">
        <v>6</v>
      </c>
    </row>
    <row r="40" spans="2:15" x14ac:dyDescent="0.45">
      <c r="B40" t="s">
        <v>541</v>
      </c>
      <c r="C40" t="s">
        <v>13</v>
      </c>
      <c r="D40">
        <v>1.0094264235466024E-3</v>
      </c>
      <c r="E40" t="s">
        <v>6</v>
      </c>
      <c r="G40" t="s">
        <v>542</v>
      </c>
      <c r="H40" t="s">
        <v>13</v>
      </c>
      <c r="I40">
        <v>3.4721584516007903E-2</v>
      </c>
      <c r="J40" t="s">
        <v>6</v>
      </c>
      <c r="L40" t="s">
        <v>543</v>
      </c>
      <c r="M40" t="s">
        <v>13</v>
      </c>
      <c r="N40">
        <v>3.9810781087088284E-2</v>
      </c>
      <c r="O40" t="s">
        <v>6</v>
      </c>
    </row>
    <row r="41" spans="2:15" x14ac:dyDescent="0.45">
      <c r="B41" t="s">
        <v>541</v>
      </c>
      <c r="C41" t="s">
        <v>14</v>
      </c>
      <c r="D41">
        <v>0</v>
      </c>
      <c r="E41" t="s">
        <v>6</v>
      </c>
      <c r="G41" t="s">
        <v>542</v>
      </c>
      <c r="H41" t="s">
        <v>14</v>
      </c>
      <c r="I41">
        <v>0.11642108634065211</v>
      </c>
      <c r="J41" t="s">
        <v>6</v>
      </c>
      <c r="L41" t="s">
        <v>543</v>
      </c>
      <c r="M41" t="s">
        <v>14</v>
      </c>
      <c r="N41">
        <v>0.10485051220802923</v>
      </c>
      <c r="O41" t="s">
        <v>6</v>
      </c>
    </row>
    <row r="42" spans="2:15" x14ac:dyDescent="0.45">
      <c r="B42" t="s">
        <v>541</v>
      </c>
      <c r="C42" t="s">
        <v>15</v>
      </c>
      <c r="D42">
        <v>1.0500223516954947E-2</v>
      </c>
      <c r="E42" t="s">
        <v>6</v>
      </c>
      <c r="G42" t="s">
        <v>542</v>
      </c>
      <c r="H42" t="s">
        <v>15</v>
      </c>
      <c r="I42">
        <v>4.9012339138800577E-2</v>
      </c>
      <c r="J42" t="s">
        <v>6</v>
      </c>
      <c r="L42" t="s">
        <v>543</v>
      </c>
      <c r="M42" t="s">
        <v>15</v>
      </c>
      <c r="N42">
        <v>4.6687367106289401E-2</v>
      </c>
      <c r="O42" t="s">
        <v>6</v>
      </c>
    </row>
    <row r="43" spans="2:15" x14ac:dyDescent="0.45">
      <c r="B43" t="s">
        <v>541</v>
      </c>
      <c r="C43" t="s">
        <v>16</v>
      </c>
      <c r="D43">
        <v>7.4127492542227211E-2</v>
      </c>
      <c r="E43" t="s">
        <v>6</v>
      </c>
      <c r="G43" t="s">
        <v>542</v>
      </c>
      <c r="H43" t="s">
        <v>16</v>
      </c>
      <c r="I43">
        <v>2.7435058940234194E-2</v>
      </c>
      <c r="J43" t="s">
        <v>6</v>
      </c>
      <c r="L43" t="s">
        <v>543</v>
      </c>
      <c r="M43" t="s">
        <v>16</v>
      </c>
      <c r="N43">
        <v>3.2141567230722243E-2</v>
      </c>
      <c r="O43" t="s">
        <v>6</v>
      </c>
    </row>
    <row r="44" spans="2:15" x14ac:dyDescent="0.45">
      <c r="B44" t="s">
        <v>541</v>
      </c>
      <c r="C44" t="s">
        <v>17</v>
      </c>
      <c r="D44">
        <v>0.10783613623424831</v>
      </c>
      <c r="E44" t="s">
        <v>6</v>
      </c>
      <c r="G44" t="s">
        <v>542</v>
      </c>
      <c r="H44" t="s">
        <v>17</v>
      </c>
      <c r="I44">
        <v>2.9794100403519989E-2</v>
      </c>
      <c r="J44" t="s">
        <v>6</v>
      </c>
      <c r="L44" t="s">
        <v>543</v>
      </c>
      <c r="M44" t="s">
        <v>17</v>
      </c>
      <c r="N44">
        <v>3.3296278314594557E-2</v>
      </c>
      <c r="O44" t="s">
        <v>6</v>
      </c>
    </row>
    <row r="45" spans="2:15" x14ac:dyDescent="0.45">
      <c r="B45" t="s">
        <v>541</v>
      </c>
      <c r="C45" t="s">
        <v>18</v>
      </c>
      <c r="D45">
        <v>7.4841781313797207E-2</v>
      </c>
      <c r="E45" t="s">
        <v>6</v>
      </c>
      <c r="G45" t="s">
        <v>542</v>
      </c>
      <c r="H45" t="s">
        <v>18</v>
      </c>
      <c r="I45">
        <v>3.8353719147221313E-2</v>
      </c>
      <c r="J45" t="s">
        <v>6</v>
      </c>
      <c r="L45" t="s">
        <v>543</v>
      </c>
      <c r="M45" t="s">
        <v>18</v>
      </c>
      <c r="N45">
        <v>3.5303554189358641E-2</v>
      </c>
      <c r="O45" t="s">
        <v>6</v>
      </c>
    </row>
    <row r="46" spans="2:15" x14ac:dyDescent="0.45">
      <c r="B46" t="s">
        <v>541</v>
      </c>
      <c r="C46" t="s">
        <v>19</v>
      </c>
      <c r="D46">
        <v>8.8853128930218E-3</v>
      </c>
      <c r="E46" t="s">
        <v>6</v>
      </c>
      <c r="G46" t="s">
        <v>542</v>
      </c>
      <c r="H46" t="s">
        <v>19</v>
      </c>
      <c r="I46">
        <v>4.5215302063910716E-2</v>
      </c>
      <c r="J46" t="s">
        <v>6</v>
      </c>
      <c r="L46" t="s">
        <v>543</v>
      </c>
      <c r="M46" t="s">
        <v>19</v>
      </c>
      <c r="N46">
        <v>3.8041469338355678E-2</v>
      </c>
      <c r="O46" t="s">
        <v>6</v>
      </c>
    </row>
    <row r="47" spans="2:15" x14ac:dyDescent="0.45">
      <c r="B47" t="s">
        <v>541</v>
      </c>
      <c r="C47" t="s">
        <v>20</v>
      </c>
      <c r="D47">
        <v>0</v>
      </c>
      <c r="E47" t="s">
        <v>6</v>
      </c>
      <c r="G47" t="s">
        <v>542</v>
      </c>
      <c r="H47" t="s">
        <v>20</v>
      </c>
      <c r="I47">
        <v>6.9354237067194166E-2</v>
      </c>
      <c r="J47" t="s">
        <v>6</v>
      </c>
      <c r="L47" t="s">
        <v>543</v>
      </c>
      <c r="M47" t="s">
        <v>20</v>
      </c>
      <c r="N47">
        <v>6.8534519262859944E-2</v>
      </c>
      <c r="O47" t="s">
        <v>6</v>
      </c>
    </row>
    <row r="48" spans="2:15" x14ac:dyDescent="0.45">
      <c r="B48" t="s">
        <v>541</v>
      </c>
      <c r="C48" t="s">
        <v>21</v>
      </c>
      <c r="D48">
        <v>1.5929085679864473E-2</v>
      </c>
      <c r="E48" t="s">
        <v>6</v>
      </c>
      <c r="G48" t="s">
        <v>542</v>
      </c>
      <c r="H48" t="s">
        <v>21</v>
      </c>
      <c r="I48">
        <v>2.4582512138579808E-2</v>
      </c>
      <c r="J48" t="s">
        <v>6</v>
      </c>
      <c r="L48" t="s">
        <v>543</v>
      </c>
      <c r="M48" t="s">
        <v>21</v>
      </c>
      <c r="N48">
        <v>3.7140214885088646E-2</v>
      </c>
      <c r="O48" t="s">
        <v>6</v>
      </c>
    </row>
    <row r="49" spans="2:15" x14ac:dyDescent="0.45">
      <c r="B49" t="s">
        <v>541</v>
      </c>
      <c r="C49" t="s">
        <v>22</v>
      </c>
      <c r="D49">
        <v>8.9652328474120163E-2</v>
      </c>
      <c r="E49" t="s">
        <v>6</v>
      </c>
      <c r="G49" t="s">
        <v>542</v>
      </c>
      <c r="H49" t="s">
        <v>22</v>
      </c>
      <c r="I49">
        <v>1.3661569270263983E-2</v>
      </c>
      <c r="J49" t="s">
        <v>6</v>
      </c>
      <c r="L49" t="s">
        <v>543</v>
      </c>
      <c r="M49" t="s">
        <v>22</v>
      </c>
      <c r="N49">
        <v>2.2373173803923407E-2</v>
      </c>
      <c r="O49" t="s">
        <v>6</v>
      </c>
    </row>
    <row r="50" spans="2:15" x14ac:dyDescent="0.45">
      <c r="B50" t="s">
        <v>541</v>
      </c>
      <c r="C50" t="s">
        <v>23</v>
      </c>
      <c r="D50">
        <v>0.12047168623711545</v>
      </c>
      <c r="E50" t="s">
        <v>6</v>
      </c>
      <c r="G50" t="s">
        <v>542</v>
      </c>
      <c r="H50" t="s">
        <v>23</v>
      </c>
      <c r="I50">
        <v>1.4445318247590228E-2</v>
      </c>
      <c r="J50" t="s">
        <v>6</v>
      </c>
      <c r="L50" t="s">
        <v>543</v>
      </c>
      <c r="M50" t="s">
        <v>23</v>
      </c>
      <c r="N50">
        <v>2.0344764823600085E-2</v>
      </c>
      <c r="O50" t="s">
        <v>6</v>
      </c>
    </row>
    <row r="51" spans="2:15" x14ac:dyDescent="0.45">
      <c r="B51" t="s">
        <v>541</v>
      </c>
      <c r="C51" t="s">
        <v>24</v>
      </c>
      <c r="D51">
        <v>8.4159350854108028E-2</v>
      </c>
      <c r="E51" t="s">
        <v>6</v>
      </c>
      <c r="G51" t="s">
        <v>542</v>
      </c>
      <c r="H51" t="s">
        <v>24</v>
      </c>
      <c r="I51">
        <v>1.6023442611528209E-2</v>
      </c>
      <c r="J51" t="s">
        <v>6</v>
      </c>
      <c r="L51" t="s">
        <v>543</v>
      </c>
      <c r="M51" t="s">
        <v>24</v>
      </c>
      <c r="N51">
        <v>2.1147447320551391E-2</v>
      </c>
      <c r="O51" t="s">
        <v>6</v>
      </c>
    </row>
    <row r="52" spans="2:15" x14ac:dyDescent="0.45">
      <c r="B52" t="s">
        <v>541</v>
      </c>
      <c r="C52" t="s">
        <v>25</v>
      </c>
      <c r="D52">
        <v>1.4146948397174969E-2</v>
      </c>
      <c r="E52" t="s">
        <v>6</v>
      </c>
      <c r="G52" t="s">
        <v>542</v>
      </c>
      <c r="H52" t="s">
        <v>25</v>
      </c>
      <c r="I52">
        <v>2.0661650312116392E-2</v>
      </c>
      <c r="J52" t="s">
        <v>6</v>
      </c>
      <c r="L52" t="s">
        <v>543</v>
      </c>
      <c r="M52" t="s">
        <v>25</v>
      </c>
      <c r="N52">
        <v>2.3056702834333795E-2</v>
      </c>
      <c r="O52" t="s">
        <v>6</v>
      </c>
    </row>
    <row r="53" spans="2:15" x14ac:dyDescent="0.45">
      <c r="B53" t="s">
        <v>541</v>
      </c>
      <c r="C53" t="s">
        <v>26</v>
      </c>
      <c r="D53">
        <v>0</v>
      </c>
      <c r="E53" t="s">
        <v>6</v>
      </c>
      <c r="G53" t="s">
        <v>542</v>
      </c>
      <c r="H53" t="s">
        <v>26</v>
      </c>
      <c r="I53">
        <v>0.10530266522579258</v>
      </c>
      <c r="J53" t="s">
        <v>6</v>
      </c>
      <c r="L53" t="s">
        <v>543</v>
      </c>
      <c r="M53" t="s">
        <v>26</v>
      </c>
      <c r="N53">
        <v>7.4658162803521222E-2</v>
      </c>
      <c r="O53" t="s">
        <v>6</v>
      </c>
    </row>
    <row r="54" spans="2:15" x14ac:dyDescent="0.45">
      <c r="B54" t="s">
        <v>541</v>
      </c>
      <c r="C54" t="s">
        <v>27</v>
      </c>
      <c r="D54">
        <v>5.3603656587971763E-3</v>
      </c>
      <c r="E54" t="s">
        <v>6</v>
      </c>
      <c r="G54" t="s">
        <v>542</v>
      </c>
      <c r="H54" t="s">
        <v>27</v>
      </c>
      <c r="I54">
        <v>4.83750710190574E-2</v>
      </c>
      <c r="J54" t="s">
        <v>6</v>
      </c>
      <c r="L54" t="s">
        <v>543</v>
      </c>
      <c r="M54" t="s">
        <v>27</v>
      </c>
      <c r="N54">
        <v>3.4434264057181509E-2</v>
      </c>
      <c r="O54" t="s">
        <v>6</v>
      </c>
    </row>
    <row r="55" spans="2:15" x14ac:dyDescent="0.45">
      <c r="B55" t="s">
        <v>541</v>
      </c>
      <c r="C55" t="s">
        <v>28</v>
      </c>
      <c r="D55">
        <v>6.7400630757642202E-2</v>
      </c>
      <c r="E55" t="s">
        <v>6</v>
      </c>
      <c r="G55" t="s">
        <v>542</v>
      </c>
      <c r="H55" t="s">
        <v>28</v>
      </c>
      <c r="I55">
        <v>2.6694779747183629E-2</v>
      </c>
      <c r="J55" t="s">
        <v>6</v>
      </c>
      <c r="L55" t="s">
        <v>543</v>
      </c>
      <c r="M55" t="s">
        <v>28</v>
      </c>
      <c r="N55">
        <v>2.5339352390509034E-2</v>
      </c>
      <c r="O55" t="s">
        <v>6</v>
      </c>
    </row>
    <row r="56" spans="2:15" x14ac:dyDescent="0.45">
      <c r="B56" t="s">
        <v>541</v>
      </c>
      <c r="C56" t="s">
        <v>29</v>
      </c>
      <c r="D56">
        <v>9.7159768181688269E-2</v>
      </c>
      <c r="E56" t="s">
        <v>6</v>
      </c>
      <c r="G56" t="s">
        <v>542</v>
      </c>
      <c r="H56" t="s">
        <v>29</v>
      </c>
      <c r="I56">
        <v>2.5496804285752801E-2</v>
      </c>
      <c r="J56" t="s">
        <v>6</v>
      </c>
      <c r="L56" t="s">
        <v>543</v>
      </c>
      <c r="M56" t="s">
        <v>29</v>
      </c>
      <c r="N56">
        <v>2.4471211285252602E-2</v>
      </c>
      <c r="O56" t="s">
        <v>6</v>
      </c>
    </row>
    <row r="57" spans="2:15" x14ac:dyDescent="0.45">
      <c r="B57" t="s">
        <v>541</v>
      </c>
      <c r="C57" t="s">
        <v>30</v>
      </c>
      <c r="D57">
        <v>5.2394576655734097E-2</v>
      </c>
      <c r="E57" t="s">
        <v>6</v>
      </c>
      <c r="G57" t="s">
        <v>542</v>
      </c>
      <c r="H57" t="s">
        <v>30</v>
      </c>
      <c r="I57">
        <v>3.1871494231366683E-2</v>
      </c>
      <c r="J57" t="s">
        <v>6</v>
      </c>
      <c r="L57" t="s">
        <v>543</v>
      </c>
      <c r="M57" t="s">
        <v>30</v>
      </c>
      <c r="N57">
        <v>2.6300212987303343E-2</v>
      </c>
      <c r="O57" t="s">
        <v>6</v>
      </c>
    </row>
    <row r="58" spans="2:15" x14ac:dyDescent="0.45">
      <c r="B58" t="s">
        <v>541</v>
      </c>
      <c r="C58" t="s">
        <v>31</v>
      </c>
      <c r="D58">
        <v>2.1745280684122631E-3</v>
      </c>
      <c r="E58" t="s">
        <v>6</v>
      </c>
      <c r="G58" t="s">
        <v>542</v>
      </c>
      <c r="H58" t="s">
        <v>31</v>
      </c>
      <c r="I58">
        <v>4.2674014571092017E-2</v>
      </c>
      <c r="J58" t="s">
        <v>6</v>
      </c>
      <c r="L58" t="s">
        <v>543</v>
      </c>
      <c r="M58" t="s">
        <v>31</v>
      </c>
      <c r="N58">
        <v>2.8565003426489065E-2</v>
      </c>
      <c r="O58" t="s">
        <v>6</v>
      </c>
    </row>
    <row r="59" spans="2:15" x14ac:dyDescent="0.45">
      <c r="B59" t="s">
        <v>544</v>
      </c>
      <c r="C59" t="s">
        <v>5</v>
      </c>
      <c r="D59">
        <v>0</v>
      </c>
      <c r="E59" t="s">
        <v>6</v>
      </c>
      <c r="G59" t="s">
        <v>545</v>
      </c>
      <c r="H59" t="s">
        <v>5</v>
      </c>
      <c r="I59">
        <v>9.7032223005822538E-2</v>
      </c>
      <c r="J59" t="s">
        <v>6</v>
      </c>
      <c r="L59" t="s">
        <v>546</v>
      </c>
      <c r="M59" t="s">
        <v>5</v>
      </c>
      <c r="N59">
        <v>9.4340012325025646E-2</v>
      </c>
      <c r="O59" t="s">
        <v>6</v>
      </c>
    </row>
    <row r="60" spans="2:15" x14ac:dyDescent="0.45">
      <c r="B60" t="s">
        <v>544</v>
      </c>
      <c r="C60" t="s">
        <v>9</v>
      </c>
      <c r="D60">
        <v>1.8298433018863088E-3</v>
      </c>
      <c r="E60" t="s">
        <v>6</v>
      </c>
      <c r="G60" t="s">
        <v>545</v>
      </c>
      <c r="H60" t="s">
        <v>9</v>
      </c>
      <c r="I60">
        <v>4.8817536643058101E-2</v>
      </c>
      <c r="J60" t="s">
        <v>6</v>
      </c>
      <c r="L60" t="s">
        <v>546</v>
      </c>
      <c r="M60" t="s">
        <v>9</v>
      </c>
      <c r="N60">
        <v>4.7470072689937713E-2</v>
      </c>
      <c r="O60" t="s">
        <v>6</v>
      </c>
    </row>
    <row r="61" spans="2:15" x14ac:dyDescent="0.45">
      <c r="B61" t="s">
        <v>544</v>
      </c>
      <c r="C61" t="s">
        <v>10</v>
      </c>
      <c r="D61">
        <v>5.1059833456533345E-2</v>
      </c>
      <c r="E61" t="s">
        <v>6</v>
      </c>
      <c r="G61" t="s">
        <v>545</v>
      </c>
      <c r="H61" t="s">
        <v>10</v>
      </c>
      <c r="I61">
        <v>3.6968657445486414E-2</v>
      </c>
      <c r="J61" t="s">
        <v>6</v>
      </c>
      <c r="L61" t="s">
        <v>546</v>
      </c>
      <c r="M61" t="s">
        <v>10</v>
      </c>
      <c r="N61">
        <v>3.5459145897874668E-2</v>
      </c>
      <c r="O61" t="s">
        <v>6</v>
      </c>
    </row>
    <row r="62" spans="2:15" x14ac:dyDescent="0.45">
      <c r="B62" t="s">
        <v>544</v>
      </c>
      <c r="C62" t="s">
        <v>11</v>
      </c>
      <c r="D62">
        <v>8.1354891240663044E-2</v>
      </c>
      <c r="E62" t="s">
        <v>6</v>
      </c>
      <c r="G62" t="s">
        <v>545</v>
      </c>
      <c r="H62" t="s">
        <v>11</v>
      </c>
      <c r="I62">
        <v>4.0394273823543853E-2</v>
      </c>
      <c r="J62" t="s">
        <v>6</v>
      </c>
      <c r="L62" t="s">
        <v>546</v>
      </c>
      <c r="M62" t="s">
        <v>11</v>
      </c>
      <c r="N62">
        <v>3.5115759966762923E-2</v>
      </c>
      <c r="O62" t="s">
        <v>6</v>
      </c>
    </row>
    <row r="63" spans="2:15" x14ac:dyDescent="0.45">
      <c r="B63" t="s">
        <v>544</v>
      </c>
      <c r="C63" t="s">
        <v>12</v>
      </c>
      <c r="D63">
        <v>4.0349460548064819E-2</v>
      </c>
      <c r="E63" t="s">
        <v>6</v>
      </c>
      <c r="G63" t="s">
        <v>545</v>
      </c>
      <c r="H63" t="s">
        <v>12</v>
      </c>
      <c r="I63">
        <v>4.1199820518568804E-2</v>
      </c>
      <c r="J63" t="s">
        <v>6</v>
      </c>
      <c r="L63" t="s">
        <v>546</v>
      </c>
      <c r="M63" t="s">
        <v>12</v>
      </c>
      <c r="N63">
        <v>3.5728854039199114E-2</v>
      </c>
      <c r="O63" t="s">
        <v>6</v>
      </c>
    </row>
    <row r="64" spans="2:15" x14ac:dyDescent="0.45">
      <c r="B64" t="s">
        <v>544</v>
      </c>
      <c r="C64" t="s">
        <v>13</v>
      </c>
      <c r="D64">
        <v>5.6038568483030048E-4</v>
      </c>
      <c r="E64" t="s">
        <v>6</v>
      </c>
      <c r="G64" t="s">
        <v>545</v>
      </c>
      <c r="H64" t="s">
        <v>13</v>
      </c>
      <c r="I64">
        <v>4.0147237458579114E-2</v>
      </c>
      <c r="J64" t="s">
        <v>6</v>
      </c>
      <c r="L64" t="s">
        <v>546</v>
      </c>
      <c r="M64" t="s">
        <v>13</v>
      </c>
      <c r="N64">
        <v>3.6131138297149278E-2</v>
      </c>
      <c r="O64" t="s">
        <v>6</v>
      </c>
    </row>
    <row r="65" spans="2:15" x14ac:dyDescent="0.45">
      <c r="B65" t="s">
        <v>544</v>
      </c>
      <c r="C65" t="s">
        <v>14</v>
      </c>
      <c r="D65">
        <v>0</v>
      </c>
      <c r="E65" t="s">
        <v>6</v>
      </c>
      <c r="G65" t="s">
        <v>545</v>
      </c>
      <c r="H65" t="s">
        <v>14</v>
      </c>
      <c r="I65">
        <v>9.7279582766043371E-2</v>
      </c>
      <c r="J65" t="s">
        <v>6</v>
      </c>
      <c r="L65" t="s">
        <v>546</v>
      </c>
      <c r="M65" t="s">
        <v>14</v>
      </c>
      <c r="N65">
        <v>0.10071323089114599</v>
      </c>
      <c r="O65" t="s">
        <v>6</v>
      </c>
    </row>
    <row r="66" spans="2:15" x14ac:dyDescent="0.45">
      <c r="B66" t="s">
        <v>544</v>
      </c>
      <c r="C66" t="s">
        <v>15</v>
      </c>
      <c r="D66">
        <v>1.4729386815699229E-2</v>
      </c>
      <c r="E66" t="s">
        <v>6</v>
      </c>
      <c r="G66" t="s">
        <v>545</v>
      </c>
      <c r="H66" t="s">
        <v>15</v>
      </c>
      <c r="I66">
        <v>4.6733275942056778E-2</v>
      </c>
      <c r="J66" t="s">
        <v>6</v>
      </c>
      <c r="L66" t="s">
        <v>546</v>
      </c>
      <c r="M66" t="s">
        <v>15</v>
      </c>
      <c r="N66">
        <v>4.4815191769295319E-2</v>
      </c>
      <c r="O66" t="s">
        <v>6</v>
      </c>
    </row>
    <row r="67" spans="2:15" x14ac:dyDescent="0.45">
      <c r="B67" t="s">
        <v>544</v>
      </c>
      <c r="C67" t="s">
        <v>16</v>
      </c>
      <c r="D67">
        <v>8.4620809447202835E-2</v>
      </c>
      <c r="E67" t="s">
        <v>6</v>
      </c>
      <c r="G67" t="s">
        <v>545</v>
      </c>
      <c r="H67" t="s">
        <v>16</v>
      </c>
      <c r="I67">
        <v>4.2604796481461073E-2</v>
      </c>
      <c r="J67" t="s">
        <v>6</v>
      </c>
      <c r="L67" t="s">
        <v>546</v>
      </c>
      <c r="M67" t="s">
        <v>16</v>
      </c>
      <c r="N67">
        <v>2.8493205534730445E-2</v>
      </c>
      <c r="O67" t="s">
        <v>6</v>
      </c>
    </row>
    <row r="68" spans="2:15" x14ac:dyDescent="0.45">
      <c r="B68" t="s">
        <v>544</v>
      </c>
      <c r="C68" t="s">
        <v>17</v>
      </c>
      <c r="D68">
        <v>0.11258290945510084</v>
      </c>
      <c r="E68" t="s">
        <v>6</v>
      </c>
      <c r="G68" t="s">
        <v>545</v>
      </c>
      <c r="H68" t="s">
        <v>17</v>
      </c>
      <c r="I68">
        <v>5.2207953343705642E-2</v>
      </c>
      <c r="J68" t="s">
        <v>6</v>
      </c>
      <c r="L68" t="s">
        <v>546</v>
      </c>
      <c r="M68" t="s">
        <v>17</v>
      </c>
      <c r="N68">
        <v>3.1415339164974326E-2</v>
      </c>
      <c r="O68" t="s">
        <v>6</v>
      </c>
    </row>
    <row r="69" spans="2:15" x14ac:dyDescent="0.45">
      <c r="B69" t="s">
        <v>544</v>
      </c>
      <c r="C69" t="s">
        <v>18</v>
      </c>
      <c r="D69">
        <v>7.1702897785451303E-2</v>
      </c>
      <c r="E69" t="s">
        <v>6</v>
      </c>
      <c r="G69" t="s">
        <v>545</v>
      </c>
      <c r="H69" t="s">
        <v>18</v>
      </c>
      <c r="I69">
        <v>5.4156677226461065E-2</v>
      </c>
      <c r="J69" t="s">
        <v>6</v>
      </c>
      <c r="L69" t="s">
        <v>546</v>
      </c>
      <c r="M69" t="s">
        <v>18</v>
      </c>
      <c r="N69">
        <v>4.1049564904893802E-2</v>
      </c>
      <c r="O69" t="s">
        <v>6</v>
      </c>
    </row>
    <row r="70" spans="2:15" x14ac:dyDescent="0.45">
      <c r="B70" t="s">
        <v>544</v>
      </c>
      <c r="C70" t="s">
        <v>19</v>
      </c>
      <c r="D70">
        <v>6.3971827633595331E-3</v>
      </c>
      <c r="E70" t="s">
        <v>6</v>
      </c>
      <c r="G70" t="s">
        <v>545</v>
      </c>
      <c r="H70" t="s">
        <v>19</v>
      </c>
      <c r="I70">
        <v>4.692010008527947E-2</v>
      </c>
      <c r="J70" t="s">
        <v>6</v>
      </c>
      <c r="L70" t="s">
        <v>546</v>
      </c>
      <c r="M70" t="s">
        <v>19</v>
      </c>
      <c r="N70">
        <v>4.3755899517809976E-2</v>
      </c>
      <c r="O70" t="s">
        <v>6</v>
      </c>
    </row>
    <row r="71" spans="2:15" x14ac:dyDescent="0.45">
      <c r="B71" t="s">
        <v>544</v>
      </c>
      <c r="C71" t="s">
        <v>20</v>
      </c>
      <c r="D71">
        <v>0</v>
      </c>
      <c r="E71" t="s">
        <v>6</v>
      </c>
      <c r="G71" t="s">
        <v>545</v>
      </c>
      <c r="H71" t="s">
        <v>20</v>
      </c>
      <c r="I71">
        <v>2.8240005327250968E-2</v>
      </c>
      <c r="J71" t="s">
        <v>6</v>
      </c>
      <c r="L71" t="s">
        <v>546</v>
      </c>
      <c r="M71" t="s">
        <v>20</v>
      </c>
      <c r="N71">
        <v>6.3136953462519796E-2</v>
      </c>
      <c r="O71" t="s">
        <v>6</v>
      </c>
    </row>
    <row r="72" spans="2:15" x14ac:dyDescent="0.45">
      <c r="B72" t="s">
        <v>544</v>
      </c>
      <c r="C72" t="s">
        <v>21</v>
      </c>
      <c r="D72">
        <v>1.9167456798976908E-2</v>
      </c>
      <c r="E72" t="s">
        <v>6</v>
      </c>
      <c r="G72" t="s">
        <v>545</v>
      </c>
      <c r="H72" t="s">
        <v>21</v>
      </c>
      <c r="I72">
        <v>1.1496885227070555E-2</v>
      </c>
      <c r="J72" t="s">
        <v>6</v>
      </c>
      <c r="L72" t="s">
        <v>546</v>
      </c>
      <c r="M72" t="s">
        <v>21</v>
      </c>
      <c r="N72">
        <v>2.8356507497838027E-2</v>
      </c>
      <c r="O72" t="s">
        <v>6</v>
      </c>
    </row>
    <row r="73" spans="2:15" x14ac:dyDescent="0.45">
      <c r="B73" t="s">
        <v>544</v>
      </c>
      <c r="C73" t="s">
        <v>22</v>
      </c>
      <c r="D73">
        <v>9.1083971508173045E-2</v>
      </c>
      <c r="E73" t="s">
        <v>6</v>
      </c>
      <c r="G73" t="s">
        <v>545</v>
      </c>
      <c r="H73" t="s">
        <v>22</v>
      </c>
      <c r="I73">
        <v>8.338968929215259E-3</v>
      </c>
      <c r="J73" t="s">
        <v>6</v>
      </c>
      <c r="L73" t="s">
        <v>546</v>
      </c>
      <c r="M73" t="s">
        <v>22</v>
      </c>
      <c r="N73">
        <v>1.8636180811130665E-2</v>
      </c>
      <c r="O73" t="s">
        <v>6</v>
      </c>
    </row>
    <row r="74" spans="2:15" x14ac:dyDescent="0.45">
      <c r="B74" t="s">
        <v>544</v>
      </c>
      <c r="C74" t="s">
        <v>23</v>
      </c>
      <c r="D74">
        <v>0.11717451646798129</v>
      </c>
      <c r="E74" t="s">
        <v>6</v>
      </c>
      <c r="G74" t="s">
        <v>545</v>
      </c>
      <c r="H74" t="s">
        <v>23</v>
      </c>
      <c r="I74">
        <v>1.9034738205305386E-2</v>
      </c>
      <c r="J74" t="s">
        <v>6</v>
      </c>
      <c r="L74" t="s">
        <v>546</v>
      </c>
      <c r="M74" t="s">
        <v>23</v>
      </c>
      <c r="N74">
        <v>2.0656463780364204E-2</v>
      </c>
      <c r="O74" t="s">
        <v>6</v>
      </c>
    </row>
    <row r="75" spans="2:15" x14ac:dyDescent="0.45">
      <c r="B75" t="s">
        <v>544</v>
      </c>
      <c r="C75" t="s">
        <v>24</v>
      </c>
      <c r="D75">
        <v>7.7980325189254088E-2</v>
      </c>
      <c r="E75" t="s">
        <v>6</v>
      </c>
      <c r="G75" t="s">
        <v>545</v>
      </c>
      <c r="H75" t="s">
        <v>24</v>
      </c>
      <c r="I75">
        <v>2.7525510292653644E-2</v>
      </c>
      <c r="J75" t="s">
        <v>6</v>
      </c>
      <c r="L75" t="s">
        <v>546</v>
      </c>
      <c r="M75" t="s">
        <v>24</v>
      </c>
      <c r="N75">
        <v>2.6285123054394389E-2</v>
      </c>
      <c r="O75" t="s">
        <v>6</v>
      </c>
    </row>
    <row r="76" spans="2:15" x14ac:dyDescent="0.45">
      <c r="B76" t="s">
        <v>544</v>
      </c>
      <c r="C76" t="s">
        <v>25</v>
      </c>
      <c r="D76">
        <v>9.782095768113612E-3</v>
      </c>
      <c r="E76" t="s">
        <v>6</v>
      </c>
      <c r="G76" t="s">
        <v>545</v>
      </c>
      <c r="H76" t="s">
        <v>25</v>
      </c>
      <c r="I76">
        <v>1.8369322481678524E-2</v>
      </c>
      <c r="J76" t="s">
        <v>6</v>
      </c>
      <c r="L76" t="s">
        <v>546</v>
      </c>
      <c r="M76" t="s">
        <v>25</v>
      </c>
      <c r="N76">
        <v>2.7945849214430146E-2</v>
      </c>
      <c r="O76" t="s">
        <v>6</v>
      </c>
    </row>
    <row r="77" spans="2:15" x14ac:dyDescent="0.45">
      <c r="B77" t="s">
        <v>544</v>
      </c>
      <c r="C77" t="s">
        <v>26</v>
      </c>
      <c r="D77">
        <v>0</v>
      </c>
      <c r="E77" t="s">
        <v>6</v>
      </c>
      <c r="G77" t="s">
        <v>545</v>
      </c>
      <c r="H77" t="s">
        <v>26</v>
      </c>
      <c r="I77">
        <v>7.4704155137959236E-2</v>
      </c>
      <c r="J77" t="s">
        <v>6</v>
      </c>
      <c r="L77" t="s">
        <v>546</v>
      </c>
      <c r="M77" t="s">
        <v>26</v>
      </c>
      <c r="N77">
        <v>8.0662773573375146E-2</v>
      </c>
      <c r="O77" t="s">
        <v>6</v>
      </c>
    </row>
    <row r="78" spans="2:15" x14ac:dyDescent="0.45">
      <c r="B78" t="s">
        <v>544</v>
      </c>
      <c r="C78" t="s">
        <v>27</v>
      </c>
      <c r="D78">
        <v>8.1703969327717868E-3</v>
      </c>
      <c r="E78" t="s">
        <v>6</v>
      </c>
      <c r="G78" t="s">
        <v>545</v>
      </c>
      <c r="H78" t="s">
        <v>27</v>
      </c>
      <c r="I78">
        <v>3.4485071981903981E-2</v>
      </c>
      <c r="J78" t="s">
        <v>6</v>
      </c>
      <c r="L78" t="s">
        <v>546</v>
      </c>
      <c r="M78" t="s">
        <v>27</v>
      </c>
      <c r="N78">
        <v>3.6880182018168416E-2</v>
      </c>
      <c r="O78" t="s">
        <v>6</v>
      </c>
    </row>
    <row r="79" spans="2:15" x14ac:dyDescent="0.45">
      <c r="B79" t="s">
        <v>544</v>
      </c>
      <c r="C79" t="s">
        <v>28</v>
      </c>
      <c r="D79">
        <v>7.0172660940378245E-2</v>
      </c>
      <c r="E79" t="s">
        <v>6</v>
      </c>
      <c r="G79" t="s">
        <v>545</v>
      </c>
      <c r="H79" t="s">
        <v>28</v>
      </c>
      <c r="I79">
        <v>2.6389868419082092E-2</v>
      </c>
      <c r="J79" t="s">
        <v>6</v>
      </c>
      <c r="L79" t="s">
        <v>546</v>
      </c>
      <c r="M79" t="s">
        <v>28</v>
      </c>
      <c r="N79">
        <v>2.6378693529126397E-2</v>
      </c>
      <c r="O79" t="s">
        <v>6</v>
      </c>
    </row>
    <row r="80" spans="2:15" x14ac:dyDescent="0.45">
      <c r="B80" t="s">
        <v>544</v>
      </c>
      <c r="C80" t="s">
        <v>29</v>
      </c>
      <c r="D80">
        <v>9.3547261468331297E-2</v>
      </c>
      <c r="E80" t="s">
        <v>6</v>
      </c>
      <c r="G80" t="s">
        <v>545</v>
      </c>
      <c r="H80" t="s">
        <v>29</v>
      </c>
      <c r="I80">
        <v>3.4556742161781888E-2</v>
      </c>
      <c r="J80" t="s">
        <v>6</v>
      </c>
      <c r="L80" t="s">
        <v>546</v>
      </c>
      <c r="M80" t="s">
        <v>29</v>
      </c>
      <c r="N80">
        <v>2.7618140685306155E-2</v>
      </c>
      <c r="O80" t="s">
        <v>6</v>
      </c>
    </row>
    <row r="81" spans="2:15" x14ac:dyDescent="0.45">
      <c r="B81" t="s">
        <v>544</v>
      </c>
      <c r="C81" t="s">
        <v>30</v>
      </c>
      <c r="D81">
        <v>4.6619886543516724E-2</v>
      </c>
      <c r="E81" t="s">
        <v>6</v>
      </c>
      <c r="G81" t="s">
        <v>545</v>
      </c>
      <c r="H81" t="s">
        <v>30</v>
      </c>
      <c r="I81">
        <v>3.7744403315253375E-2</v>
      </c>
      <c r="J81" t="s">
        <v>6</v>
      </c>
      <c r="L81" t="s">
        <v>546</v>
      </c>
      <c r="M81" t="s">
        <v>30</v>
      </c>
      <c r="N81">
        <v>3.3224375404998778E-2</v>
      </c>
      <c r="O81" t="s">
        <v>6</v>
      </c>
    </row>
    <row r="82" spans="2:15" x14ac:dyDescent="0.45">
      <c r="B82" t="s">
        <v>544</v>
      </c>
      <c r="C82" t="s">
        <v>31</v>
      </c>
      <c r="D82">
        <v>1.1138278837096805E-3</v>
      </c>
      <c r="E82" t="s">
        <v>6</v>
      </c>
      <c r="G82" t="s">
        <v>545</v>
      </c>
      <c r="H82" t="s">
        <v>31</v>
      </c>
      <c r="I82">
        <v>3.465219378077649E-2</v>
      </c>
      <c r="J82" t="s">
        <v>6</v>
      </c>
      <c r="L82" t="s">
        <v>546</v>
      </c>
      <c r="M82" t="s">
        <v>31</v>
      </c>
      <c r="N82">
        <v>3.5731341969552355E-2</v>
      </c>
      <c r="O82" t="s">
        <v>6</v>
      </c>
    </row>
    <row r="83" spans="2:15" x14ac:dyDescent="0.45">
      <c r="B83" t="s">
        <v>547</v>
      </c>
      <c r="C83" t="s">
        <v>5</v>
      </c>
      <c r="D83">
        <v>0</v>
      </c>
      <c r="E83" t="s">
        <v>6</v>
      </c>
      <c r="G83" t="s">
        <v>548</v>
      </c>
      <c r="H83" t="s">
        <v>5</v>
      </c>
      <c r="I83">
        <v>0.10326514413966682</v>
      </c>
      <c r="J83" t="s">
        <v>6</v>
      </c>
      <c r="L83" t="s">
        <v>549</v>
      </c>
      <c r="M83" t="s">
        <v>5</v>
      </c>
      <c r="N83">
        <v>9.457546030847265E-2</v>
      </c>
      <c r="O83" t="s">
        <v>6</v>
      </c>
    </row>
    <row r="84" spans="2:15" x14ac:dyDescent="0.45">
      <c r="B84" t="s">
        <v>547</v>
      </c>
      <c r="C84" t="s">
        <v>9</v>
      </c>
      <c r="D84">
        <v>3.5314159630892802E-3</v>
      </c>
      <c r="E84" t="s">
        <v>6</v>
      </c>
      <c r="G84" t="s">
        <v>548</v>
      </c>
      <c r="H84" t="s">
        <v>9</v>
      </c>
      <c r="I84">
        <v>5.5868812944853498E-2</v>
      </c>
      <c r="J84" t="s">
        <v>6</v>
      </c>
      <c r="L84" t="s">
        <v>549</v>
      </c>
      <c r="M84" t="s">
        <v>9</v>
      </c>
      <c r="N84">
        <v>4.4586313652816331E-2</v>
      </c>
      <c r="O84" t="s">
        <v>6</v>
      </c>
    </row>
    <row r="85" spans="2:15" x14ac:dyDescent="0.45">
      <c r="B85" t="s">
        <v>547</v>
      </c>
      <c r="C85" t="s">
        <v>10</v>
      </c>
      <c r="D85">
        <v>5.8524742522576334E-2</v>
      </c>
      <c r="E85" t="s">
        <v>6</v>
      </c>
      <c r="G85" t="s">
        <v>548</v>
      </c>
      <c r="H85" t="s">
        <v>10</v>
      </c>
      <c r="I85">
        <v>4.0452662295107106E-2</v>
      </c>
      <c r="J85" t="s">
        <v>6</v>
      </c>
      <c r="L85" t="s">
        <v>549</v>
      </c>
      <c r="M85" t="s">
        <v>10</v>
      </c>
      <c r="N85">
        <v>3.2817582917494204E-2</v>
      </c>
      <c r="O85" t="s">
        <v>6</v>
      </c>
    </row>
    <row r="86" spans="2:15" x14ac:dyDescent="0.45">
      <c r="B86" t="s">
        <v>547</v>
      </c>
      <c r="C86" t="s">
        <v>11</v>
      </c>
      <c r="D86">
        <v>8.3317589481477064E-2</v>
      </c>
      <c r="E86" t="s">
        <v>6</v>
      </c>
      <c r="G86" t="s">
        <v>548</v>
      </c>
      <c r="H86" t="s">
        <v>11</v>
      </c>
      <c r="I86">
        <v>3.7684104563836987E-2</v>
      </c>
      <c r="J86" t="s">
        <v>6</v>
      </c>
      <c r="L86" t="s">
        <v>549</v>
      </c>
      <c r="M86" t="s">
        <v>11</v>
      </c>
      <c r="N86">
        <v>3.2437288436339022E-2</v>
      </c>
      <c r="O86" t="s">
        <v>6</v>
      </c>
    </row>
    <row r="87" spans="2:15" x14ac:dyDescent="0.45">
      <c r="B87" t="s">
        <v>547</v>
      </c>
      <c r="C87" t="s">
        <v>12</v>
      </c>
      <c r="D87">
        <v>3.84936813731677E-2</v>
      </c>
      <c r="E87" t="s">
        <v>6</v>
      </c>
      <c r="G87" t="s">
        <v>548</v>
      </c>
      <c r="H87" t="s">
        <v>12</v>
      </c>
      <c r="I87">
        <v>3.7095854620226396E-2</v>
      </c>
      <c r="J87" t="s">
        <v>6</v>
      </c>
      <c r="L87" t="s">
        <v>549</v>
      </c>
      <c r="M87" t="s">
        <v>12</v>
      </c>
      <c r="N87">
        <v>3.3663065498837914E-2</v>
      </c>
      <c r="O87" t="s">
        <v>6</v>
      </c>
    </row>
    <row r="88" spans="2:15" x14ac:dyDescent="0.45">
      <c r="B88" t="s">
        <v>547</v>
      </c>
      <c r="C88" t="s">
        <v>13</v>
      </c>
      <c r="D88">
        <v>2.7662864805721619E-4</v>
      </c>
      <c r="E88" t="s">
        <v>6</v>
      </c>
      <c r="G88" t="s">
        <v>548</v>
      </c>
      <c r="H88" t="s">
        <v>13</v>
      </c>
      <c r="I88">
        <v>3.6650119483701546E-2</v>
      </c>
      <c r="J88" t="s">
        <v>6</v>
      </c>
      <c r="L88" t="s">
        <v>549</v>
      </c>
      <c r="M88" t="s">
        <v>13</v>
      </c>
      <c r="N88">
        <v>3.4853076944487159E-2</v>
      </c>
      <c r="O88" t="s">
        <v>6</v>
      </c>
    </row>
    <row r="89" spans="2:15" x14ac:dyDescent="0.45">
      <c r="B89" t="s">
        <v>547</v>
      </c>
      <c r="C89" t="s">
        <v>14</v>
      </c>
      <c r="D89">
        <v>0</v>
      </c>
      <c r="E89" t="s">
        <v>6</v>
      </c>
      <c r="G89" t="s">
        <v>548</v>
      </c>
      <c r="H89" t="s">
        <v>14</v>
      </c>
      <c r="I89">
        <v>8.3284761734393059E-2</v>
      </c>
      <c r="J89" t="s">
        <v>6</v>
      </c>
      <c r="L89" t="s">
        <v>549</v>
      </c>
      <c r="M89" t="s">
        <v>14</v>
      </c>
      <c r="N89">
        <v>0.10748203125656138</v>
      </c>
      <c r="O89" t="s">
        <v>6</v>
      </c>
    </row>
    <row r="90" spans="2:15" x14ac:dyDescent="0.45">
      <c r="B90" t="s">
        <v>547</v>
      </c>
      <c r="C90" t="s">
        <v>15</v>
      </c>
      <c r="D90">
        <v>1.7676422716639845E-2</v>
      </c>
      <c r="E90" t="s">
        <v>6</v>
      </c>
      <c r="G90" t="s">
        <v>548</v>
      </c>
      <c r="H90" t="s">
        <v>15</v>
      </c>
      <c r="I90">
        <v>4.7949540240228475E-2</v>
      </c>
      <c r="J90" t="s">
        <v>6</v>
      </c>
      <c r="L90" t="s">
        <v>549</v>
      </c>
      <c r="M90" t="s">
        <v>15</v>
      </c>
      <c r="N90">
        <v>4.7767993855838825E-2</v>
      </c>
      <c r="O90" t="s">
        <v>6</v>
      </c>
    </row>
    <row r="91" spans="2:15" x14ac:dyDescent="0.45">
      <c r="B91" t="s">
        <v>547</v>
      </c>
      <c r="C91" t="s">
        <v>16</v>
      </c>
      <c r="D91">
        <v>8.986465802663661E-2</v>
      </c>
      <c r="E91" t="s">
        <v>6</v>
      </c>
      <c r="G91" t="s">
        <v>548</v>
      </c>
      <c r="H91" t="s">
        <v>16</v>
      </c>
      <c r="I91">
        <v>3.834876886208325E-2</v>
      </c>
      <c r="J91" t="s">
        <v>6</v>
      </c>
      <c r="L91" t="s">
        <v>549</v>
      </c>
      <c r="M91" t="s">
        <v>16</v>
      </c>
      <c r="N91">
        <v>3.1937075524471295E-2</v>
      </c>
      <c r="O91" t="s">
        <v>6</v>
      </c>
    </row>
    <row r="92" spans="2:15" x14ac:dyDescent="0.45">
      <c r="B92" t="s">
        <v>547</v>
      </c>
      <c r="C92" t="s">
        <v>17</v>
      </c>
      <c r="D92">
        <v>0.11004486634435841</v>
      </c>
      <c r="E92" t="s">
        <v>6</v>
      </c>
      <c r="G92" t="s">
        <v>548</v>
      </c>
      <c r="H92" t="s">
        <v>17</v>
      </c>
      <c r="I92">
        <v>3.9428826336092168E-2</v>
      </c>
      <c r="J92" t="s">
        <v>6</v>
      </c>
      <c r="L92" t="s">
        <v>549</v>
      </c>
      <c r="M92" t="s">
        <v>17</v>
      </c>
      <c r="N92">
        <v>3.1336380782790219E-2</v>
      </c>
      <c r="O92" t="s">
        <v>6</v>
      </c>
    </row>
    <row r="93" spans="2:15" x14ac:dyDescent="0.45">
      <c r="B93" t="s">
        <v>547</v>
      </c>
      <c r="C93" t="s">
        <v>18</v>
      </c>
      <c r="D93">
        <v>6.6960703126113338E-2</v>
      </c>
      <c r="E93" t="s">
        <v>6</v>
      </c>
      <c r="G93" t="s">
        <v>548</v>
      </c>
      <c r="H93" t="s">
        <v>18</v>
      </c>
      <c r="I93">
        <v>3.9905436660925192E-2</v>
      </c>
      <c r="J93" t="s">
        <v>6</v>
      </c>
      <c r="L93" t="s">
        <v>549</v>
      </c>
      <c r="M93" t="s">
        <v>18</v>
      </c>
      <c r="N93">
        <v>3.5985988092766381E-2</v>
      </c>
      <c r="O93" t="s">
        <v>6</v>
      </c>
    </row>
    <row r="94" spans="2:15" x14ac:dyDescent="0.45">
      <c r="B94" t="s">
        <v>547</v>
      </c>
      <c r="C94" t="s">
        <v>19</v>
      </c>
      <c r="D94">
        <v>5.0427524518318724E-3</v>
      </c>
      <c r="E94" t="s">
        <v>6</v>
      </c>
      <c r="G94" t="s">
        <v>548</v>
      </c>
      <c r="H94" t="s">
        <v>19</v>
      </c>
      <c r="I94">
        <v>3.6190834907877875E-2</v>
      </c>
      <c r="J94" t="s">
        <v>6</v>
      </c>
      <c r="L94" t="s">
        <v>549</v>
      </c>
      <c r="M94" t="s">
        <v>19</v>
      </c>
      <c r="N94">
        <v>4.004793003965134E-2</v>
      </c>
      <c r="O94" t="s">
        <v>6</v>
      </c>
    </row>
    <row r="95" spans="2:15" x14ac:dyDescent="0.45">
      <c r="B95" t="s">
        <v>547</v>
      </c>
      <c r="C95" t="s">
        <v>20</v>
      </c>
      <c r="D95">
        <v>0</v>
      </c>
      <c r="E95" t="s">
        <v>6</v>
      </c>
      <c r="G95" t="s">
        <v>548</v>
      </c>
      <c r="H95" t="s">
        <v>20</v>
      </c>
      <c r="I95">
        <v>3.7144654622068042E-2</v>
      </c>
      <c r="J95" t="s">
        <v>6</v>
      </c>
      <c r="L95" t="s">
        <v>549</v>
      </c>
      <c r="M95" t="s">
        <v>20</v>
      </c>
      <c r="N95">
        <v>7.1629114061561222E-2</v>
      </c>
      <c r="O95" t="s">
        <v>6</v>
      </c>
    </row>
    <row r="96" spans="2:15" x14ac:dyDescent="0.45">
      <c r="B96" t="s">
        <v>547</v>
      </c>
      <c r="C96" t="s">
        <v>21</v>
      </c>
      <c r="D96">
        <v>2.2296881093822097E-2</v>
      </c>
      <c r="E96" t="s">
        <v>6</v>
      </c>
      <c r="G96" t="s">
        <v>548</v>
      </c>
      <c r="H96" t="s">
        <v>21</v>
      </c>
      <c r="I96">
        <v>1.8621485970880796E-2</v>
      </c>
      <c r="J96" t="s">
        <v>6</v>
      </c>
      <c r="L96" t="s">
        <v>549</v>
      </c>
      <c r="M96" t="s">
        <v>21</v>
      </c>
      <c r="N96">
        <v>3.3481475265312366E-2</v>
      </c>
      <c r="O96" t="s">
        <v>6</v>
      </c>
    </row>
    <row r="97" spans="2:15" x14ac:dyDescent="0.45">
      <c r="B97" t="s">
        <v>547</v>
      </c>
      <c r="C97" t="s">
        <v>22</v>
      </c>
      <c r="D97">
        <v>9.4079865980062266E-2</v>
      </c>
      <c r="E97" t="s">
        <v>6</v>
      </c>
      <c r="G97" t="s">
        <v>548</v>
      </c>
      <c r="H97" t="s">
        <v>22</v>
      </c>
      <c r="I97">
        <v>1.0097335525800147E-2</v>
      </c>
      <c r="J97" t="s">
        <v>6</v>
      </c>
      <c r="L97" t="s">
        <v>549</v>
      </c>
      <c r="M97" t="s">
        <v>22</v>
      </c>
      <c r="N97">
        <v>2.0350006279944367E-2</v>
      </c>
      <c r="O97" t="s">
        <v>6</v>
      </c>
    </row>
    <row r="98" spans="2:15" x14ac:dyDescent="0.45">
      <c r="B98" t="s">
        <v>547</v>
      </c>
      <c r="C98" t="s">
        <v>23</v>
      </c>
      <c r="D98">
        <v>0.11208814645050444</v>
      </c>
      <c r="E98" t="s">
        <v>6</v>
      </c>
      <c r="G98" t="s">
        <v>548</v>
      </c>
      <c r="H98" t="s">
        <v>23</v>
      </c>
      <c r="I98">
        <v>1.3732691378964053E-2</v>
      </c>
      <c r="J98" t="s">
        <v>6</v>
      </c>
      <c r="L98" t="s">
        <v>549</v>
      </c>
      <c r="M98" t="s">
        <v>23</v>
      </c>
      <c r="N98">
        <v>2.2709795571360242E-2</v>
      </c>
      <c r="O98" t="s">
        <v>6</v>
      </c>
    </row>
    <row r="99" spans="2:15" x14ac:dyDescent="0.45">
      <c r="B99" t="s">
        <v>547</v>
      </c>
      <c r="C99" t="s">
        <v>24</v>
      </c>
      <c r="D99">
        <v>6.9524589005165102E-2</v>
      </c>
      <c r="E99" t="s">
        <v>6</v>
      </c>
      <c r="G99" t="s">
        <v>548</v>
      </c>
      <c r="H99" t="s">
        <v>24</v>
      </c>
      <c r="I99">
        <v>2.1323793614013358E-2</v>
      </c>
      <c r="J99" t="s">
        <v>6</v>
      </c>
      <c r="L99" t="s">
        <v>549</v>
      </c>
      <c r="M99" t="s">
        <v>24</v>
      </c>
      <c r="N99">
        <v>2.8442827502856649E-2</v>
      </c>
      <c r="O99" t="s">
        <v>6</v>
      </c>
    </row>
    <row r="100" spans="2:15" x14ac:dyDescent="0.45">
      <c r="B100" t="s">
        <v>547</v>
      </c>
      <c r="C100" t="s">
        <v>25</v>
      </c>
      <c r="D100">
        <v>7.8627679839963164E-3</v>
      </c>
      <c r="E100" t="s">
        <v>6</v>
      </c>
      <c r="G100" t="s">
        <v>548</v>
      </c>
      <c r="H100" t="s">
        <v>25</v>
      </c>
      <c r="I100">
        <v>1.84549757194402E-2</v>
      </c>
      <c r="J100" t="s">
        <v>6</v>
      </c>
      <c r="L100" t="s">
        <v>549</v>
      </c>
      <c r="M100" t="s">
        <v>25</v>
      </c>
      <c r="N100">
        <v>2.8252353955851538E-2</v>
      </c>
      <c r="O100" t="s">
        <v>6</v>
      </c>
    </row>
    <row r="101" spans="2:15" x14ac:dyDescent="0.45">
      <c r="B101" t="s">
        <v>547</v>
      </c>
      <c r="C101" t="s">
        <v>26</v>
      </c>
      <c r="D101">
        <v>0</v>
      </c>
      <c r="E101" t="s">
        <v>6</v>
      </c>
      <c r="G101" t="s">
        <v>548</v>
      </c>
      <c r="H101" t="s">
        <v>26</v>
      </c>
      <c r="I101">
        <v>9.0966171154412925E-2</v>
      </c>
      <c r="J101" t="s">
        <v>6</v>
      </c>
      <c r="L101" t="s">
        <v>549</v>
      </c>
      <c r="M101" t="s">
        <v>26</v>
      </c>
      <c r="N101">
        <v>7.7585532778201655E-2</v>
      </c>
      <c r="O101" t="s">
        <v>6</v>
      </c>
    </row>
    <row r="102" spans="2:15" x14ac:dyDescent="0.45">
      <c r="B102" t="s">
        <v>547</v>
      </c>
      <c r="C102" t="s">
        <v>27</v>
      </c>
      <c r="D102">
        <v>1.0121682546489546E-2</v>
      </c>
      <c r="E102" t="s">
        <v>6</v>
      </c>
      <c r="G102" t="s">
        <v>548</v>
      </c>
      <c r="H102" t="s">
        <v>27</v>
      </c>
      <c r="I102">
        <v>4.6856361400995222E-2</v>
      </c>
      <c r="J102" t="s">
        <v>6</v>
      </c>
      <c r="L102" t="s">
        <v>549</v>
      </c>
      <c r="M102" t="s">
        <v>27</v>
      </c>
      <c r="N102">
        <v>3.7243564644724718E-2</v>
      </c>
      <c r="O102" t="s">
        <v>6</v>
      </c>
    </row>
    <row r="103" spans="2:15" x14ac:dyDescent="0.45">
      <c r="B103" t="s">
        <v>547</v>
      </c>
      <c r="C103" t="s">
        <v>28</v>
      </c>
      <c r="D103">
        <v>7.4038472399028499E-2</v>
      </c>
      <c r="E103" t="s">
        <v>6</v>
      </c>
      <c r="G103" t="s">
        <v>548</v>
      </c>
      <c r="H103" t="s">
        <v>28</v>
      </c>
      <c r="I103">
        <v>3.4151941068138382E-2</v>
      </c>
      <c r="J103" t="s">
        <v>6</v>
      </c>
      <c r="L103" t="s">
        <v>549</v>
      </c>
      <c r="M103" t="s">
        <v>28</v>
      </c>
      <c r="N103">
        <v>2.6616363495316854E-2</v>
      </c>
      <c r="O103" t="s">
        <v>6</v>
      </c>
    </row>
    <row r="104" spans="2:15" x14ac:dyDescent="0.45">
      <c r="B104" t="s">
        <v>547</v>
      </c>
      <c r="C104" t="s">
        <v>29</v>
      </c>
      <c r="D104">
        <v>9.2515730566621962E-2</v>
      </c>
      <c r="E104" t="s">
        <v>6</v>
      </c>
      <c r="G104" t="s">
        <v>548</v>
      </c>
      <c r="H104" t="s">
        <v>29</v>
      </c>
      <c r="I104">
        <v>3.6371711206578804E-2</v>
      </c>
      <c r="J104" t="s">
        <v>6</v>
      </c>
      <c r="L104" t="s">
        <v>549</v>
      </c>
      <c r="M104" t="s">
        <v>29</v>
      </c>
      <c r="N104">
        <v>2.5844610176969745E-2</v>
      </c>
      <c r="O104" t="s">
        <v>6</v>
      </c>
    </row>
    <row r="105" spans="2:15" x14ac:dyDescent="0.45">
      <c r="B105" t="s">
        <v>547</v>
      </c>
      <c r="C105" t="s">
        <v>30</v>
      </c>
      <c r="D105">
        <v>4.2991047894734194E-2</v>
      </c>
      <c r="E105" t="s">
        <v>6</v>
      </c>
      <c r="G105" t="s">
        <v>548</v>
      </c>
      <c r="H105" t="s">
        <v>30</v>
      </c>
      <c r="I105">
        <v>3.8093535167588927E-2</v>
      </c>
      <c r="J105" t="s">
        <v>6</v>
      </c>
      <c r="L105" t="s">
        <v>549</v>
      </c>
      <c r="M105" t="s">
        <v>30</v>
      </c>
      <c r="N105">
        <v>2.9530747385482808E-2</v>
      </c>
      <c r="O105" t="s">
        <v>6</v>
      </c>
    </row>
    <row r="106" spans="2:15" x14ac:dyDescent="0.45">
      <c r="B106" t="s">
        <v>547</v>
      </c>
      <c r="C106" t="s">
        <v>31</v>
      </c>
      <c r="D106">
        <v>7.473554256267102E-4</v>
      </c>
      <c r="E106" t="s">
        <v>6</v>
      </c>
      <c r="G106" t="s">
        <v>548</v>
      </c>
      <c r="H106" t="s">
        <v>31</v>
      </c>
      <c r="I106">
        <v>3.8060476382130913E-2</v>
      </c>
      <c r="J106" t="s">
        <v>6</v>
      </c>
      <c r="L106" t="s">
        <v>549</v>
      </c>
      <c r="M106" t="s">
        <v>31</v>
      </c>
      <c r="N106">
        <v>3.0823421571888571E-2</v>
      </c>
      <c r="O106" t="s">
        <v>6</v>
      </c>
    </row>
    <row r="107" spans="2:15" x14ac:dyDescent="0.45">
      <c r="B107" t="s">
        <v>550</v>
      </c>
      <c r="C107" t="s">
        <v>5</v>
      </c>
      <c r="D107">
        <v>0</v>
      </c>
      <c r="E107" t="s">
        <v>6</v>
      </c>
      <c r="G107" t="s">
        <v>551</v>
      </c>
      <c r="H107" t="s">
        <v>5</v>
      </c>
      <c r="I107">
        <v>0.10748680586264453</v>
      </c>
      <c r="J107" t="s">
        <v>6</v>
      </c>
      <c r="L107" t="s">
        <v>552</v>
      </c>
      <c r="M107" t="s">
        <v>5</v>
      </c>
      <c r="N107">
        <v>9.5457435713156208E-2</v>
      </c>
      <c r="O107" t="s">
        <v>6</v>
      </c>
    </row>
    <row r="108" spans="2:15" x14ac:dyDescent="0.45">
      <c r="B108" t="s">
        <v>550</v>
      </c>
      <c r="C108" t="s">
        <v>9</v>
      </c>
      <c r="D108">
        <v>3.7989632296443103E-3</v>
      </c>
      <c r="E108" t="s">
        <v>6</v>
      </c>
      <c r="G108" t="s">
        <v>551</v>
      </c>
      <c r="H108" t="s">
        <v>9</v>
      </c>
      <c r="I108">
        <v>5.4271932779239036E-2</v>
      </c>
      <c r="J108" t="s">
        <v>6</v>
      </c>
      <c r="L108" t="s">
        <v>552</v>
      </c>
      <c r="M108" t="s">
        <v>9</v>
      </c>
      <c r="N108">
        <v>4.8478653791696288E-2</v>
      </c>
      <c r="O108" t="s">
        <v>6</v>
      </c>
    </row>
    <row r="109" spans="2:15" x14ac:dyDescent="0.45">
      <c r="B109" t="s">
        <v>550</v>
      </c>
      <c r="C109" t="s">
        <v>10</v>
      </c>
      <c r="D109">
        <v>5.834435307064615E-2</v>
      </c>
      <c r="E109" t="s">
        <v>6</v>
      </c>
      <c r="G109" t="s">
        <v>551</v>
      </c>
      <c r="H109" t="s">
        <v>10</v>
      </c>
      <c r="I109">
        <v>3.7262328044177111E-2</v>
      </c>
      <c r="J109" t="s">
        <v>6</v>
      </c>
      <c r="L109" t="s">
        <v>552</v>
      </c>
      <c r="M109" t="s">
        <v>10</v>
      </c>
      <c r="N109">
        <v>3.5844613671757002E-2</v>
      </c>
      <c r="O109" t="s">
        <v>6</v>
      </c>
    </row>
    <row r="110" spans="2:15" x14ac:dyDescent="0.45">
      <c r="B110" t="s">
        <v>550</v>
      </c>
      <c r="C110" t="s">
        <v>11</v>
      </c>
      <c r="D110">
        <v>8.0733376081261063E-2</v>
      </c>
      <c r="E110" t="s">
        <v>6</v>
      </c>
      <c r="G110" t="s">
        <v>551</v>
      </c>
      <c r="H110" t="s">
        <v>11</v>
      </c>
      <c r="I110">
        <v>3.6630316248772297E-2</v>
      </c>
      <c r="J110" t="s">
        <v>6</v>
      </c>
      <c r="L110" t="s">
        <v>552</v>
      </c>
      <c r="M110" t="s">
        <v>11</v>
      </c>
      <c r="N110">
        <v>3.2906368930138021E-2</v>
      </c>
      <c r="O110" t="s">
        <v>6</v>
      </c>
    </row>
    <row r="111" spans="2:15" x14ac:dyDescent="0.45">
      <c r="B111" t="s">
        <v>550</v>
      </c>
      <c r="C111" t="s">
        <v>12</v>
      </c>
      <c r="D111">
        <v>3.3763350473849277E-2</v>
      </c>
      <c r="E111" t="s">
        <v>6</v>
      </c>
      <c r="G111" t="s">
        <v>551</v>
      </c>
      <c r="H111" t="s">
        <v>12</v>
      </c>
      <c r="I111">
        <v>3.9451579255835117E-2</v>
      </c>
      <c r="J111" t="s">
        <v>6</v>
      </c>
      <c r="L111" t="s">
        <v>552</v>
      </c>
      <c r="M111" t="s">
        <v>12</v>
      </c>
      <c r="N111">
        <v>3.4812594373076509E-2</v>
      </c>
      <c r="O111" t="s">
        <v>6</v>
      </c>
    </row>
    <row r="112" spans="2:15" x14ac:dyDescent="0.45">
      <c r="B112" t="s">
        <v>550</v>
      </c>
      <c r="C112" t="s">
        <v>13</v>
      </c>
      <c r="D112">
        <v>1.1749436708571826E-4</v>
      </c>
      <c r="E112" t="s">
        <v>6</v>
      </c>
      <c r="G112" t="s">
        <v>551</v>
      </c>
      <c r="H112" t="s">
        <v>13</v>
      </c>
      <c r="I112">
        <v>4.103875061882515E-2</v>
      </c>
      <c r="J112" t="s">
        <v>6</v>
      </c>
      <c r="L112" t="s">
        <v>552</v>
      </c>
      <c r="M112" t="s">
        <v>13</v>
      </c>
      <c r="N112">
        <v>3.6554151357819538E-2</v>
      </c>
      <c r="O112" t="s">
        <v>6</v>
      </c>
    </row>
    <row r="113" spans="2:15" x14ac:dyDescent="0.45">
      <c r="B113" t="s">
        <v>550</v>
      </c>
      <c r="C113" t="s">
        <v>14</v>
      </c>
      <c r="D113">
        <v>0</v>
      </c>
      <c r="E113" t="s">
        <v>6</v>
      </c>
      <c r="G113" t="s">
        <v>551</v>
      </c>
      <c r="H113" t="s">
        <v>14</v>
      </c>
      <c r="I113">
        <v>8.9560580061536166E-2</v>
      </c>
      <c r="J113" t="s">
        <v>6</v>
      </c>
      <c r="L113" t="s">
        <v>552</v>
      </c>
      <c r="M113" t="s">
        <v>14</v>
      </c>
      <c r="N113">
        <v>9.963725963315849E-2</v>
      </c>
      <c r="O113" t="s">
        <v>6</v>
      </c>
    </row>
    <row r="114" spans="2:15" x14ac:dyDescent="0.45">
      <c r="B114" t="s">
        <v>550</v>
      </c>
      <c r="C114" t="s">
        <v>15</v>
      </c>
      <c r="D114">
        <v>1.9955124215538574E-2</v>
      </c>
      <c r="E114" t="s">
        <v>6</v>
      </c>
      <c r="G114" t="s">
        <v>551</v>
      </c>
      <c r="H114" t="s">
        <v>15</v>
      </c>
      <c r="I114">
        <v>4.5993640739875129E-2</v>
      </c>
      <c r="J114" t="s">
        <v>6</v>
      </c>
      <c r="L114" t="s">
        <v>552</v>
      </c>
      <c r="M114" t="s">
        <v>15</v>
      </c>
      <c r="N114">
        <v>4.7561848746592007E-2</v>
      </c>
      <c r="O114" t="s">
        <v>6</v>
      </c>
    </row>
    <row r="115" spans="2:15" x14ac:dyDescent="0.45">
      <c r="B115" t="s">
        <v>550</v>
      </c>
      <c r="C115" t="s">
        <v>16</v>
      </c>
      <c r="D115">
        <v>9.1736506858821634E-2</v>
      </c>
      <c r="E115" t="s">
        <v>6</v>
      </c>
      <c r="G115" t="s">
        <v>551</v>
      </c>
      <c r="H115" t="s">
        <v>16</v>
      </c>
      <c r="I115">
        <v>3.4285521056047118E-2</v>
      </c>
      <c r="J115" t="s">
        <v>6</v>
      </c>
      <c r="L115" t="s">
        <v>552</v>
      </c>
      <c r="M115" t="s">
        <v>16</v>
      </c>
      <c r="N115">
        <v>3.1861152194343559E-2</v>
      </c>
      <c r="O115" t="s">
        <v>6</v>
      </c>
    </row>
    <row r="116" spans="2:15" x14ac:dyDescent="0.45">
      <c r="B116" t="s">
        <v>550</v>
      </c>
      <c r="C116" t="s">
        <v>17</v>
      </c>
      <c r="D116">
        <v>0.11171631499353066</v>
      </c>
      <c r="E116" t="s">
        <v>6</v>
      </c>
      <c r="G116" t="s">
        <v>551</v>
      </c>
      <c r="H116" t="s">
        <v>17</v>
      </c>
      <c r="I116">
        <v>3.7530734779841597E-2</v>
      </c>
      <c r="J116" t="s">
        <v>6</v>
      </c>
      <c r="L116" t="s">
        <v>552</v>
      </c>
      <c r="M116" t="s">
        <v>17</v>
      </c>
      <c r="N116">
        <v>3.2645896694519172E-2</v>
      </c>
      <c r="O116" t="s">
        <v>6</v>
      </c>
    </row>
    <row r="117" spans="2:15" x14ac:dyDescent="0.45">
      <c r="B117" t="s">
        <v>550</v>
      </c>
      <c r="C117" t="s">
        <v>18</v>
      </c>
      <c r="D117">
        <v>6.3937485172851874E-2</v>
      </c>
      <c r="E117" t="s">
        <v>6</v>
      </c>
      <c r="G117" t="s">
        <v>551</v>
      </c>
      <c r="H117" t="s">
        <v>18</v>
      </c>
      <c r="I117">
        <v>3.9050222085838394E-2</v>
      </c>
      <c r="J117" t="s">
        <v>6</v>
      </c>
      <c r="L117" t="s">
        <v>552</v>
      </c>
      <c r="M117" t="s">
        <v>18</v>
      </c>
      <c r="N117">
        <v>3.8185921956193858E-2</v>
      </c>
      <c r="O117" t="s">
        <v>6</v>
      </c>
    </row>
    <row r="118" spans="2:15" x14ac:dyDescent="0.45">
      <c r="B118" t="s">
        <v>550</v>
      </c>
      <c r="C118" t="s">
        <v>19</v>
      </c>
      <c r="D118">
        <v>4.0470465102856821E-3</v>
      </c>
      <c r="E118" t="s">
        <v>6</v>
      </c>
      <c r="G118" t="s">
        <v>551</v>
      </c>
      <c r="H118" t="s">
        <v>19</v>
      </c>
      <c r="I118">
        <v>3.5321322170512627E-2</v>
      </c>
      <c r="J118" t="s">
        <v>6</v>
      </c>
      <c r="L118" t="s">
        <v>552</v>
      </c>
      <c r="M118" t="s">
        <v>19</v>
      </c>
      <c r="N118">
        <v>4.0333759546292661E-2</v>
      </c>
      <c r="O118" t="s">
        <v>6</v>
      </c>
    </row>
    <row r="119" spans="2:15" x14ac:dyDescent="0.45">
      <c r="B119" t="s">
        <v>550</v>
      </c>
      <c r="C119" t="s">
        <v>20</v>
      </c>
      <c r="D119">
        <v>0</v>
      </c>
      <c r="E119" t="s">
        <v>6</v>
      </c>
      <c r="G119" t="s">
        <v>551</v>
      </c>
      <c r="H119" t="s">
        <v>20</v>
      </c>
      <c r="I119">
        <v>3.1208716058776224E-2</v>
      </c>
      <c r="J119" t="s">
        <v>6</v>
      </c>
      <c r="L119" t="s">
        <v>552</v>
      </c>
      <c r="M119" t="s">
        <v>20</v>
      </c>
      <c r="N119">
        <v>5.7873375916124403E-2</v>
      </c>
      <c r="O119" t="s">
        <v>6</v>
      </c>
    </row>
    <row r="120" spans="2:15" x14ac:dyDescent="0.45">
      <c r="B120" t="s">
        <v>550</v>
      </c>
      <c r="C120" t="s">
        <v>21</v>
      </c>
      <c r="D120">
        <v>2.5298036353592582E-2</v>
      </c>
      <c r="E120" t="s">
        <v>6</v>
      </c>
      <c r="G120" t="s">
        <v>551</v>
      </c>
      <c r="H120" t="s">
        <v>21</v>
      </c>
      <c r="I120">
        <v>1.8571574673009548E-2</v>
      </c>
      <c r="J120" t="s">
        <v>6</v>
      </c>
      <c r="L120" t="s">
        <v>552</v>
      </c>
      <c r="M120" t="s">
        <v>21</v>
      </c>
      <c r="N120">
        <v>2.8472982912862745E-2</v>
      </c>
      <c r="O120" t="s">
        <v>6</v>
      </c>
    </row>
    <row r="121" spans="2:15" x14ac:dyDescent="0.45">
      <c r="B121" t="s">
        <v>550</v>
      </c>
      <c r="C121" t="s">
        <v>22</v>
      </c>
      <c r="D121">
        <v>9.7615706896547555E-2</v>
      </c>
      <c r="E121" t="s">
        <v>6</v>
      </c>
      <c r="G121" t="s">
        <v>551</v>
      </c>
      <c r="H121" t="s">
        <v>22</v>
      </c>
      <c r="I121">
        <v>1.3975190879391104E-2</v>
      </c>
      <c r="J121" t="s">
        <v>6</v>
      </c>
      <c r="L121" t="s">
        <v>552</v>
      </c>
      <c r="M121" t="s">
        <v>22</v>
      </c>
      <c r="N121">
        <v>1.8121245946706343E-2</v>
      </c>
      <c r="O121" t="s">
        <v>6</v>
      </c>
    </row>
    <row r="122" spans="2:15" x14ac:dyDescent="0.45">
      <c r="B122" t="s">
        <v>550</v>
      </c>
      <c r="C122" t="s">
        <v>23</v>
      </c>
      <c r="D122">
        <v>0.11464010349159437</v>
      </c>
      <c r="E122" t="s">
        <v>6</v>
      </c>
      <c r="G122" t="s">
        <v>551</v>
      </c>
      <c r="H122" t="s">
        <v>23</v>
      </c>
      <c r="I122">
        <v>1.6222582831835062E-2</v>
      </c>
      <c r="J122" t="s">
        <v>6</v>
      </c>
      <c r="L122" t="s">
        <v>552</v>
      </c>
      <c r="M122" t="s">
        <v>23</v>
      </c>
      <c r="N122">
        <v>1.63038262575502E-2</v>
      </c>
      <c r="O122" t="s">
        <v>6</v>
      </c>
    </row>
    <row r="123" spans="2:15" x14ac:dyDescent="0.45">
      <c r="B123" t="s">
        <v>550</v>
      </c>
      <c r="C123" t="s">
        <v>24</v>
      </c>
      <c r="D123">
        <v>6.9380428309003567E-2</v>
      </c>
      <c r="E123" t="s">
        <v>6</v>
      </c>
      <c r="G123" t="s">
        <v>551</v>
      </c>
      <c r="H123" t="s">
        <v>24</v>
      </c>
      <c r="I123">
        <v>1.4576060827381906E-2</v>
      </c>
      <c r="J123" t="s">
        <v>6</v>
      </c>
      <c r="L123" t="s">
        <v>552</v>
      </c>
      <c r="M123" t="s">
        <v>24</v>
      </c>
      <c r="N123">
        <v>2.1826780109255751E-2</v>
      </c>
      <c r="O123" t="s">
        <v>6</v>
      </c>
    </row>
    <row r="124" spans="2:15" x14ac:dyDescent="0.45">
      <c r="B124" t="s">
        <v>550</v>
      </c>
      <c r="C124" t="s">
        <v>25</v>
      </c>
      <c r="D124">
        <v>7.0153755732018453E-3</v>
      </c>
      <c r="E124" t="s">
        <v>6</v>
      </c>
      <c r="G124" t="s">
        <v>551</v>
      </c>
      <c r="H124" t="s">
        <v>25</v>
      </c>
      <c r="I124">
        <v>1.036711873070602E-2</v>
      </c>
      <c r="J124" t="s">
        <v>6</v>
      </c>
      <c r="L124" t="s">
        <v>552</v>
      </c>
      <c r="M124" t="s">
        <v>25</v>
      </c>
      <c r="N124">
        <v>2.4250378973979858E-2</v>
      </c>
      <c r="O124" t="s">
        <v>6</v>
      </c>
    </row>
    <row r="125" spans="2:15" x14ac:dyDescent="0.45">
      <c r="B125" t="s">
        <v>550</v>
      </c>
      <c r="C125" t="s">
        <v>26</v>
      </c>
      <c r="D125">
        <v>0</v>
      </c>
      <c r="E125" t="s">
        <v>6</v>
      </c>
      <c r="G125" t="s">
        <v>551</v>
      </c>
      <c r="H125" t="s">
        <v>26</v>
      </c>
      <c r="I125">
        <v>0.10035156555035528</v>
      </c>
      <c r="J125" t="s">
        <v>6</v>
      </c>
      <c r="L125" t="s">
        <v>552</v>
      </c>
      <c r="M125" t="s">
        <v>26</v>
      </c>
      <c r="N125">
        <v>8.7374238451427208E-2</v>
      </c>
      <c r="O125" t="s">
        <v>6</v>
      </c>
    </row>
    <row r="126" spans="2:15" x14ac:dyDescent="0.45">
      <c r="B126" t="s">
        <v>550</v>
      </c>
      <c r="C126" t="s">
        <v>27</v>
      </c>
      <c r="D126">
        <v>1.211581281309302E-2</v>
      </c>
      <c r="E126" t="s">
        <v>6</v>
      </c>
      <c r="G126" t="s">
        <v>551</v>
      </c>
      <c r="H126" t="s">
        <v>27</v>
      </c>
      <c r="I126">
        <v>4.7719566687634413E-2</v>
      </c>
      <c r="J126" t="s">
        <v>6</v>
      </c>
      <c r="L126" t="s">
        <v>552</v>
      </c>
      <c r="M126" t="s">
        <v>27</v>
      </c>
      <c r="N126">
        <v>4.2794591052366743E-2</v>
      </c>
      <c r="O126" t="s">
        <v>6</v>
      </c>
    </row>
    <row r="127" spans="2:15" x14ac:dyDescent="0.45">
      <c r="B127" t="s">
        <v>550</v>
      </c>
      <c r="C127" t="s">
        <v>28</v>
      </c>
      <c r="D127">
        <v>7.6121058205773695E-2</v>
      </c>
      <c r="E127" t="s">
        <v>6</v>
      </c>
      <c r="G127" t="s">
        <v>551</v>
      </c>
      <c r="H127" t="s">
        <v>28</v>
      </c>
      <c r="I127">
        <v>3.5322126291323488E-2</v>
      </c>
      <c r="J127" t="s">
        <v>6</v>
      </c>
      <c r="L127" t="s">
        <v>552</v>
      </c>
      <c r="M127" t="s">
        <v>28</v>
      </c>
      <c r="N127">
        <v>3.2238436318613388E-2</v>
      </c>
      <c r="O127" t="s">
        <v>6</v>
      </c>
    </row>
    <row r="128" spans="2:15" x14ac:dyDescent="0.45">
      <c r="B128" t="s">
        <v>550</v>
      </c>
      <c r="C128" t="s">
        <v>29</v>
      </c>
      <c r="D128">
        <v>9.0274514651207824E-2</v>
      </c>
      <c r="E128" t="s">
        <v>6</v>
      </c>
      <c r="G128" t="s">
        <v>551</v>
      </c>
      <c r="H128" t="s">
        <v>29</v>
      </c>
      <c r="I128">
        <v>3.7184699821944993E-2</v>
      </c>
      <c r="J128" t="s">
        <v>6</v>
      </c>
      <c r="L128" t="s">
        <v>552</v>
      </c>
      <c r="M128" t="s">
        <v>29</v>
      </c>
      <c r="N128">
        <v>3.070827912798247E-2</v>
      </c>
      <c r="O128" t="s">
        <v>6</v>
      </c>
    </row>
    <row r="129" spans="2:15" x14ac:dyDescent="0.45">
      <c r="B129" t="s">
        <v>550</v>
      </c>
      <c r="C129" t="s">
        <v>30</v>
      </c>
      <c r="D129">
        <v>3.8892261938559401E-2</v>
      </c>
      <c r="E129" t="s">
        <v>6</v>
      </c>
      <c r="G129" t="s">
        <v>551</v>
      </c>
      <c r="H129" t="s">
        <v>30</v>
      </c>
      <c r="I129">
        <v>3.8806297480369706E-2</v>
      </c>
      <c r="J129" t="s">
        <v>6</v>
      </c>
      <c r="L129" t="s">
        <v>552</v>
      </c>
      <c r="M129" t="s">
        <v>30</v>
      </c>
      <c r="N129">
        <v>3.1625783740822845E-2</v>
      </c>
      <c r="O129" t="s">
        <v>6</v>
      </c>
    </row>
    <row r="130" spans="2:15" x14ac:dyDescent="0.45">
      <c r="B130" t="s">
        <v>550</v>
      </c>
      <c r="C130" t="s">
        <v>31</v>
      </c>
      <c r="D130">
        <v>4.9668679391339269E-4</v>
      </c>
      <c r="E130" t="s">
        <v>6</v>
      </c>
      <c r="G130" t="s">
        <v>551</v>
      </c>
      <c r="H130" t="s">
        <v>31</v>
      </c>
      <c r="I130">
        <v>3.7810766464126309E-2</v>
      </c>
      <c r="J130" t="s">
        <v>6</v>
      </c>
      <c r="L130" t="s">
        <v>552</v>
      </c>
      <c r="M130" t="s">
        <v>31</v>
      </c>
      <c r="N130">
        <v>3.4130424583563065E-2</v>
      </c>
      <c r="O130" t="s">
        <v>6</v>
      </c>
    </row>
    <row r="131" spans="2:15" x14ac:dyDescent="0.45">
      <c r="B131" t="s">
        <v>553</v>
      </c>
      <c r="C131" t="s">
        <v>5</v>
      </c>
      <c r="D131">
        <v>0</v>
      </c>
      <c r="E131" t="s">
        <v>6</v>
      </c>
      <c r="G131" t="s">
        <v>554</v>
      </c>
      <c r="H131" t="s">
        <v>5</v>
      </c>
      <c r="I131">
        <v>9.103843605344325E-2</v>
      </c>
      <c r="J131" t="s">
        <v>6</v>
      </c>
      <c r="L131" t="s">
        <v>555</v>
      </c>
      <c r="M131" t="s">
        <v>5</v>
      </c>
      <c r="N131">
        <v>9.9130015749926997E-2</v>
      </c>
      <c r="O131" t="s">
        <v>6</v>
      </c>
    </row>
    <row r="132" spans="2:15" x14ac:dyDescent="0.45">
      <c r="B132" t="s">
        <v>553</v>
      </c>
      <c r="C132" t="s">
        <v>9</v>
      </c>
      <c r="D132">
        <v>1.6330667551228847E-3</v>
      </c>
      <c r="E132" t="s">
        <v>6</v>
      </c>
      <c r="G132" t="s">
        <v>554</v>
      </c>
      <c r="H132" t="s">
        <v>9</v>
      </c>
      <c r="I132">
        <v>5.2660130812254138E-2</v>
      </c>
      <c r="J132" t="s">
        <v>6</v>
      </c>
      <c r="L132" t="s">
        <v>555</v>
      </c>
      <c r="M132" t="s">
        <v>9</v>
      </c>
      <c r="N132">
        <v>5.096602010919566E-2</v>
      </c>
      <c r="O132" t="s">
        <v>6</v>
      </c>
    </row>
    <row r="133" spans="2:15" x14ac:dyDescent="0.45">
      <c r="B133" t="s">
        <v>553</v>
      </c>
      <c r="C133" t="s">
        <v>10</v>
      </c>
      <c r="D133">
        <v>5.1676867896977306E-2</v>
      </c>
      <c r="E133" t="s">
        <v>6</v>
      </c>
      <c r="G133" t="s">
        <v>554</v>
      </c>
      <c r="H133" t="s">
        <v>10</v>
      </c>
      <c r="I133">
        <v>3.3496610764924592E-2</v>
      </c>
      <c r="J133" t="s">
        <v>6</v>
      </c>
      <c r="L133" t="s">
        <v>555</v>
      </c>
      <c r="M133" t="s">
        <v>10</v>
      </c>
      <c r="N133">
        <v>3.7659873170829201E-2</v>
      </c>
      <c r="O133" t="s">
        <v>6</v>
      </c>
    </row>
    <row r="134" spans="2:15" x14ac:dyDescent="0.45">
      <c r="B134" t="s">
        <v>553</v>
      </c>
      <c r="C134" t="s">
        <v>11</v>
      </c>
      <c r="D134">
        <v>7.9829878114418509E-2</v>
      </c>
      <c r="E134" t="s">
        <v>6</v>
      </c>
      <c r="G134" t="s">
        <v>554</v>
      </c>
      <c r="H134" t="s">
        <v>11</v>
      </c>
      <c r="I134">
        <v>3.5529020040838764E-2</v>
      </c>
      <c r="J134" t="s">
        <v>6</v>
      </c>
      <c r="L134" t="s">
        <v>555</v>
      </c>
      <c r="M134" t="s">
        <v>11</v>
      </c>
      <c r="N134">
        <v>3.4698140795811426E-2</v>
      </c>
      <c r="O134" t="s">
        <v>6</v>
      </c>
    </row>
    <row r="135" spans="2:15" x14ac:dyDescent="0.45">
      <c r="B135" t="s">
        <v>553</v>
      </c>
      <c r="C135" t="s">
        <v>12</v>
      </c>
      <c r="D135">
        <v>3.5110037474648394E-2</v>
      </c>
      <c r="E135" t="s">
        <v>6</v>
      </c>
      <c r="G135" t="s">
        <v>554</v>
      </c>
      <c r="H135" t="s">
        <v>12</v>
      </c>
      <c r="I135">
        <v>3.5419202315010473E-2</v>
      </c>
      <c r="J135" t="s">
        <v>6</v>
      </c>
      <c r="L135" t="s">
        <v>555</v>
      </c>
      <c r="M135" t="s">
        <v>12</v>
      </c>
      <c r="N135">
        <v>3.5120234280076379E-2</v>
      </c>
      <c r="O135" t="s">
        <v>6</v>
      </c>
    </row>
    <row r="136" spans="2:15" x14ac:dyDescent="0.45">
      <c r="B136" t="s">
        <v>553</v>
      </c>
      <c r="C136" t="s">
        <v>13</v>
      </c>
      <c r="D136">
        <v>2.0032050306634144E-4</v>
      </c>
      <c r="E136" t="s">
        <v>6</v>
      </c>
      <c r="G136" t="s">
        <v>554</v>
      </c>
      <c r="H136" t="s">
        <v>13</v>
      </c>
      <c r="I136">
        <v>3.1747460665566489E-2</v>
      </c>
      <c r="J136" t="s">
        <v>6</v>
      </c>
      <c r="L136" t="s">
        <v>555</v>
      </c>
      <c r="M136" t="s">
        <v>13</v>
      </c>
      <c r="N136">
        <v>3.6486928833141807E-2</v>
      </c>
      <c r="O136" t="s">
        <v>6</v>
      </c>
    </row>
    <row r="137" spans="2:15" x14ac:dyDescent="0.45">
      <c r="B137" t="s">
        <v>553</v>
      </c>
      <c r="C137" t="s">
        <v>14</v>
      </c>
      <c r="D137">
        <v>0</v>
      </c>
      <c r="E137" t="s">
        <v>6</v>
      </c>
      <c r="G137" t="s">
        <v>554</v>
      </c>
      <c r="H137" t="s">
        <v>14</v>
      </c>
      <c r="I137">
        <v>8.3557229940562083E-2</v>
      </c>
      <c r="J137" t="s">
        <v>6</v>
      </c>
      <c r="L137" t="s">
        <v>555</v>
      </c>
      <c r="M137" t="s">
        <v>14</v>
      </c>
      <c r="N137">
        <v>9.1344255170295763E-2</v>
      </c>
      <c r="O137" t="s">
        <v>6</v>
      </c>
    </row>
    <row r="138" spans="2:15" x14ac:dyDescent="0.45">
      <c r="B138" t="s">
        <v>553</v>
      </c>
      <c r="C138" t="s">
        <v>15</v>
      </c>
      <c r="D138">
        <v>1.6995362671186585E-2</v>
      </c>
      <c r="E138" t="s">
        <v>6</v>
      </c>
      <c r="G138" t="s">
        <v>554</v>
      </c>
      <c r="H138" t="s">
        <v>15</v>
      </c>
      <c r="I138">
        <v>4.9384268095445043E-2</v>
      </c>
      <c r="J138" t="s">
        <v>6</v>
      </c>
      <c r="L138" t="s">
        <v>555</v>
      </c>
      <c r="M138" t="s">
        <v>15</v>
      </c>
      <c r="N138">
        <v>4.9594484573095593E-2</v>
      </c>
      <c r="O138" t="s">
        <v>6</v>
      </c>
    </row>
    <row r="139" spans="2:15" x14ac:dyDescent="0.45">
      <c r="B139" t="s">
        <v>553</v>
      </c>
      <c r="C139" t="s">
        <v>16</v>
      </c>
      <c r="D139">
        <v>8.8605541509110916E-2</v>
      </c>
      <c r="E139" t="s">
        <v>6</v>
      </c>
      <c r="G139" t="s">
        <v>554</v>
      </c>
      <c r="H139" t="s">
        <v>16</v>
      </c>
      <c r="I139">
        <v>4.3093248832058853E-2</v>
      </c>
      <c r="J139" t="s">
        <v>6</v>
      </c>
      <c r="L139" t="s">
        <v>555</v>
      </c>
      <c r="M139" t="s">
        <v>16</v>
      </c>
      <c r="N139">
        <v>3.9348609159193679E-2</v>
      </c>
      <c r="O139" t="s">
        <v>6</v>
      </c>
    </row>
    <row r="140" spans="2:15" x14ac:dyDescent="0.45">
      <c r="B140" t="s">
        <v>553</v>
      </c>
      <c r="C140" t="s">
        <v>17</v>
      </c>
      <c r="D140">
        <v>0.11213203361836385</v>
      </c>
      <c r="E140" t="s">
        <v>6</v>
      </c>
      <c r="G140" t="s">
        <v>554</v>
      </c>
      <c r="H140" t="s">
        <v>17</v>
      </c>
      <c r="I140">
        <v>4.5563913293433421E-2</v>
      </c>
      <c r="J140" t="s">
        <v>6</v>
      </c>
      <c r="L140" t="s">
        <v>555</v>
      </c>
      <c r="M140" t="s">
        <v>17</v>
      </c>
      <c r="N140">
        <v>4.0659620422665591E-2</v>
      </c>
      <c r="O140" t="s">
        <v>6</v>
      </c>
    </row>
    <row r="141" spans="2:15" x14ac:dyDescent="0.45">
      <c r="B141" t="s">
        <v>553</v>
      </c>
      <c r="C141" t="s">
        <v>18</v>
      </c>
      <c r="D141">
        <v>6.5810236415433668E-2</v>
      </c>
      <c r="E141" t="s">
        <v>6</v>
      </c>
      <c r="G141" t="s">
        <v>554</v>
      </c>
      <c r="H141" t="s">
        <v>18</v>
      </c>
      <c r="I141">
        <v>4.1221497311264253E-2</v>
      </c>
      <c r="J141" t="s">
        <v>6</v>
      </c>
      <c r="L141" t="s">
        <v>555</v>
      </c>
      <c r="M141" t="s">
        <v>18</v>
      </c>
      <c r="N141">
        <v>4.2463775596566888E-2</v>
      </c>
      <c r="O141" t="s">
        <v>6</v>
      </c>
    </row>
    <row r="142" spans="2:15" x14ac:dyDescent="0.45">
      <c r="B142" t="s">
        <v>553</v>
      </c>
      <c r="C142" t="s">
        <v>19</v>
      </c>
      <c r="D142">
        <v>5.1498954808346592E-3</v>
      </c>
      <c r="E142" t="s">
        <v>6</v>
      </c>
      <c r="G142" t="s">
        <v>554</v>
      </c>
      <c r="H142" t="s">
        <v>19</v>
      </c>
      <c r="I142">
        <v>3.3540237832029945E-2</v>
      </c>
      <c r="J142" t="s">
        <v>6</v>
      </c>
      <c r="L142" t="s">
        <v>555</v>
      </c>
      <c r="M142" t="s">
        <v>19</v>
      </c>
      <c r="N142">
        <v>4.084700729480413E-2</v>
      </c>
      <c r="O142" t="s">
        <v>6</v>
      </c>
    </row>
    <row r="143" spans="2:15" x14ac:dyDescent="0.45">
      <c r="B143" t="s">
        <v>553</v>
      </c>
      <c r="C143" t="s">
        <v>20</v>
      </c>
      <c r="D143">
        <v>0</v>
      </c>
      <c r="E143" t="s">
        <v>6</v>
      </c>
      <c r="G143" t="s">
        <v>554</v>
      </c>
      <c r="H143" t="s">
        <v>20</v>
      </c>
      <c r="I143">
        <v>3.1404331305263017E-2</v>
      </c>
      <c r="J143" t="s">
        <v>6</v>
      </c>
      <c r="L143" t="s">
        <v>555</v>
      </c>
      <c r="M143" t="s">
        <v>20</v>
      </c>
      <c r="N143">
        <v>4.0099819934638722E-2</v>
      </c>
      <c r="O143" t="s">
        <v>6</v>
      </c>
    </row>
    <row r="144" spans="2:15" x14ac:dyDescent="0.45">
      <c r="B144" t="s">
        <v>553</v>
      </c>
      <c r="C144" t="s">
        <v>21</v>
      </c>
      <c r="D144">
        <v>2.4286753150722557E-2</v>
      </c>
      <c r="E144" t="s">
        <v>6</v>
      </c>
      <c r="G144" t="s">
        <v>554</v>
      </c>
      <c r="H144" t="s">
        <v>21</v>
      </c>
      <c r="I144">
        <v>1.2500570314051444E-2</v>
      </c>
      <c r="J144" t="s">
        <v>6</v>
      </c>
      <c r="L144" t="s">
        <v>555</v>
      </c>
      <c r="M144" t="s">
        <v>21</v>
      </c>
      <c r="N144">
        <v>1.7948947637233963E-2</v>
      </c>
      <c r="O144" t="s">
        <v>6</v>
      </c>
    </row>
    <row r="145" spans="2:15" x14ac:dyDescent="0.45">
      <c r="B145" t="s">
        <v>553</v>
      </c>
      <c r="C145" t="s">
        <v>22</v>
      </c>
      <c r="D145">
        <v>0.10086856449127743</v>
      </c>
      <c r="E145" t="s">
        <v>6</v>
      </c>
      <c r="G145" t="s">
        <v>554</v>
      </c>
      <c r="H145" t="s">
        <v>22</v>
      </c>
      <c r="I145">
        <v>1.2171858160132939E-2</v>
      </c>
      <c r="J145" t="s">
        <v>6</v>
      </c>
      <c r="L145" t="s">
        <v>555</v>
      </c>
      <c r="M145" t="s">
        <v>22</v>
      </c>
      <c r="N145">
        <v>1.0021338774640141E-2</v>
      </c>
      <c r="O145" t="s">
        <v>6</v>
      </c>
    </row>
    <row r="146" spans="2:15" x14ac:dyDescent="0.45">
      <c r="B146" t="s">
        <v>553</v>
      </c>
      <c r="C146" t="s">
        <v>23</v>
      </c>
      <c r="D146">
        <v>0.11992003486076698</v>
      </c>
      <c r="E146" t="s">
        <v>6</v>
      </c>
      <c r="G146" t="s">
        <v>554</v>
      </c>
      <c r="H146" t="s">
        <v>23</v>
      </c>
      <c r="I146">
        <v>1.6282458405222532E-2</v>
      </c>
      <c r="J146" t="s">
        <v>6</v>
      </c>
      <c r="L146" t="s">
        <v>555</v>
      </c>
      <c r="M146" t="s">
        <v>23</v>
      </c>
      <c r="N146">
        <v>1.1466398055781073E-2</v>
      </c>
      <c r="O146" t="s">
        <v>6</v>
      </c>
    </row>
    <row r="147" spans="2:15" x14ac:dyDescent="0.45">
      <c r="B147" t="s">
        <v>553</v>
      </c>
      <c r="C147" t="s">
        <v>24</v>
      </c>
      <c r="D147">
        <v>7.2459257638117169E-2</v>
      </c>
      <c r="E147" t="s">
        <v>6</v>
      </c>
      <c r="G147" t="s">
        <v>554</v>
      </c>
      <c r="H147" t="s">
        <v>24</v>
      </c>
      <c r="I147">
        <v>2.4684533530218437E-2</v>
      </c>
      <c r="J147" t="s">
        <v>6</v>
      </c>
      <c r="L147" t="s">
        <v>555</v>
      </c>
      <c r="M147" t="s">
        <v>24</v>
      </c>
      <c r="N147">
        <v>1.8908533959239596E-2</v>
      </c>
      <c r="O147" t="s">
        <v>6</v>
      </c>
    </row>
    <row r="148" spans="2:15" x14ac:dyDescent="0.45">
      <c r="B148" t="s">
        <v>553</v>
      </c>
      <c r="C148" t="s">
        <v>25</v>
      </c>
      <c r="D148">
        <v>8.6191496844159124E-3</v>
      </c>
      <c r="E148" t="s">
        <v>6</v>
      </c>
      <c r="G148" t="s">
        <v>554</v>
      </c>
      <c r="H148" t="s">
        <v>25</v>
      </c>
      <c r="I148">
        <v>2.1520984281834188E-2</v>
      </c>
      <c r="J148" t="s">
        <v>6</v>
      </c>
      <c r="L148" t="s">
        <v>555</v>
      </c>
      <c r="M148" t="s">
        <v>25</v>
      </c>
      <c r="N148">
        <v>1.9731012664835217E-2</v>
      </c>
      <c r="O148" t="s">
        <v>6</v>
      </c>
    </row>
    <row r="149" spans="2:15" x14ac:dyDescent="0.45">
      <c r="B149" t="s">
        <v>553</v>
      </c>
      <c r="C149" t="s">
        <v>26</v>
      </c>
      <c r="D149">
        <v>0</v>
      </c>
      <c r="E149" t="s">
        <v>6</v>
      </c>
      <c r="G149" t="s">
        <v>554</v>
      </c>
      <c r="H149" t="s">
        <v>26</v>
      </c>
      <c r="I149">
        <v>9.7023354872709633E-2</v>
      </c>
      <c r="J149" t="s">
        <v>6</v>
      </c>
      <c r="L149" t="s">
        <v>555</v>
      </c>
      <c r="M149" t="s">
        <v>26</v>
      </c>
      <c r="N149">
        <v>9.4645951846216145E-2</v>
      </c>
      <c r="O149" t="s">
        <v>6</v>
      </c>
    </row>
    <row r="150" spans="2:15" x14ac:dyDescent="0.45">
      <c r="B150" t="s">
        <v>553</v>
      </c>
      <c r="C150" t="s">
        <v>27</v>
      </c>
      <c r="D150">
        <v>9.2618174914063881E-3</v>
      </c>
      <c r="E150" t="s">
        <v>6</v>
      </c>
      <c r="G150" t="s">
        <v>554</v>
      </c>
      <c r="H150" t="s">
        <v>27</v>
      </c>
      <c r="I150">
        <v>4.9477855547928523E-2</v>
      </c>
      <c r="J150" t="s">
        <v>6</v>
      </c>
      <c r="L150" t="s">
        <v>555</v>
      </c>
      <c r="M150" t="s">
        <v>27</v>
      </c>
      <c r="N150">
        <v>4.5101887031667641E-2</v>
      </c>
      <c r="O150" t="s">
        <v>6</v>
      </c>
    </row>
    <row r="151" spans="2:15" x14ac:dyDescent="0.45">
      <c r="B151" t="s">
        <v>553</v>
      </c>
      <c r="C151" t="s">
        <v>28</v>
      </c>
      <c r="D151">
        <v>7.1445175342012945E-2</v>
      </c>
      <c r="E151" t="s">
        <v>6</v>
      </c>
      <c r="G151" t="s">
        <v>554</v>
      </c>
      <c r="H151" t="s">
        <v>28</v>
      </c>
      <c r="I151">
        <v>3.4795197861413399E-2</v>
      </c>
      <c r="J151" t="s">
        <v>6</v>
      </c>
      <c r="L151" t="s">
        <v>555</v>
      </c>
      <c r="M151" t="s">
        <v>28</v>
      </c>
      <c r="N151">
        <v>3.3738437346311052E-2</v>
      </c>
      <c r="O151" t="s">
        <v>6</v>
      </c>
    </row>
    <row r="152" spans="2:15" x14ac:dyDescent="0.45">
      <c r="B152" t="s">
        <v>553</v>
      </c>
      <c r="C152" t="s">
        <v>29</v>
      </c>
      <c r="D152">
        <v>9.2687022106033898E-2</v>
      </c>
      <c r="E152" t="s">
        <v>6</v>
      </c>
      <c r="G152" t="s">
        <v>554</v>
      </c>
      <c r="H152" t="s">
        <v>29</v>
      </c>
      <c r="I152">
        <v>4.0032933635621618E-2</v>
      </c>
      <c r="J152" t="s">
        <v>6</v>
      </c>
      <c r="L152" t="s">
        <v>555</v>
      </c>
      <c r="M152" t="s">
        <v>29</v>
      </c>
      <c r="N152">
        <v>3.5171915931942223E-2</v>
      </c>
      <c r="O152" t="s">
        <v>6</v>
      </c>
    </row>
    <row r="153" spans="2:15" x14ac:dyDescent="0.45">
      <c r="B153" t="s">
        <v>553</v>
      </c>
      <c r="C153" t="s">
        <v>30</v>
      </c>
      <c r="D153">
        <v>4.2483908015066983E-2</v>
      </c>
      <c r="E153" t="s">
        <v>6</v>
      </c>
      <c r="G153" t="s">
        <v>554</v>
      </c>
      <c r="H153" t="s">
        <v>30</v>
      </c>
      <c r="I153">
        <v>4.2483453312750066E-2</v>
      </c>
      <c r="J153" t="s">
        <v>6</v>
      </c>
      <c r="L153" t="s">
        <v>555</v>
      </c>
      <c r="M153" t="s">
        <v>30</v>
      </c>
      <c r="N153">
        <v>3.7117050046864851E-2</v>
      </c>
      <c r="O153" t="s">
        <v>6</v>
      </c>
    </row>
    <row r="154" spans="2:15" x14ac:dyDescent="0.45">
      <c r="B154" t="s">
        <v>553</v>
      </c>
      <c r="C154" t="s">
        <v>31</v>
      </c>
      <c r="D154">
        <v>8.2507678101368081E-4</v>
      </c>
      <c r="E154" t="s">
        <v>6</v>
      </c>
      <c r="G154" t="s">
        <v>554</v>
      </c>
      <c r="H154" t="s">
        <v>31</v>
      </c>
      <c r="I154">
        <v>4.1371212816020179E-2</v>
      </c>
      <c r="J154" t="s">
        <v>6</v>
      </c>
      <c r="L154" t="s">
        <v>555</v>
      </c>
      <c r="M154" t="s">
        <v>31</v>
      </c>
      <c r="N154">
        <v>3.7729741615027151E-2</v>
      </c>
      <c r="O154" t="s">
        <v>6</v>
      </c>
    </row>
    <row r="155" spans="2:15" x14ac:dyDescent="0.45">
      <c r="B155" t="s">
        <v>556</v>
      </c>
      <c r="C155" t="s">
        <v>5</v>
      </c>
      <c r="D155">
        <v>0</v>
      </c>
      <c r="E155" t="s">
        <v>6</v>
      </c>
      <c r="G155" t="s">
        <v>557</v>
      </c>
      <c r="H155" t="s">
        <v>5</v>
      </c>
      <c r="I155">
        <v>9.7591205859583682E-2</v>
      </c>
      <c r="J155" t="s">
        <v>6</v>
      </c>
      <c r="L155" t="s">
        <v>558</v>
      </c>
      <c r="M155" t="s">
        <v>5</v>
      </c>
      <c r="N155">
        <v>9.7062442989216874E-2</v>
      </c>
      <c r="O155" t="s">
        <v>6</v>
      </c>
    </row>
    <row r="156" spans="2:15" x14ac:dyDescent="0.45">
      <c r="B156" t="s">
        <v>556</v>
      </c>
      <c r="C156" t="s">
        <v>9</v>
      </c>
      <c r="D156">
        <v>3.3633413142974771E-3</v>
      </c>
      <c r="E156" t="s">
        <v>6</v>
      </c>
      <c r="G156" t="s">
        <v>557</v>
      </c>
      <c r="H156" t="s">
        <v>9</v>
      </c>
      <c r="I156">
        <v>5.5229547836224267E-2</v>
      </c>
      <c r="J156" t="s">
        <v>6</v>
      </c>
      <c r="L156" t="s">
        <v>558</v>
      </c>
      <c r="M156" t="s">
        <v>9</v>
      </c>
      <c r="N156">
        <v>4.6353949898312034E-2</v>
      </c>
      <c r="O156" t="s">
        <v>6</v>
      </c>
    </row>
    <row r="157" spans="2:15" x14ac:dyDescent="0.45">
      <c r="B157" t="s">
        <v>556</v>
      </c>
      <c r="C157" t="s">
        <v>10</v>
      </c>
      <c r="D157">
        <v>5.6105416196309356E-2</v>
      </c>
      <c r="E157" t="s">
        <v>6</v>
      </c>
      <c r="G157" t="s">
        <v>557</v>
      </c>
      <c r="H157" t="s">
        <v>10</v>
      </c>
      <c r="I157">
        <v>3.7946101852126553E-2</v>
      </c>
      <c r="J157" t="s">
        <v>6</v>
      </c>
      <c r="L157" t="s">
        <v>558</v>
      </c>
      <c r="M157" t="s">
        <v>10</v>
      </c>
      <c r="N157">
        <v>3.446536850195888E-2</v>
      </c>
      <c r="O157" t="s">
        <v>6</v>
      </c>
    </row>
    <row r="158" spans="2:15" x14ac:dyDescent="0.45">
      <c r="B158" t="s">
        <v>556</v>
      </c>
      <c r="C158" t="s">
        <v>11</v>
      </c>
      <c r="D158">
        <v>7.9791060743055017E-2</v>
      </c>
      <c r="E158" t="s">
        <v>6</v>
      </c>
      <c r="G158" t="s">
        <v>557</v>
      </c>
      <c r="H158" t="s">
        <v>11</v>
      </c>
      <c r="I158">
        <v>3.6746636320102354E-2</v>
      </c>
      <c r="J158" t="s">
        <v>6</v>
      </c>
      <c r="L158" t="s">
        <v>558</v>
      </c>
      <c r="M158" t="s">
        <v>11</v>
      </c>
      <c r="N158">
        <v>3.3542397319742949E-2</v>
      </c>
      <c r="O158" t="s">
        <v>6</v>
      </c>
    </row>
    <row r="159" spans="2:15" x14ac:dyDescent="0.45">
      <c r="B159" t="s">
        <v>556</v>
      </c>
      <c r="C159" t="s">
        <v>12</v>
      </c>
      <c r="D159">
        <v>3.0614524468918523E-2</v>
      </c>
      <c r="E159" t="s">
        <v>6</v>
      </c>
      <c r="G159" t="s">
        <v>557</v>
      </c>
      <c r="H159" t="s">
        <v>12</v>
      </c>
      <c r="I159">
        <v>3.5565405320021545E-2</v>
      </c>
      <c r="J159" t="s">
        <v>6</v>
      </c>
      <c r="L159" t="s">
        <v>558</v>
      </c>
      <c r="M159" t="s">
        <v>12</v>
      </c>
      <c r="N159">
        <v>3.5009930619482647E-2</v>
      </c>
      <c r="O159" t="s">
        <v>6</v>
      </c>
    </row>
    <row r="160" spans="2:15" x14ac:dyDescent="0.45">
      <c r="B160" t="s">
        <v>556</v>
      </c>
      <c r="C160" t="s">
        <v>13</v>
      </c>
      <c r="D160">
        <v>4.9229141066608426E-5</v>
      </c>
      <c r="E160" t="s">
        <v>6</v>
      </c>
      <c r="G160" t="s">
        <v>557</v>
      </c>
      <c r="H160" t="s">
        <v>13</v>
      </c>
      <c r="I160">
        <v>3.2412636445317985E-2</v>
      </c>
      <c r="J160" t="s">
        <v>6</v>
      </c>
      <c r="L160" t="s">
        <v>558</v>
      </c>
      <c r="M160" t="s">
        <v>13</v>
      </c>
      <c r="N160">
        <v>3.6726804310824403E-2</v>
      </c>
      <c r="O160" t="s">
        <v>6</v>
      </c>
    </row>
    <row r="161" spans="2:15" x14ac:dyDescent="0.45">
      <c r="B161" t="s">
        <v>556</v>
      </c>
      <c r="C161" t="s">
        <v>14</v>
      </c>
      <c r="D161">
        <v>0</v>
      </c>
      <c r="E161" t="s">
        <v>6</v>
      </c>
      <c r="G161" t="s">
        <v>557</v>
      </c>
      <c r="H161" t="s">
        <v>14</v>
      </c>
      <c r="I161">
        <v>0.10027898939058662</v>
      </c>
      <c r="J161" t="s">
        <v>6</v>
      </c>
      <c r="L161" t="s">
        <v>558</v>
      </c>
      <c r="M161" t="s">
        <v>14</v>
      </c>
      <c r="N161">
        <v>0.10765823760901065</v>
      </c>
      <c r="O161" t="s">
        <v>6</v>
      </c>
    </row>
    <row r="162" spans="2:15" x14ac:dyDescent="0.45">
      <c r="B162" t="s">
        <v>556</v>
      </c>
      <c r="C162" t="s">
        <v>15</v>
      </c>
      <c r="D162">
        <v>2.0769878728400106E-2</v>
      </c>
      <c r="E162" t="s">
        <v>6</v>
      </c>
      <c r="G162" t="s">
        <v>557</v>
      </c>
      <c r="H162" t="s">
        <v>15</v>
      </c>
      <c r="I162">
        <v>5.1140440905320515E-2</v>
      </c>
      <c r="J162" t="s">
        <v>6</v>
      </c>
      <c r="L162" t="s">
        <v>558</v>
      </c>
      <c r="M162" t="s">
        <v>15</v>
      </c>
      <c r="N162">
        <v>5.3800598110987946E-2</v>
      </c>
      <c r="O162" t="s">
        <v>6</v>
      </c>
    </row>
    <row r="163" spans="2:15" x14ac:dyDescent="0.45">
      <c r="B163" t="s">
        <v>556</v>
      </c>
      <c r="C163" t="s">
        <v>16</v>
      </c>
      <c r="D163">
        <v>9.3419996435793642E-2</v>
      </c>
      <c r="E163" t="s">
        <v>6</v>
      </c>
      <c r="G163" t="s">
        <v>557</v>
      </c>
      <c r="H163" t="s">
        <v>16</v>
      </c>
      <c r="I163">
        <v>3.6066810701114088E-2</v>
      </c>
      <c r="J163" t="s">
        <v>6</v>
      </c>
      <c r="L163" t="s">
        <v>558</v>
      </c>
      <c r="M163" t="s">
        <v>16</v>
      </c>
      <c r="N163">
        <v>4.1281829357497135E-2</v>
      </c>
      <c r="O163" t="s">
        <v>6</v>
      </c>
    </row>
    <row r="164" spans="2:15" x14ac:dyDescent="0.45">
      <c r="B164" t="s">
        <v>556</v>
      </c>
      <c r="C164" t="s">
        <v>17</v>
      </c>
      <c r="D164">
        <v>0.1124759615604142</v>
      </c>
      <c r="E164" t="s">
        <v>6</v>
      </c>
      <c r="G164" t="s">
        <v>557</v>
      </c>
      <c r="H164" t="s">
        <v>17</v>
      </c>
      <c r="I164">
        <v>4.0107357794191244E-2</v>
      </c>
      <c r="J164" t="s">
        <v>6</v>
      </c>
      <c r="L164" t="s">
        <v>558</v>
      </c>
      <c r="M164" t="s">
        <v>17</v>
      </c>
      <c r="N164">
        <v>4.1231050891326448E-2</v>
      </c>
      <c r="O164" t="s">
        <v>6</v>
      </c>
    </row>
    <row r="165" spans="2:15" x14ac:dyDescent="0.45">
      <c r="B165" t="s">
        <v>556</v>
      </c>
      <c r="C165" t="s">
        <v>18</v>
      </c>
      <c r="D165">
        <v>6.3409643164648727E-2</v>
      </c>
      <c r="E165" t="s">
        <v>6</v>
      </c>
      <c r="G165" t="s">
        <v>557</v>
      </c>
      <c r="H165" t="s">
        <v>18</v>
      </c>
      <c r="I165">
        <v>4.3972188941290201E-2</v>
      </c>
      <c r="J165" t="s">
        <v>6</v>
      </c>
      <c r="L165" t="s">
        <v>558</v>
      </c>
      <c r="M165" t="s">
        <v>18</v>
      </c>
      <c r="N165">
        <v>4.4239487123180182E-2</v>
      </c>
      <c r="O165" t="s">
        <v>6</v>
      </c>
    </row>
    <row r="166" spans="2:15" x14ac:dyDescent="0.45">
      <c r="B166" t="s">
        <v>556</v>
      </c>
      <c r="C166" t="s">
        <v>19</v>
      </c>
      <c r="D166">
        <v>4.0047752518835439E-3</v>
      </c>
      <c r="E166" t="s">
        <v>6</v>
      </c>
      <c r="G166" t="s">
        <v>557</v>
      </c>
      <c r="H166" t="s">
        <v>19</v>
      </c>
      <c r="I166">
        <v>3.8764129115504628E-2</v>
      </c>
      <c r="J166" t="s">
        <v>6</v>
      </c>
      <c r="L166" t="s">
        <v>558</v>
      </c>
      <c r="M166" t="s">
        <v>19</v>
      </c>
      <c r="N166">
        <v>4.5494162213924778E-2</v>
      </c>
      <c r="O166" t="s">
        <v>6</v>
      </c>
    </row>
    <row r="167" spans="2:15" x14ac:dyDescent="0.45">
      <c r="B167" t="s">
        <v>556</v>
      </c>
      <c r="C167" t="s">
        <v>20</v>
      </c>
      <c r="D167">
        <v>0</v>
      </c>
      <c r="E167" t="s">
        <v>6</v>
      </c>
      <c r="G167" t="s">
        <v>557</v>
      </c>
      <c r="H167" t="s">
        <v>20</v>
      </c>
      <c r="I167">
        <v>5.0934262814310627E-2</v>
      </c>
      <c r="J167" t="s">
        <v>6</v>
      </c>
      <c r="L167" t="s">
        <v>558</v>
      </c>
      <c r="M167" t="s">
        <v>20</v>
      </c>
      <c r="N167">
        <v>4.0337351308532554E-2</v>
      </c>
      <c r="O167" t="s">
        <v>6</v>
      </c>
    </row>
    <row r="168" spans="2:15" x14ac:dyDescent="0.45">
      <c r="B168" t="s">
        <v>556</v>
      </c>
      <c r="C168" t="s">
        <v>21</v>
      </c>
      <c r="D168">
        <v>2.6811967935882627E-2</v>
      </c>
      <c r="E168" t="s">
        <v>6</v>
      </c>
      <c r="G168" t="s">
        <v>557</v>
      </c>
      <c r="H168" t="s">
        <v>21</v>
      </c>
      <c r="I168">
        <v>2.5095490409057782E-2</v>
      </c>
      <c r="J168" t="s">
        <v>6</v>
      </c>
      <c r="L168" t="s">
        <v>558</v>
      </c>
      <c r="M168" t="s">
        <v>21</v>
      </c>
      <c r="N168">
        <v>1.6910069712708101E-2</v>
      </c>
      <c r="O168" t="s">
        <v>6</v>
      </c>
    </row>
    <row r="169" spans="2:15" x14ac:dyDescent="0.45">
      <c r="B169" t="s">
        <v>556</v>
      </c>
      <c r="C169" t="s">
        <v>22</v>
      </c>
      <c r="D169">
        <v>9.9698301201258319E-2</v>
      </c>
      <c r="E169" t="s">
        <v>6</v>
      </c>
      <c r="G169" t="s">
        <v>557</v>
      </c>
      <c r="H169" t="s">
        <v>22</v>
      </c>
      <c r="I169">
        <v>1.5717076975308487E-2</v>
      </c>
      <c r="J169" t="s">
        <v>6</v>
      </c>
      <c r="L169" t="s">
        <v>558</v>
      </c>
      <c r="M169" t="s">
        <v>22</v>
      </c>
      <c r="N169">
        <v>9.8815878426453275E-3</v>
      </c>
      <c r="O169" t="s">
        <v>6</v>
      </c>
    </row>
    <row r="170" spans="2:15" x14ac:dyDescent="0.45">
      <c r="B170" t="s">
        <v>556</v>
      </c>
      <c r="C170" t="s">
        <v>23</v>
      </c>
      <c r="D170">
        <v>0.1161478368216721</v>
      </c>
      <c r="E170" t="s">
        <v>6</v>
      </c>
      <c r="G170" t="s">
        <v>557</v>
      </c>
      <c r="H170" t="s">
        <v>23</v>
      </c>
      <c r="I170">
        <v>1.6491602521496038E-2</v>
      </c>
      <c r="J170" t="s">
        <v>6</v>
      </c>
      <c r="L170" t="s">
        <v>558</v>
      </c>
      <c r="M170" t="s">
        <v>23</v>
      </c>
      <c r="N170">
        <v>1.1966055761368517E-2</v>
      </c>
      <c r="O170" t="s">
        <v>6</v>
      </c>
    </row>
    <row r="171" spans="2:15" x14ac:dyDescent="0.45">
      <c r="B171" t="s">
        <v>556</v>
      </c>
      <c r="C171" t="s">
        <v>24</v>
      </c>
      <c r="D171">
        <v>6.8910650205205537E-2</v>
      </c>
      <c r="E171" t="s">
        <v>6</v>
      </c>
      <c r="G171" t="s">
        <v>557</v>
      </c>
      <c r="H171" t="s">
        <v>24</v>
      </c>
      <c r="I171">
        <v>1.7038602264159219E-2</v>
      </c>
      <c r="J171" t="s">
        <v>6</v>
      </c>
      <c r="L171" t="s">
        <v>558</v>
      </c>
      <c r="M171" t="s">
        <v>24</v>
      </c>
      <c r="N171">
        <v>1.7396981078644552E-2</v>
      </c>
      <c r="O171" t="s">
        <v>6</v>
      </c>
    </row>
    <row r="172" spans="2:15" x14ac:dyDescent="0.45">
      <c r="B172" t="s">
        <v>556</v>
      </c>
      <c r="C172" t="s">
        <v>25</v>
      </c>
      <c r="D172">
        <v>6.9880778205361005E-3</v>
      </c>
      <c r="E172" t="s">
        <v>6</v>
      </c>
      <c r="G172" t="s">
        <v>557</v>
      </c>
      <c r="H172" t="s">
        <v>25</v>
      </c>
      <c r="I172">
        <v>1.4556046816355247E-2</v>
      </c>
      <c r="J172" t="s">
        <v>6</v>
      </c>
      <c r="L172" t="s">
        <v>558</v>
      </c>
      <c r="M172" t="s">
        <v>25</v>
      </c>
      <c r="N172">
        <v>1.8004175806303747E-2</v>
      </c>
      <c r="O172" t="s">
        <v>6</v>
      </c>
    </row>
    <row r="173" spans="2:15" x14ac:dyDescent="0.45">
      <c r="B173" t="s">
        <v>556</v>
      </c>
      <c r="C173" t="s">
        <v>26</v>
      </c>
      <c r="D173">
        <v>0</v>
      </c>
      <c r="E173" t="s">
        <v>6</v>
      </c>
      <c r="G173" t="s">
        <v>557</v>
      </c>
      <c r="H173" t="s">
        <v>26</v>
      </c>
      <c r="I173">
        <v>8.4222592198510471E-2</v>
      </c>
      <c r="J173" t="s">
        <v>6</v>
      </c>
      <c r="L173" t="s">
        <v>558</v>
      </c>
      <c r="M173" t="s">
        <v>26</v>
      </c>
      <c r="N173">
        <v>9.1015738174977157E-2</v>
      </c>
      <c r="O173" t="s">
        <v>6</v>
      </c>
    </row>
    <row r="174" spans="2:15" x14ac:dyDescent="0.45">
      <c r="B174" t="s">
        <v>556</v>
      </c>
      <c r="C174" t="s">
        <v>27</v>
      </c>
      <c r="D174">
        <v>1.2017679682005292E-2</v>
      </c>
      <c r="E174" t="s">
        <v>6</v>
      </c>
      <c r="G174" t="s">
        <v>557</v>
      </c>
      <c r="H174" t="s">
        <v>27</v>
      </c>
      <c r="I174">
        <v>4.1880585733047475E-2</v>
      </c>
      <c r="J174" t="s">
        <v>6</v>
      </c>
      <c r="L174" t="s">
        <v>558</v>
      </c>
      <c r="M174" t="s">
        <v>27</v>
      </c>
      <c r="N174">
        <v>4.2683814347675812E-2</v>
      </c>
      <c r="O174" t="s">
        <v>6</v>
      </c>
    </row>
    <row r="175" spans="2:15" x14ac:dyDescent="0.45">
      <c r="B175" t="s">
        <v>556</v>
      </c>
      <c r="C175" t="s">
        <v>28</v>
      </c>
      <c r="D175">
        <v>7.5510994507794693E-2</v>
      </c>
      <c r="E175" t="s">
        <v>6</v>
      </c>
      <c r="G175" t="s">
        <v>557</v>
      </c>
      <c r="H175" t="s">
        <v>28</v>
      </c>
      <c r="I175">
        <v>2.9310134298502852E-2</v>
      </c>
      <c r="J175" t="s">
        <v>6</v>
      </c>
      <c r="L175" t="s">
        <v>558</v>
      </c>
      <c r="M175" t="s">
        <v>28</v>
      </c>
      <c r="N175">
        <v>3.1506388567088491E-2</v>
      </c>
      <c r="O175" t="s">
        <v>6</v>
      </c>
    </row>
    <row r="176" spans="2:15" x14ac:dyDescent="0.45">
      <c r="B176" t="s">
        <v>556</v>
      </c>
      <c r="C176" t="s">
        <v>29</v>
      </c>
      <c r="D176">
        <v>9.0361533587646717E-2</v>
      </c>
      <c r="E176" t="s">
        <v>6</v>
      </c>
      <c r="G176" t="s">
        <v>557</v>
      </c>
      <c r="H176" t="s">
        <v>29</v>
      </c>
      <c r="I176">
        <v>3.308296080784074E-2</v>
      </c>
      <c r="J176" t="s">
        <v>6</v>
      </c>
      <c r="L176" t="s">
        <v>558</v>
      </c>
      <c r="M176" t="s">
        <v>29</v>
      </c>
      <c r="N176">
        <v>3.2878371101064875E-2</v>
      </c>
      <c r="O176" t="s">
        <v>6</v>
      </c>
    </row>
    <row r="177" spans="2:15" x14ac:dyDescent="0.45">
      <c r="B177" t="s">
        <v>556</v>
      </c>
      <c r="C177" t="s">
        <v>30</v>
      </c>
      <c r="D177">
        <v>3.9035059361610419E-2</v>
      </c>
      <c r="E177" t="s">
        <v>6</v>
      </c>
      <c r="G177" t="s">
        <v>557</v>
      </c>
      <c r="H177" t="s">
        <v>30</v>
      </c>
      <c r="I177">
        <v>3.3713074329039361E-2</v>
      </c>
      <c r="J177" t="s">
        <v>6</v>
      </c>
      <c r="L177" t="s">
        <v>558</v>
      </c>
      <c r="M177" t="s">
        <v>30</v>
      </c>
      <c r="N177">
        <v>3.4839428678598294E-2</v>
      </c>
      <c r="O177" t="s">
        <v>6</v>
      </c>
    </row>
    <row r="178" spans="2:15" x14ac:dyDescent="0.45">
      <c r="B178" t="s">
        <v>556</v>
      </c>
      <c r="C178" t="s">
        <v>31</v>
      </c>
      <c r="D178">
        <v>5.1407187160021578E-4</v>
      </c>
      <c r="E178" t="s">
        <v>6</v>
      </c>
      <c r="G178" t="s">
        <v>557</v>
      </c>
      <c r="H178" t="s">
        <v>31</v>
      </c>
      <c r="I178">
        <v>3.2136120350990796E-2</v>
      </c>
      <c r="J178" t="s">
        <v>6</v>
      </c>
      <c r="L178" t="s">
        <v>558</v>
      </c>
      <c r="M178" t="s">
        <v>31</v>
      </c>
      <c r="N178">
        <v>3.5713778674923514E-2</v>
      </c>
      <c r="O178" t="s">
        <v>6</v>
      </c>
    </row>
    <row r="179" spans="2:15" x14ac:dyDescent="0.45">
      <c r="B179" t="s">
        <v>559</v>
      </c>
      <c r="C179" t="s">
        <v>5</v>
      </c>
      <c r="D179">
        <v>0</v>
      </c>
      <c r="E179" t="s">
        <v>6</v>
      </c>
      <c r="G179" t="s">
        <v>560</v>
      </c>
      <c r="H179" t="s">
        <v>5</v>
      </c>
      <c r="I179">
        <v>9.0606407586343349E-2</v>
      </c>
      <c r="J179" t="s">
        <v>6</v>
      </c>
      <c r="L179" t="s">
        <v>561</v>
      </c>
      <c r="M179" t="s">
        <v>5</v>
      </c>
      <c r="N179">
        <v>0.10006943155989996</v>
      </c>
      <c r="O179" t="s">
        <v>6</v>
      </c>
    </row>
    <row r="180" spans="2:15" x14ac:dyDescent="0.45">
      <c r="B180" t="s">
        <v>559</v>
      </c>
      <c r="C180" t="s">
        <v>9</v>
      </c>
      <c r="D180">
        <v>9.5605017970288003E-4</v>
      </c>
      <c r="E180" t="s">
        <v>6</v>
      </c>
      <c r="G180" t="s">
        <v>560</v>
      </c>
      <c r="H180" t="s">
        <v>9</v>
      </c>
      <c r="I180">
        <v>4.5880846677836803E-2</v>
      </c>
      <c r="J180" t="s">
        <v>6</v>
      </c>
      <c r="L180" t="s">
        <v>561</v>
      </c>
      <c r="M180" t="s">
        <v>9</v>
      </c>
      <c r="N180">
        <v>5.1383149544759678E-2</v>
      </c>
      <c r="O180" t="s">
        <v>6</v>
      </c>
    </row>
    <row r="181" spans="2:15" x14ac:dyDescent="0.45">
      <c r="B181" t="s">
        <v>559</v>
      </c>
      <c r="C181" t="s">
        <v>10</v>
      </c>
      <c r="D181">
        <v>5.2162934719670338E-2</v>
      </c>
      <c r="E181" t="s">
        <v>6</v>
      </c>
      <c r="G181" t="s">
        <v>560</v>
      </c>
      <c r="H181" t="s">
        <v>10</v>
      </c>
      <c r="I181">
        <v>2.9418302485039741E-2</v>
      </c>
      <c r="J181" t="s">
        <v>6</v>
      </c>
      <c r="L181" t="s">
        <v>561</v>
      </c>
      <c r="M181" t="s">
        <v>10</v>
      </c>
      <c r="N181">
        <v>3.8903996792923196E-2</v>
      </c>
      <c r="O181" t="s">
        <v>6</v>
      </c>
    </row>
    <row r="182" spans="2:15" x14ac:dyDescent="0.45">
      <c r="B182" t="s">
        <v>559</v>
      </c>
      <c r="C182" t="s">
        <v>11</v>
      </c>
      <c r="D182">
        <v>8.4887568440723302E-2</v>
      </c>
      <c r="E182" t="s">
        <v>6</v>
      </c>
      <c r="G182" t="s">
        <v>560</v>
      </c>
      <c r="H182" t="s">
        <v>11</v>
      </c>
      <c r="I182">
        <v>3.5209675433143101E-2</v>
      </c>
      <c r="J182" t="s">
        <v>6</v>
      </c>
      <c r="L182" t="s">
        <v>561</v>
      </c>
      <c r="M182" t="s">
        <v>11</v>
      </c>
      <c r="N182">
        <v>3.6295740125785465E-2</v>
      </c>
      <c r="O182" t="s">
        <v>6</v>
      </c>
    </row>
    <row r="183" spans="2:15" x14ac:dyDescent="0.45">
      <c r="B183" t="s">
        <v>559</v>
      </c>
      <c r="C183" t="s">
        <v>12</v>
      </c>
      <c r="D183">
        <v>3.9455997745557851E-2</v>
      </c>
      <c r="E183" t="s">
        <v>6</v>
      </c>
      <c r="G183" t="s">
        <v>560</v>
      </c>
      <c r="H183" t="s">
        <v>12</v>
      </c>
      <c r="I183">
        <v>3.1996954188505095E-2</v>
      </c>
      <c r="J183" t="s">
        <v>6</v>
      </c>
      <c r="L183" t="s">
        <v>561</v>
      </c>
      <c r="M183" t="s">
        <v>12</v>
      </c>
      <c r="N183">
        <v>3.5990699909004435E-2</v>
      </c>
      <c r="O183" t="s">
        <v>6</v>
      </c>
    </row>
    <row r="184" spans="2:15" x14ac:dyDescent="0.45">
      <c r="B184" t="s">
        <v>559</v>
      </c>
      <c r="C184" t="s">
        <v>13</v>
      </c>
      <c r="D184">
        <v>3.7461042606175911E-4</v>
      </c>
      <c r="E184" t="s">
        <v>6</v>
      </c>
      <c r="G184" t="s">
        <v>560</v>
      </c>
      <c r="H184" t="s">
        <v>13</v>
      </c>
      <c r="I184">
        <v>2.8975165075679755E-2</v>
      </c>
      <c r="J184" t="s">
        <v>6</v>
      </c>
      <c r="L184" t="s">
        <v>561</v>
      </c>
      <c r="M184" t="s">
        <v>13</v>
      </c>
      <c r="N184">
        <v>3.7510039319797107E-2</v>
      </c>
      <c r="O184" t="s">
        <v>6</v>
      </c>
    </row>
    <row r="185" spans="2:15" x14ac:dyDescent="0.45">
      <c r="B185" t="s">
        <v>559</v>
      </c>
      <c r="C185" t="s">
        <v>14</v>
      </c>
      <c r="D185">
        <v>0</v>
      </c>
      <c r="E185" t="s">
        <v>6</v>
      </c>
      <c r="G185" t="s">
        <v>560</v>
      </c>
      <c r="H185" t="s">
        <v>14</v>
      </c>
      <c r="I185">
        <v>8.2035338641378311E-2</v>
      </c>
      <c r="J185" t="s">
        <v>6</v>
      </c>
      <c r="L185" t="s">
        <v>561</v>
      </c>
      <c r="M185" t="s">
        <v>14</v>
      </c>
      <c r="N185">
        <v>9.327981569819406E-2</v>
      </c>
      <c r="O185" t="s">
        <v>6</v>
      </c>
    </row>
    <row r="186" spans="2:15" x14ac:dyDescent="0.45">
      <c r="B186" t="s">
        <v>559</v>
      </c>
      <c r="C186" t="s">
        <v>15</v>
      </c>
      <c r="D186">
        <v>1.4699529247621673E-2</v>
      </c>
      <c r="E186" t="s">
        <v>6</v>
      </c>
      <c r="G186" t="s">
        <v>560</v>
      </c>
      <c r="H186" t="s">
        <v>15</v>
      </c>
      <c r="I186">
        <v>4.1070125926703775E-2</v>
      </c>
      <c r="J186" t="s">
        <v>6</v>
      </c>
      <c r="L186" t="s">
        <v>561</v>
      </c>
      <c r="M186" t="s">
        <v>15</v>
      </c>
      <c r="N186">
        <v>4.6425857624210504E-2</v>
      </c>
      <c r="O186" t="s">
        <v>6</v>
      </c>
    </row>
    <row r="187" spans="2:15" x14ac:dyDescent="0.45">
      <c r="B187" t="s">
        <v>559</v>
      </c>
      <c r="C187" t="s">
        <v>16</v>
      </c>
      <c r="D187">
        <v>8.2894388058662255E-2</v>
      </c>
      <c r="E187" t="s">
        <v>6</v>
      </c>
      <c r="G187" t="s">
        <v>560</v>
      </c>
      <c r="H187" t="s">
        <v>16</v>
      </c>
      <c r="I187">
        <v>4.1140418019535677E-2</v>
      </c>
      <c r="J187" t="s">
        <v>6</v>
      </c>
      <c r="L187" t="s">
        <v>561</v>
      </c>
      <c r="M187" t="s">
        <v>16</v>
      </c>
      <c r="N187">
        <v>3.7085097982508884E-2</v>
      </c>
      <c r="O187" t="s">
        <v>6</v>
      </c>
    </row>
    <row r="188" spans="2:15" x14ac:dyDescent="0.45">
      <c r="B188" t="s">
        <v>559</v>
      </c>
      <c r="C188" t="s">
        <v>17</v>
      </c>
      <c r="D188">
        <v>0.10882761350337435</v>
      </c>
      <c r="E188" t="s">
        <v>6</v>
      </c>
      <c r="G188" t="s">
        <v>560</v>
      </c>
      <c r="H188" t="s">
        <v>17</v>
      </c>
      <c r="I188">
        <v>4.717161997259136E-2</v>
      </c>
      <c r="J188" t="s">
        <v>6</v>
      </c>
      <c r="L188" t="s">
        <v>561</v>
      </c>
      <c r="M188" t="s">
        <v>17</v>
      </c>
      <c r="N188">
        <v>3.822538397175769E-2</v>
      </c>
      <c r="O188" t="s">
        <v>6</v>
      </c>
    </row>
    <row r="189" spans="2:15" x14ac:dyDescent="0.45">
      <c r="B189" t="s">
        <v>559</v>
      </c>
      <c r="C189" t="s">
        <v>18</v>
      </c>
      <c r="D189">
        <v>6.6043471433494538E-2</v>
      </c>
      <c r="E189" t="s">
        <v>6</v>
      </c>
      <c r="G189" t="s">
        <v>560</v>
      </c>
      <c r="H189" t="s">
        <v>18</v>
      </c>
      <c r="I189">
        <v>4.6187011962677216E-2</v>
      </c>
      <c r="J189" t="s">
        <v>6</v>
      </c>
      <c r="L189" t="s">
        <v>561</v>
      </c>
      <c r="M189" t="s">
        <v>18</v>
      </c>
      <c r="N189">
        <v>3.8851322875951104E-2</v>
      </c>
      <c r="O189" t="s">
        <v>6</v>
      </c>
    </row>
    <row r="190" spans="2:15" x14ac:dyDescent="0.45">
      <c r="B190" t="s">
        <v>559</v>
      </c>
      <c r="C190" t="s">
        <v>19</v>
      </c>
      <c r="D190">
        <v>6.1312034294237231E-3</v>
      </c>
      <c r="E190" t="s">
        <v>6</v>
      </c>
      <c r="G190" t="s">
        <v>560</v>
      </c>
      <c r="H190" t="s">
        <v>19</v>
      </c>
      <c r="I190">
        <v>3.4554034609803275E-2</v>
      </c>
      <c r="J190" t="s">
        <v>6</v>
      </c>
      <c r="L190" t="s">
        <v>561</v>
      </c>
      <c r="M190" t="s">
        <v>19</v>
      </c>
      <c r="N190">
        <v>3.7690270171215415E-2</v>
      </c>
      <c r="O190" t="s">
        <v>6</v>
      </c>
    </row>
    <row r="191" spans="2:15" x14ac:dyDescent="0.45">
      <c r="B191" t="s">
        <v>559</v>
      </c>
      <c r="C191" t="s">
        <v>20</v>
      </c>
      <c r="D191">
        <v>0</v>
      </c>
      <c r="E191" t="s">
        <v>6</v>
      </c>
      <c r="G191" t="s">
        <v>560</v>
      </c>
      <c r="H191" t="s">
        <v>20</v>
      </c>
      <c r="I191">
        <v>4.0270155366173871E-2</v>
      </c>
      <c r="J191" t="s">
        <v>6</v>
      </c>
      <c r="L191" t="s">
        <v>561</v>
      </c>
      <c r="M191" t="s">
        <v>20</v>
      </c>
      <c r="N191">
        <v>2.8090482533946359E-2</v>
      </c>
      <c r="O191" t="s">
        <v>6</v>
      </c>
    </row>
    <row r="192" spans="2:15" x14ac:dyDescent="0.45">
      <c r="B192" t="s">
        <v>559</v>
      </c>
      <c r="C192" t="s">
        <v>21</v>
      </c>
      <c r="D192">
        <v>2.2118225414514778E-2</v>
      </c>
      <c r="E192" t="s">
        <v>6</v>
      </c>
      <c r="G192" t="s">
        <v>560</v>
      </c>
      <c r="H192" t="s">
        <v>21</v>
      </c>
      <c r="I192">
        <v>1.5315151384716051E-2</v>
      </c>
      <c r="J192" t="s">
        <v>6</v>
      </c>
      <c r="L192" t="s">
        <v>561</v>
      </c>
      <c r="M192" t="s">
        <v>21</v>
      </c>
      <c r="N192">
        <v>1.9288330486041741E-2</v>
      </c>
      <c r="O192" t="s">
        <v>6</v>
      </c>
    </row>
    <row r="193" spans="2:15" x14ac:dyDescent="0.45">
      <c r="B193" t="s">
        <v>559</v>
      </c>
      <c r="C193" t="s">
        <v>22</v>
      </c>
      <c r="D193">
        <v>9.8256932822692419E-2</v>
      </c>
      <c r="E193" t="s">
        <v>6</v>
      </c>
      <c r="G193" t="s">
        <v>560</v>
      </c>
      <c r="H193" t="s">
        <v>22</v>
      </c>
      <c r="I193">
        <v>1.5236558705281169E-2</v>
      </c>
      <c r="J193" t="s">
        <v>6</v>
      </c>
      <c r="L193" t="s">
        <v>561</v>
      </c>
      <c r="M193" t="s">
        <v>22</v>
      </c>
      <c r="N193">
        <v>1.424127480848039E-2</v>
      </c>
      <c r="O193" t="s">
        <v>6</v>
      </c>
    </row>
    <row r="194" spans="2:15" x14ac:dyDescent="0.45">
      <c r="B194" t="s">
        <v>559</v>
      </c>
      <c r="C194" t="s">
        <v>23</v>
      </c>
      <c r="D194">
        <v>0.12006390288874792</v>
      </c>
      <c r="E194" t="s">
        <v>6</v>
      </c>
      <c r="G194" t="s">
        <v>560</v>
      </c>
      <c r="H194" t="s">
        <v>23</v>
      </c>
      <c r="I194">
        <v>2.1183356824745564E-2</v>
      </c>
      <c r="J194" t="s">
        <v>6</v>
      </c>
      <c r="L194" t="s">
        <v>561</v>
      </c>
      <c r="M194" t="s">
        <v>23</v>
      </c>
      <c r="N194">
        <v>1.2726646968248786E-2</v>
      </c>
      <c r="O194" t="s">
        <v>6</v>
      </c>
    </row>
    <row r="195" spans="2:15" x14ac:dyDescent="0.45">
      <c r="B195" t="s">
        <v>559</v>
      </c>
      <c r="C195" t="s">
        <v>24</v>
      </c>
      <c r="D195">
        <v>7.5446647663074323E-2</v>
      </c>
      <c r="E195" t="s">
        <v>6</v>
      </c>
      <c r="G195" t="s">
        <v>560</v>
      </c>
      <c r="H195" t="s">
        <v>24</v>
      </c>
      <c r="I195">
        <v>2.3798552338476622E-2</v>
      </c>
      <c r="J195" t="s">
        <v>6</v>
      </c>
      <c r="L195" t="s">
        <v>561</v>
      </c>
      <c r="M195" t="s">
        <v>24</v>
      </c>
      <c r="N195">
        <v>1.0293933442689472E-2</v>
      </c>
      <c r="O195" t="s">
        <v>6</v>
      </c>
    </row>
    <row r="196" spans="2:15" x14ac:dyDescent="0.45">
      <c r="B196" t="s">
        <v>559</v>
      </c>
      <c r="C196" t="s">
        <v>25</v>
      </c>
      <c r="D196">
        <v>1.0291860813560694E-2</v>
      </c>
      <c r="E196" t="s">
        <v>6</v>
      </c>
      <c r="G196" t="s">
        <v>560</v>
      </c>
      <c r="H196" t="s">
        <v>25</v>
      </c>
      <c r="I196">
        <v>1.8678447869398759E-2</v>
      </c>
      <c r="J196" t="s">
        <v>6</v>
      </c>
      <c r="L196" t="s">
        <v>561</v>
      </c>
      <c r="M196" t="s">
        <v>25</v>
      </c>
      <c r="N196">
        <v>8.3716569392174832E-3</v>
      </c>
      <c r="O196" t="s">
        <v>6</v>
      </c>
    </row>
    <row r="197" spans="2:15" x14ac:dyDescent="0.45">
      <c r="B197" t="s">
        <v>559</v>
      </c>
      <c r="C197" t="s">
        <v>26</v>
      </c>
      <c r="D197">
        <v>0</v>
      </c>
      <c r="E197" t="s">
        <v>6</v>
      </c>
      <c r="G197" t="s">
        <v>560</v>
      </c>
      <c r="H197" t="s">
        <v>26</v>
      </c>
      <c r="I197">
        <v>0.10106583078591537</v>
      </c>
      <c r="J197" t="s">
        <v>6</v>
      </c>
      <c r="L197" t="s">
        <v>561</v>
      </c>
      <c r="M197" t="s">
        <v>26</v>
      </c>
      <c r="N197">
        <v>0.10551182164658363</v>
      </c>
      <c r="O197" t="s">
        <v>6</v>
      </c>
    </row>
    <row r="198" spans="2:15" x14ac:dyDescent="0.45">
      <c r="B198" t="s">
        <v>559</v>
      </c>
      <c r="C198" t="s">
        <v>27</v>
      </c>
      <c r="D198">
        <v>8.1035060139208366E-3</v>
      </c>
      <c r="E198" t="s">
        <v>6</v>
      </c>
      <c r="G198" t="s">
        <v>560</v>
      </c>
      <c r="H198" t="s">
        <v>27</v>
      </c>
      <c r="I198">
        <v>4.5746504460469975E-2</v>
      </c>
      <c r="J198" t="s">
        <v>6</v>
      </c>
      <c r="L198" t="s">
        <v>561</v>
      </c>
      <c r="M198" t="s">
        <v>27</v>
      </c>
      <c r="N198">
        <v>4.9903048013063549E-2</v>
      </c>
      <c r="O198" t="s">
        <v>6</v>
      </c>
    </row>
    <row r="199" spans="2:15" x14ac:dyDescent="0.45">
      <c r="B199" t="s">
        <v>559</v>
      </c>
      <c r="C199" t="s">
        <v>28</v>
      </c>
      <c r="D199">
        <v>7.0814189942339317E-2</v>
      </c>
      <c r="E199" t="s">
        <v>6</v>
      </c>
      <c r="G199" t="s">
        <v>560</v>
      </c>
      <c r="H199" t="s">
        <v>28</v>
      </c>
      <c r="I199">
        <v>3.4456099339038648E-2</v>
      </c>
      <c r="J199" t="s">
        <v>6</v>
      </c>
      <c r="L199" t="s">
        <v>561</v>
      </c>
      <c r="M199" t="s">
        <v>28</v>
      </c>
      <c r="N199">
        <v>3.8237489347237461E-2</v>
      </c>
      <c r="O199" t="s">
        <v>6</v>
      </c>
    </row>
    <row r="200" spans="2:15" x14ac:dyDescent="0.45">
      <c r="B200" t="s">
        <v>559</v>
      </c>
      <c r="C200" t="s">
        <v>29</v>
      </c>
      <c r="D200">
        <v>9.2821754420366151E-2</v>
      </c>
      <c r="E200" t="s">
        <v>6</v>
      </c>
      <c r="G200" t="s">
        <v>560</v>
      </c>
      <c r="H200" t="s">
        <v>29</v>
      </c>
      <c r="I200">
        <v>4.6522316730196939E-2</v>
      </c>
      <c r="J200" t="s">
        <v>6</v>
      </c>
      <c r="L200" t="s">
        <v>561</v>
      </c>
      <c r="M200" t="s">
        <v>29</v>
      </c>
      <c r="N200">
        <v>3.9302632162849509E-2</v>
      </c>
      <c r="O200" t="s">
        <v>6</v>
      </c>
    </row>
    <row r="201" spans="2:15" x14ac:dyDescent="0.45">
      <c r="B201" t="s">
        <v>559</v>
      </c>
      <c r="C201" t="s">
        <v>30</v>
      </c>
      <c r="D201">
        <v>4.4505518342379556E-2</v>
      </c>
      <c r="E201" t="s">
        <v>6</v>
      </c>
      <c r="G201" t="s">
        <v>560</v>
      </c>
      <c r="H201" t="s">
        <v>30</v>
      </c>
      <c r="I201">
        <v>4.5199478324567374E-2</v>
      </c>
      <c r="J201" t="s">
        <v>6</v>
      </c>
      <c r="L201" t="s">
        <v>561</v>
      </c>
      <c r="M201" t="s">
        <v>30</v>
      </c>
      <c r="N201">
        <v>4.1213370002789379E-2</v>
      </c>
      <c r="O201" t="s">
        <v>6</v>
      </c>
    </row>
    <row r="202" spans="2:15" x14ac:dyDescent="0.45">
      <c r="B202" t="s">
        <v>559</v>
      </c>
      <c r="C202" t="s">
        <v>31</v>
      </c>
      <c r="D202">
        <v>1.1440944941088749E-3</v>
      </c>
      <c r="E202" t="s">
        <v>6</v>
      </c>
      <c r="G202" t="s">
        <v>560</v>
      </c>
      <c r="H202" t="s">
        <v>31</v>
      </c>
      <c r="I202">
        <v>3.8281647291779054E-2</v>
      </c>
      <c r="J202" t="s">
        <v>6</v>
      </c>
      <c r="L202" t="s">
        <v>561</v>
      </c>
      <c r="M202" t="s">
        <v>31</v>
      </c>
      <c r="N202">
        <v>4.1108508072847258E-2</v>
      </c>
      <c r="O202" t="s">
        <v>6</v>
      </c>
    </row>
    <row r="203" spans="2:15" x14ac:dyDescent="0.45">
      <c r="B203" t="s">
        <v>562</v>
      </c>
      <c r="C203" t="s">
        <v>5</v>
      </c>
      <c r="D203">
        <v>0</v>
      </c>
      <c r="E203" t="s">
        <v>6</v>
      </c>
      <c r="G203" t="s">
        <v>563</v>
      </c>
      <c r="H203" t="s">
        <v>5</v>
      </c>
      <c r="I203">
        <v>0.10040954319205408</v>
      </c>
      <c r="J203" t="s">
        <v>6</v>
      </c>
      <c r="L203" t="s">
        <v>564</v>
      </c>
      <c r="M203" t="s">
        <v>5</v>
      </c>
      <c r="N203">
        <v>8.2680097054235749E-2</v>
      </c>
      <c r="O203" t="s">
        <v>6</v>
      </c>
    </row>
    <row r="204" spans="2:15" x14ac:dyDescent="0.45">
      <c r="B204" t="s">
        <v>562</v>
      </c>
      <c r="C204" t="s">
        <v>9</v>
      </c>
      <c r="D204">
        <v>7.0576832781260959E-4</v>
      </c>
      <c r="E204" t="s">
        <v>6</v>
      </c>
      <c r="G204" t="s">
        <v>563</v>
      </c>
      <c r="H204" t="s">
        <v>9</v>
      </c>
      <c r="I204">
        <v>5.5115143601093451E-2</v>
      </c>
      <c r="J204" t="s">
        <v>6</v>
      </c>
      <c r="L204" t="s">
        <v>564</v>
      </c>
      <c r="M204" t="s">
        <v>9</v>
      </c>
      <c r="N204">
        <v>4.3602141652829753E-2</v>
      </c>
      <c r="O204" t="s">
        <v>6</v>
      </c>
    </row>
    <row r="205" spans="2:15" x14ac:dyDescent="0.45">
      <c r="B205" t="s">
        <v>562</v>
      </c>
      <c r="C205" t="s">
        <v>10</v>
      </c>
      <c r="D205">
        <v>4.7136056173750357E-2</v>
      </c>
      <c r="E205" t="s">
        <v>6</v>
      </c>
      <c r="G205" t="s">
        <v>563</v>
      </c>
      <c r="H205" t="s">
        <v>10</v>
      </c>
      <c r="I205">
        <v>3.8395831108173052E-2</v>
      </c>
      <c r="J205" t="s">
        <v>6</v>
      </c>
      <c r="L205" t="s">
        <v>564</v>
      </c>
      <c r="M205" t="s">
        <v>10</v>
      </c>
      <c r="N205">
        <v>3.2087610192816349E-2</v>
      </c>
      <c r="O205" t="s">
        <v>6</v>
      </c>
    </row>
    <row r="206" spans="2:15" x14ac:dyDescent="0.45">
      <c r="B206" t="s">
        <v>562</v>
      </c>
      <c r="C206" t="s">
        <v>11</v>
      </c>
      <c r="D206">
        <v>7.8575885629917741E-2</v>
      </c>
      <c r="E206" t="s">
        <v>6</v>
      </c>
      <c r="G206" t="s">
        <v>563</v>
      </c>
      <c r="H206" t="s">
        <v>11</v>
      </c>
      <c r="I206">
        <v>4.1101760397058366E-2</v>
      </c>
      <c r="J206" t="s">
        <v>6</v>
      </c>
      <c r="L206" t="s">
        <v>564</v>
      </c>
      <c r="M206" t="s">
        <v>11</v>
      </c>
      <c r="N206">
        <v>3.1493493691605028E-2</v>
      </c>
      <c r="O206" t="s">
        <v>6</v>
      </c>
    </row>
    <row r="207" spans="2:15" x14ac:dyDescent="0.45">
      <c r="B207" t="s">
        <v>562</v>
      </c>
      <c r="C207" t="s">
        <v>12</v>
      </c>
      <c r="D207">
        <v>3.3458821390528116E-2</v>
      </c>
      <c r="E207" t="s">
        <v>6</v>
      </c>
      <c r="G207" t="s">
        <v>563</v>
      </c>
      <c r="H207" t="s">
        <v>12</v>
      </c>
      <c r="I207">
        <v>4.0701137267793397E-2</v>
      </c>
      <c r="J207" t="s">
        <v>6</v>
      </c>
      <c r="L207" t="s">
        <v>564</v>
      </c>
      <c r="M207" t="s">
        <v>12</v>
      </c>
      <c r="N207">
        <v>3.1915176917001194E-2</v>
      </c>
      <c r="O207" t="s">
        <v>6</v>
      </c>
    </row>
    <row r="208" spans="2:15" x14ac:dyDescent="0.45">
      <c r="B208" t="s">
        <v>562</v>
      </c>
      <c r="C208" t="s">
        <v>13</v>
      </c>
      <c r="D208">
        <v>2.1230672996564053E-4</v>
      </c>
      <c r="E208" t="s">
        <v>6</v>
      </c>
      <c r="G208" t="s">
        <v>563</v>
      </c>
      <c r="H208" t="s">
        <v>13</v>
      </c>
      <c r="I208">
        <v>3.655195884523272E-2</v>
      </c>
      <c r="J208" t="s">
        <v>6</v>
      </c>
      <c r="L208" t="s">
        <v>564</v>
      </c>
      <c r="M208" t="s">
        <v>13</v>
      </c>
      <c r="N208">
        <v>3.2089901664468921E-2</v>
      </c>
      <c r="O208" t="s">
        <v>6</v>
      </c>
    </row>
    <row r="209" spans="2:15" x14ac:dyDescent="0.45">
      <c r="B209" t="s">
        <v>562</v>
      </c>
      <c r="C209" t="s">
        <v>14</v>
      </c>
      <c r="D209">
        <v>0</v>
      </c>
      <c r="E209" t="s">
        <v>6</v>
      </c>
      <c r="G209" t="s">
        <v>563</v>
      </c>
      <c r="H209" t="s">
        <v>14</v>
      </c>
      <c r="I209">
        <v>7.8465277652206775E-2</v>
      </c>
      <c r="J209" t="s">
        <v>6</v>
      </c>
      <c r="L209" t="s">
        <v>564</v>
      </c>
      <c r="M209" t="s">
        <v>14</v>
      </c>
      <c r="N209">
        <v>0.10345696800392359</v>
      </c>
      <c r="O209" t="s">
        <v>6</v>
      </c>
    </row>
    <row r="210" spans="2:15" x14ac:dyDescent="0.45">
      <c r="B210" t="s">
        <v>562</v>
      </c>
      <c r="C210" t="s">
        <v>15</v>
      </c>
      <c r="D210">
        <v>1.6146513938219163E-2</v>
      </c>
      <c r="E210" t="s">
        <v>6</v>
      </c>
      <c r="G210" t="s">
        <v>563</v>
      </c>
      <c r="H210" t="s">
        <v>15</v>
      </c>
      <c r="I210">
        <v>4.2563979241047663E-2</v>
      </c>
      <c r="J210" t="s">
        <v>6</v>
      </c>
      <c r="L210" t="s">
        <v>564</v>
      </c>
      <c r="M210" t="s">
        <v>15</v>
      </c>
      <c r="N210">
        <v>5.6237932178043605E-2</v>
      </c>
      <c r="O210" t="s">
        <v>6</v>
      </c>
    </row>
    <row r="211" spans="2:15" x14ac:dyDescent="0.45">
      <c r="B211" t="s">
        <v>562</v>
      </c>
      <c r="C211" t="s">
        <v>16</v>
      </c>
      <c r="D211">
        <v>8.7303823273910147E-2</v>
      </c>
      <c r="E211" t="s">
        <v>6</v>
      </c>
      <c r="G211" t="s">
        <v>563</v>
      </c>
      <c r="H211" t="s">
        <v>16</v>
      </c>
      <c r="I211">
        <v>4.1986008720953892E-2</v>
      </c>
      <c r="J211" t="s">
        <v>6</v>
      </c>
      <c r="L211" t="s">
        <v>564</v>
      </c>
      <c r="M211" t="s">
        <v>16</v>
      </c>
      <c r="N211">
        <v>4.1806159376421688E-2</v>
      </c>
      <c r="O211" t="s">
        <v>6</v>
      </c>
    </row>
    <row r="212" spans="2:15" x14ac:dyDescent="0.45">
      <c r="B212" t="s">
        <v>562</v>
      </c>
      <c r="C212" t="s">
        <v>17</v>
      </c>
      <c r="D212">
        <v>0.11073232480223405</v>
      </c>
      <c r="E212" t="s">
        <v>6</v>
      </c>
      <c r="G212" t="s">
        <v>563</v>
      </c>
      <c r="H212" t="s">
        <v>17</v>
      </c>
      <c r="I212">
        <v>4.6234206797181668E-2</v>
      </c>
      <c r="J212" t="s">
        <v>6</v>
      </c>
      <c r="L212" t="s">
        <v>564</v>
      </c>
      <c r="M212" t="s">
        <v>17</v>
      </c>
      <c r="N212">
        <v>4.0717865709368604E-2</v>
      </c>
      <c r="O212" t="s">
        <v>6</v>
      </c>
    </row>
    <row r="213" spans="2:15" x14ac:dyDescent="0.45">
      <c r="B213" t="s">
        <v>562</v>
      </c>
      <c r="C213" t="s">
        <v>18</v>
      </c>
      <c r="D213">
        <v>6.4288886287213132E-2</v>
      </c>
      <c r="E213" t="s">
        <v>6</v>
      </c>
      <c r="G213" t="s">
        <v>563</v>
      </c>
      <c r="H213" t="s">
        <v>18</v>
      </c>
      <c r="I213">
        <v>4.4114011007319029E-2</v>
      </c>
      <c r="J213" t="s">
        <v>6</v>
      </c>
      <c r="L213" t="s">
        <v>564</v>
      </c>
      <c r="M213" t="s">
        <v>18</v>
      </c>
      <c r="N213">
        <v>3.9755433513210786E-2</v>
      </c>
      <c r="O213" t="s">
        <v>6</v>
      </c>
    </row>
    <row r="214" spans="2:15" x14ac:dyDescent="0.45">
      <c r="B214" t="s">
        <v>562</v>
      </c>
      <c r="C214" t="s">
        <v>19</v>
      </c>
      <c r="D214">
        <v>5.8600787596059844E-3</v>
      </c>
      <c r="E214" t="s">
        <v>6</v>
      </c>
      <c r="G214" t="s">
        <v>563</v>
      </c>
      <c r="H214" t="s">
        <v>19</v>
      </c>
      <c r="I214">
        <v>3.4780467162032702E-2</v>
      </c>
      <c r="J214" t="s">
        <v>6</v>
      </c>
      <c r="L214" t="s">
        <v>564</v>
      </c>
      <c r="M214" t="s">
        <v>19</v>
      </c>
      <c r="N214">
        <v>4.0393257041034553E-2</v>
      </c>
      <c r="O214" t="s">
        <v>6</v>
      </c>
    </row>
    <row r="215" spans="2:15" x14ac:dyDescent="0.45">
      <c r="B215" t="s">
        <v>562</v>
      </c>
      <c r="C215" t="s">
        <v>20</v>
      </c>
      <c r="D215">
        <v>0</v>
      </c>
      <c r="E215" t="s">
        <v>6</v>
      </c>
      <c r="G215" t="s">
        <v>563</v>
      </c>
      <c r="H215" t="s">
        <v>20</v>
      </c>
      <c r="I215">
        <v>3.3999453485705704E-2</v>
      </c>
      <c r="J215" t="s">
        <v>6</v>
      </c>
      <c r="L215" t="s">
        <v>564</v>
      </c>
      <c r="M215" t="s">
        <v>20</v>
      </c>
      <c r="N215">
        <v>3.6898541957154869E-2</v>
      </c>
      <c r="O215" t="s">
        <v>6</v>
      </c>
    </row>
    <row r="216" spans="2:15" x14ac:dyDescent="0.45">
      <c r="B216" t="s">
        <v>562</v>
      </c>
      <c r="C216" t="s">
        <v>21</v>
      </c>
      <c r="D216">
        <v>2.357500667455683E-2</v>
      </c>
      <c r="E216" t="s">
        <v>6</v>
      </c>
      <c r="G216" t="s">
        <v>563</v>
      </c>
      <c r="H216" t="s">
        <v>21</v>
      </c>
      <c r="I216">
        <v>1.5364724037605814E-2</v>
      </c>
      <c r="J216" t="s">
        <v>6</v>
      </c>
      <c r="L216" t="s">
        <v>564</v>
      </c>
      <c r="M216" t="s">
        <v>21</v>
      </c>
      <c r="N216">
        <v>1.6936405289660863E-2</v>
      </c>
      <c r="O216" t="s">
        <v>6</v>
      </c>
    </row>
    <row r="217" spans="2:15" x14ac:dyDescent="0.45">
      <c r="B217" t="s">
        <v>562</v>
      </c>
      <c r="C217" t="s">
        <v>22</v>
      </c>
      <c r="D217">
        <v>0.10098273738416273</v>
      </c>
      <c r="E217" t="s">
        <v>6</v>
      </c>
      <c r="G217" t="s">
        <v>563</v>
      </c>
      <c r="H217" t="s">
        <v>22</v>
      </c>
      <c r="I217">
        <v>1.5127691529782786E-2</v>
      </c>
      <c r="J217" t="s">
        <v>6</v>
      </c>
      <c r="L217" t="s">
        <v>564</v>
      </c>
      <c r="M217" t="s">
        <v>22</v>
      </c>
      <c r="N217">
        <v>1.0258060906763665E-2</v>
      </c>
      <c r="O217" t="s">
        <v>6</v>
      </c>
    </row>
    <row r="218" spans="2:15" x14ac:dyDescent="0.45">
      <c r="B218" t="s">
        <v>562</v>
      </c>
      <c r="C218" t="s">
        <v>23</v>
      </c>
      <c r="D218">
        <v>0.12566202180957645</v>
      </c>
      <c r="E218" t="s">
        <v>6</v>
      </c>
      <c r="G218" t="s">
        <v>563</v>
      </c>
      <c r="H218" t="s">
        <v>23</v>
      </c>
      <c r="I218">
        <v>1.7475514778794256E-2</v>
      </c>
      <c r="J218" t="s">
        <v>6</v>
      </c>
      <c r="L218" t="s">
        <v>564</v>
      </c>
      <c r="M218" t="s">
        <v>23</v>
      </c>
      <c r="N218">
        <v>1.1384681062151155E-2</v>
      </c>
      <c r="O218" t="s">
        <v>6</v>
      </c>
    </row>
    <row r="219" spans="2:15" x14ac:dyDescent="0.45">
      <c r="B219" t="s">
        <v>562</v>
      </c>
      <c r="C219" t="s">
        <v>24</v>
      </c>
      <c r="D219">
        <v>8.0364236476853979E-2</v>
      </c>
      <c r="E219" t="s">
        <v>6</v>
      </c>
      <c r="G219" t="s">
        <v>563</v>
      </c>
      <c r="H219" t="s">
        <v>24</v>
      </c>
      <c r="I219">
        <v>2.0084329764508524E-2</v>
      </c>
      <c r="J219" t="s">
        <v>6</v>
      </c>
      <c r="L219" t="s">
        <v>564</v>
      </c>
      <c r="M219" t="s">
        <v>24</v>
      </c>
      <c r="N219">
        <v>1.7007072936145225E-2</v>
      </c>
      <c r="O219" t="s">
        <v>6</v>
      </c>
    </row>
    <row r="220" spans="2:15" x14ac:dyDescent="0.45">
      <c r="B220" t="s">
        <v>562</v>
      </c>
      <c r="C220" t="s">
        <v>25</v>
      </c>
      <c r="D220">
        <v>1.0626693364169999E-2</v>
      </c>
      <c r="E220" t="s">
        <v>6</v>
      </c>
      <c r="G220" t="s">
        <v>563</v>
      </c>
      <c r="H220" t="s">
        <v>25</v>
      </c>
      <c r="I220">
        <v>1.7825070534477055E-2</v>
      </c>
      <c r="J220" t="s">
        <v>6</v>
      </c>
      <c r="L220" t="s">
        <v>564</v>
      </c>
      <c r="M220" t="s">
        <v>25</v>
      </c>
      <c r="N220">
        <v>1.7045756159316919E-2</v>
      </c>
      <c r="O220" t="s">
        <v>6</v>
      </c>
    </row>
    <row r="221" spans="2:15" x14ac:dyDescent="0.45">
      <c r="B221" t="s">
        <v>562</v>
      </c>
      <c r="C221" t="s">
        <v>26</v>
      </c>
      <c r="D221">
        <v>0</v>
      </c>
      <c r="E221" t="s">
        <v>6</v>
      </c>
      <c r="G221" t="s">
        <v>563</v>
      </c>
      <c r="H221" t="s">
        <v>26</v>
      </c>
      <c r="I221">
        <v>8.1233704249420766E-2</v>
      </c>
      <c r="J221" t="s">
        <v>6</v>
      </c>
      <c r="L221" t="s">
        <v>564</v>
      </c>
      <c r="M221" t="s">
        <v>26</v>
      </c>
      <c r="N221">
        <v>0.10940359954437377</v>
      </c>
      <c r="O221" t="s">
        <v>6</v>
      </c>
    </row>
    <row r="222" spans="2:15" x14ac:dyDescent="0.45">
      <c r="B222" t="s">
        <v>562</v>
      </c>
      <c r="C222" t="s">
        <v>27</v>
      </c>
      <c r="D222">
        <v>8.3452679551067072E-3</v>
      </c>
      <c r="E222" t="s">
        <v>6</v>
      </c>
      <c r="G222" t="s">
        <v>563</v>
      </c>
      <c r="H222" t="s">
        <v>27</v>
      </c>
      <c r="I222">
        <v>4.2383421389336894E-2</v>
      </c>
      <c r="J222" t="s">
        <v>6</v>
      </c>
      <c r="L222" t="s">
        <v>564</v>
      </c>
      <c r="M222" t="s">
        <v>27</v>
      </c>
      <c r="N222">
        <v>5.1731591728914797E-2</v>
      </c>
      <c r="O222" t="s">
        <v>6</v>
      </c>
    </row>
    <row r="223" spans="2:15" x14ac:dyDescent="0.45">
      <c r="B223" t="s">
        <v>562</v>
      </c>
      <c r="C223" t="s">
        <v>28</v>
      </c>
      <c r="D223">
        <v>7.0204628178740278E-2</v>
      </c>
      <c r="E223" t="s">
        <v>6</v>
      </c>
      <c r="G223" t="s">
        <v>563</v>
      </c>
      <c r="H223" t="s">
        <v>28</v>
      </c>
      <c r="I223">
        <v>3.4482410614126643E-2</v>
      </c>
      <c r="J223" t="s">
        <v>6</v>
      </c>
      <c r="L223" t="s">
        <v>564</v>
      </c>
      <c r="M223" t="s">
        <v>28</v>
      </c>
      <c r="N223">
        <v>3.7067873604854848E-2</v>
      </c>
      <c r="O223" t="s">
        <v>6</v>
      </c>
    </row>
    <row r="224" spans="2:15" x14ac:dyDescent="0.45">
      <c r="B224" t="s">
        <v>562</v>
      </c>
      <c r="C224" t="s">
        <v>29</v>
      </c>
      <c r="D224">
        <v>9.1592243316459224E-2</v>
      </c>
      <c r="E224" t="s">
        <v>6</v>
      </c>
      <c r="G224" t="s">
        <v>563</v>
      </c>
      <c r="H224" t="s">
        <v>29</v>
      </c>
      <c r="I224">
        <v>4.1380025451272825E-2</v>
      </c>
      <c r="J224" t="s">
        <v>6</v>
      </c>
      <c r="L224" t="s">
        <v>564</v>
      </c>
      <c r="M224" t="s">
        <v>29</v>
      </c>
      <c r="N224">
        <v>3.6038437477526053E-2</v>
      </c>
      <c r="O224" t="s">
        <v>6</v>
      </c>
    </row>
    <row r="225" spans="2:15" x14ac:dyDescent="0.45">
      <c r="B225" t="s">
        <v>562</v>
      </c>
      <c r="C225" t="s">
        <v>30</v>
      </c>
      <c r="D225">
        <v>4.3147690623686154E-2</v>
      </c>
      <c r="E225" t="s">
        <v>6</v>
      </c>
      <c r="G225" t="s">
        <v>563</v>
      </c>
      <c r="H225" t="s">
        <v>30</v>
      </c>
      <c r="I225">
        <v>4.1431310712282503E-2</v>
      </c>
      <c r="J225" t="s">
        <v>6</v>
      </c>
      <c r="L225" t="s">
        <v>564</v>
      </c>
      <c r="M225" t="s">
        <v>30</v>
      </c>
      <c r="N225">
        <v>3.849133049392716E-2</v>
      </c>
      <c r="O225" t="s">
        <v>6</v>
      </c>
    </row>
    <row r="226" spans="2:15" x14ac:dyDescent="0.45">
      <c r="B226" t="s">
        <v>562</v>
      </c>
      <c r="C226" t="s">
        <v>31</v>
      </c>
      <c r="D226">
        <v>1.0790089035320497E-3</v>
      </c>
      <c r="E226" t="s">
        <v>6</v>
      </c>
      <c r="G226" t="s">
        <v>563</v>
      </c>
      <c r="H226" t="s">
        <v>31</v>
      </c>
      <c r="I226">
        <v>3.8793018460540861E-2</v>
      </c>
      <c r="J226" t="s">
        <v>6</v>
      </c>
      <c r="L226" t="s">
        <v>564</v>
      </c>
      <c r="M226" t="s">
        <v>31</v>
      </c>
      <c r="N226">
        <v>4.1500611844252154E-2</v>
      </c>
      <c r="O226" t="s">
        <v>6</v>
      </c>
    </row>
    <row r="227" spans="2:15" x14ac:dyDescent="0.45">
      <c r="B227" t="s">
        <v>565</v>
      </c>
      <c r="C227" t="s">
        <v>5</v>
      </c>
      <c r="D227">
        <v>0</v>
      </c>
      <c r="E227" t="s">
        <v>6</v>
      </c>
      <c r="G227" t="s">
        <v>566</v>
      </c>
      <c r="H227" t="s">
        <v>5</v>
      </c>
      <c r="I227">
        <v>0.10062600865976069</v>
      </c>
      <c r="J227" t="s">
        <v>6</v>
      </c>
      <c r="L227" t="s">
        <v>567</v>
      </c>
      <c r="M227" t="s">
        <v>5</v>
      </c>
      <c r="N227">
        <v>9.8340912188549068E-2</v>
      </c>
      <c r="O227" t="s">
        <v>6</v>
      </c>
    </row>
    <row r="228" spans="2:15" x14ac:dyDescent="0.45">
      <c r="B228" t="s">
        <v>565</v>
      </c>
      <c r="C228" t="s">
        <v>9</v>
      </c>
      <c r="D228">
        <v>1.4697004802623978E-3</v>
      </c>
      <c r="E228" t="s">
        <v>6</v>
      </c>
      <c r="G228" t="s">
        <v>566</v>
      </c>
      <c r="H228" t="s">
        <v>9</v>
      </c>
      <c r="I228">
        <v>4.9012889788751554E-2</v>
      </c>
      <c r="J228" t="s">
        <v>6</v>
      </c>
      <c r="L228" t="s">
        <v>567</v>
      </c>
      <c r="M228" t="s">
        <v>9</v>
      </c>
      <c r="N228">
        <v>5.4163751015733341E-2</v>
      </c>
      <c r="O228" t="s">
        <v>6</v>
      </c>
    </row>
    <row r="229" spans="2:15" x14ac:dyDescent="0.45">
      <c r="B229" t="s">
        <v>565</v>
      </c>
      <c r="C229" t="s">
        <v>10</v>
      </c>
      <c r="D229">
        <v>5.1186446212770048E-2</v>
      </c>
      <c r="E229" t="s">
        <v>6</v>
      </c>
      <c r="G229" t="s">
        <v>566</v>
      </c>
      <c r="H229" t="s">
        <v>10</v>
      </c>
      <c r="I229">
        <v>3.4605823037170517E-2</v>
      </c>
      <c r="J229" t="s">
        <v>6</v>
      </c>
      <c r="L229" t="s">
        <v>567</v>
      </c>
      <c r="M229" t="s">
        <v>10</v>
      </c>
      <c r="N229">
        <v>4.2986266143454507E-2</v>
      </c>
      <c r="O229" t="s">
        <v>6</v>
      </c>
    </row>
    <row r="230" spans="2:15" x14ac:dyDescent="0.45">
      <c r="B230" t="s">
        <v>565</v>
      </c>
      <c r="C230" t="s">
        <v>11</v>
      </c>
      <c r="D230">
        <v>8.0156098453004226E-2</v>
      </c>
      <c r="E230" t="s">
        <v>6</v>
      </c>
      <c r="G230" t="s">
        <v>566</v>
      </c>
      <c r="H230" t="s">
        <v>11</v>
      </c>
      <c r="I230">
        <v>3.7963706914186018E-2</v>
      </c>
      <c r="J230" t="s">
        <v>6</v>
      </c>
      <c r="L230" t="s">
        <v>567</v>
      </c>
      <c r="M230" t="s">
        <v>11</v>
      </c>
      <c r="N230">
        <v>4.3803318133546557E-2</v>
      </c>
      <c r="O230" t="s">
        <v>6</v>
      </c>
    </row>
    <row r="231" spans="2:15" x14ac:dyDescent="0.45">
      <c r="B231" t="s">
        <v>565</v>
      </c>
      <c r="C231" t="s">
        <v>12</v>
      </c>
      <c r="D231">
        <v>3.3884438613535198E-2</v>
      </c>
      <c r="E231" t="s">
        <v>6</v>
      </c>
      <c r="G231" t="s">
        <v>566</v>
      </c>
      <c r="H231" t="s">
        <v>12</v>
      </c>
      <c r="I231">
        <v>3.7775153234726487E-2</v>
      </c>
      <c r="J231" t="s">
        <v>6</v>
      </c>
      <c r="L231" t="s">
        <v>567</v>
      </c>
      <c r="M231" t="s">
        <v>12</v>
      </c>
      <c r="N231">
        <v>4.1551411432251217E-2</v>
      </c>
      <c r="O231" t="s">
        <v>6</v>
      </c>
    </row>
    <row r="232" spans="2:15" x14ac:dyDescent="0.45">
      <c r="B232" t="s">
        <v>565</v>
      </c>
      <c r="C232" t="s">
        <v>13</v>
      </c>
      <c r="D232">
        <v>1.520617312554299E-4</v>
      </c>
      <c r="E232" t="s">
        <v>6</v>
      </c>
      <c r="G232" t="s">
        <v>566</v>
      </c>
      <c r="H232" t="s">
        <v>13</v>
      </c>
      <c r="I232">
        <v>3.8297367324481559E-2</v>
      </c>
      <c r="J232" t="s">
        <v>6</v>
      </c>
      <c r="L232" t="s">
        <v>567</v>
      </c>
      <c r="M232" t="s">
        <v>13</v>
      </c>
      <c r="N232">
        <v>3.7600067222658476E-2</v>
      </c>
      <c r="O232" t="s">
        <v>6</v>
      </c>
    </row>
    <row r="233" spans="2:15" x14ac:dyDescent="0.45">
      <c r="B233" t="s">
        <v>565</v>
      </c>
      <c r="C233" t="s">
        <v>14</v>
      </c>
      <c r="D233">
        <v>0</v>
      </c>
      <c r="E233" t="s">
        <v>6</v>
      </c>
      <c r="G233" t="s">
        <v>566</v>
      </c>
      <c r="H233" t="s">
        <v>14</v>
      </c>
      <c r="I233">
        <v>0.10243352811042127</v>
      </c>
      <c r="J233" t="s">
        <v>6</v>
      </c>
      <c r="L233" t="s">
        <v>567</v>
      </c>
      <c r="M233" t="s">
        <v>14</v>
      </c>
      <c r="N233">
        <v>0.12621912207606656</v>
      </c>
      <c r="O233" t="s">
        <v>6</v>
      </c>
    </row>
    <row r="234" spans="2:15" x14ac:dyDescent="0.45">
      <c r="B234" t="s">
        <v>565</v>
      </c>
      <c r="C234" t="s">
        <v>15</v>
      </c>
      <c r="D234">
        <v>1.7650537750162971E-2</v>
      </c>
      <c r="E234" t="s">
        <v>6</v>
      </c>
      <c r="G234" t="s">
        <v>566</v>
      </c>
      <c r="H234" t="s">
        <v>15</v>
      </c>
      <c r="I234">
        <v>4.5547222426165365E-2</v>
      </c>
      <c r="J234" t="s">
        <v>6</v>
      </c>
      <c r="L234" t="s">
        <v>567</v>
      </c>
      <c r="M234" t="s">
        <v>15</v>
      </c>
      <c r="N234">
        <v>6.1479844789138816E-2</v>
      </c>
      <c r="O234" t="s">
        <v>6</v>
      </c>
    </row>
    <row r="235" spans="2:15" x14ac:dyDescent="0.45">
      <c r="B235" t="s">
        <v>565</v>
      </c>
      <c r="C235" t="s">
        <v>16</v>
      </c>
      <c r="D235">
        <v>9.0824404343459994E-2</v>
      </c>
      <c r="E235" t="s">
        <v>6</v>
      </c>
      <c r="G235" t="s">
        <v>566</v>
      </c>
      <c r="H235" t="s">
        <v>16</v>
      </c>
      <c r="I235">
        <v>3.4789643553450253E-2</v>
      </c>
      <c r="J235" t="s">
        <v>6</v>
      </c>
      <c r="L235" t="s">
        <v>567</v>
      </c>
      <c r="M235" t="s">
        <v>16</v>
      </c>
      <c r="N235">
        <v>4.2677816980996743E-2</v>
      </c>
      <c r="O235" t="s">
        <v>6</v>
      </c>
    </row>
    <row r="236" spans="2:15" x14ac:dyDescent="0.45">
      <c r="B236" t="s">
        <v>565</v>
      </c>
      <c r="C236" t="s">
        <v>17</v>
      </c>
      <c r="D236">
        <v>0.1131273250359332</v>
      </c>
      <c r="E236" t="s">
        <v>6</v>
      </c>
      <c r="G236" t="s">
        <v>566</v>
      </c>
      <c r="H236" t="s">
        <v>17</v>
      </c>
      <c r="I236">
        <v>3.9426228070495666E-2</v>
      </c>
      <c r="J236" t="s">
        <v>6</v>
      </c>
      <c r="L236" t="s">
        <v>567</v>
      </c>
      <c r="M236" t="s">
        <v>17</v>
      </c>
      <c r="N236">
        <v>4.5792941815379497E-2</v>
      </c>
      <c r="O236" t="s">
        <v>6</v>
      </c>
    </row>
    <row r="237" spans="2:15" x14ac:dyDescent="0.45">
      <c r="B237" t="s">
        <v>565</v>
      </c>
      <c r="C237" t="s">
        <v>18</v>
      </c>
      <c r="D237">
        <v>6.5639121068842607E-2</v>
      </c>
      <c r="E237" t="s">
        <v>6</v>
      </c>
      <c r="G237" t="s">
        <v>566</v>
      </c>
      <c r="H237" t="s">
        <v>18</v>
      </c>
      <c r="I237">
        <v>4.1787123190816171E-2</v>
      </c>
      <c r="J237" t="s">
        <v>6</v>
      </c>
      <c r="L237" t="s">
        <v>567</v>
      </c>
      <c r="M237" t="s">
        <v>18</v>
      </c>
      <c r="N237">
        <v>4.9361520642863005E-2</v>
      </c>
      <c r="O237" t="s">
        <v>6</v>
      </c>
    </row>
    <row r="238" spans="2:15" x14ac:dyDescent="0.45">
      <c r="B238" t="s">
        <v>565</v>
      </c>
      <c r="C238" t="s">
        <v>19</v>
      </c>
      <c r="D238">
        <v>5.1058580596077385E-3</v>
      </c>
      <c r="E238" t="s">
        <v>6</v>
      </c>
      <c r="G238" t="s">
        <v>566</v>
      </c>
      <c r="H238" t="s">
        <v>19</v>
      </c>
      <c r="I238">
        <v>3.983266247694478E-2</v>
      </c>
      <c r="J238" t="s">
        <v>6</v>
      </c>
      <c r="L238" t="s">
        <v>567</v>
      </c>
      <c r="M238" t="s">
        <v>19</v>
      </c>
      <c r="N238">
        <v>4.8332076819455283E-2</v>
      </c>
      <c r="O238" t="s">
        <v>6</v>
      </c>
    </row>
    <row r="239" spans="2:15" x14ac:dyDescent="0.45">
      <c r="B239" t="s">
        <v>565</v>
      </c>
      <c r="C239" t="s">
        <v>20</v>
      </c>
      <c r="D239">
        <v>0</v>
      </c>
      <c r="E239" t="s">
        <v>6</v>
      </c>
      <c r="G239" t="s">
        <v>566</v>
      </c>
      <c r="H239" t="s">
        <v>20</v>
      </c>
      <c r="I239">
        <v>6.5762176739390305E-2</v>
      </c>
      <c r="J239" t="s">
        <v>6</v>
      </c>
      <c r="L239" t="s">
        <v>567</v>
      </c>
      <c r="M239" t="s">
        <v>20</v>
      </c>
      <c r="N239">
        <v>2.9375185827763488E-2</v>
      </c>
      <c r="O239" t="s">
        <v>6</v>
      </c>
    </row>
    <row r="240" spans="2:15" x14ac:dyDescent="0.45">
      <c r="B240" t="s">
        <v>565</v>
      </c>
      <c r="C240" t="s">
        <v>21</v>
      </c>
      <c r="D240">
        <v>2.4133982620465216E-2</v>
      </c>
      <c r="E240" t="s">
        <v>6</v>
      </c>
      <c r="G240" t="s">
        <v>566</v>
      </c>
      <c r="H240" t="s">
        <v>21</v>
      </c>
      <c r="I240">
        <v>3.4985192883248119E-2</v>
      </c>
      <c r="J240" t="s">
        <v>6</v>
      </c>
      <c r="L240" t="s">
        <v>567</v>
      </c>
      <c r="M240" t="s">
        <v>21</v>
      </c>
      <c r="N240">
        <v>1.5694814275698608E-2</v>
      </c>
      <c r="O240" t="s">
        <v>6</v>
      </c>
    </row>
    <row r="241" spans="2:15" x14ac:dyDescent="0.45">
      <c r="B241" t="s">
        <v>565</v>
      </c>
      <c r="C241" t="s">
        <v>22</v>
      </c>
      <c r="D241">
        <v>9.8168502415336714E-2</v>
      </c>
      <c r="E241" t="s">
        <v>6</v>
      </c>
      <c r="G241" t="s">
        <v>566</v>
      </c>
      <c r="H241" t="s">
        <v>22</v>
      </c>
      <c r="I241">
        <v>2.2358157749024318E-2</v>
      </c>
      <c r="J241" t="s">
        <v>6</v>
      </c>
      <c r="L241" t="s">
        <v>567</v>
      </c>
      <c r="M241" t="s">
        <v>22</v>
      </c>
      <c r="N241">
        <v>1.1482995447349818E-2</v>
      </c>
      <c r="O241" t="s">
        <v>6</v>
      </c>
    </row>
    <row r="242" spans="2:15" x14ac:dyDescent="0.45">
      <c r="B242" t="s">
        <v>565</v>
      </c>
      <c r="C242" t="s">
        <v>23</v>
      </c>
      <c r="D242">
        <v>0.11781566300227661</v>
      </c>
      <c r="E242" t="s">
        <v>6</v>
      </c>
      <c r="G242" t="s">
        <v>566</v>
      </c>
      <c r="H242" t="s">
        <v>23</v>
      </c>
      <c r="I242">
        <v>2.2165727643442299E-2</v>
      </c>
      <c r="J242" t="s">
        <v>6</v>
      </c>
      <c r="L242" t="s">
        <v>567</v>
      </c>
      <c r="M242" t="s">
        <v>23</v>
      </c>
      <c r="N242">
        <v>1.372320003118638E-2</v>
      </c>
      <c r="O242" t="s">
        <v>6</v>
      </c>
    </row>
    <row r="243" spans="2:15" x14ac:dyDescent="0.45">
      <c r="B243" t="s">
        <v>565</v>
      </c>
      <c r="C243" t="s">
        <v>24</v>
      </c>
      <c r="D243">
        <v>7.2108736963233749E-2</v>
      </c>
      <c r="E243" t="s">
        <v>6</v>
      </c>
      <c r="G243" t="s">
        <v>566</v>
      </c>
      <c r="H243" t="s">
        <v>24</v>
      </c>
      <c r="I243">
        <v>2.3322844429773774E-2</v>
      </c>
      <c r="J243" t="s">
        <v>6</v>
      </c>
      <c r="L243" t="s">
        <v>567</v>
      </c>
      <c r="M243" t="s">
        <v>24</v>
      </c>
      <c r="N243">
        <v>1.5414111583707224E-2</v>
      </c>
      <c r="O243" t="s">
        <v>6</v>
      </c>
    </row>
    <row r="244" spans="2:15" x14ac:dyDescent="0.45">
      <c r="B244" t="s">
        <v>565</v>
      </c>
      <c r="C244" t="s">
        <v>25</v>
      </c>
      <c r="D244">
        <v>8.7408111641754521E-3</v>
      </c>
      <c r="E244" t="s">
        <v>6</v>
      </c>
      <c r="G244" t="s">
        <v>566</v>
      </c>
      <c r="H244" t="s">
        <v>25</v>
      </c>
      <c r="I244">
        <v>2.0877989462489709E-2</v>
      </c>
      <c r="J244" t="s">
        <v>6</v>
      </c>
      <c r="L244" t="s">
        <v>567</v>
      </c>
      <c r="M244" t="s">
        <v>25</v>
      </c>
      <c r="N244">
        <v>1.3548440715018718E-2</v>
      </c>
      <c r="O244" t="s">
        <v>6</v>
      </c>
    </row>
    <row r="245" spans="2:15" x14ac:dyDescent="0.45">
      <c r="B245" t="s">
        <v>565</v>
      </c>
      <c r="C245" t="s">
        <v>26</v>
      </c>
      <c r="D245">
        <v>0</v>
      </c>
      <c r="E245" t="s">
        <v>6</v>
      </c>
      <c r="G245" t="s">
        <v>566</v>
      </c>
      <c r="H245" t="s">
        <v>26</v>
      </c>
      <c r="I245">
        <v>6.949739358369407E-2</v>
      </c>
      <c r="J245" t="s">
        <v>6</v>
      </c>
      <c r="L245" t="s">
        <v>567</v>
      </c>
      <c r="M245" t="s">
        <v>26</v>
      </c>
      <c r="N245">
        <v>6.7060297557484022E-2</v>
      </c>
      <c r="O245" t="s">
        <v>6</v>
      </c>
    </row>
    <row r="246" spans="2:15" x14ac:dyDescent="0.45">
      <c r="B246" t="s">
        <v>565</v>
      </c>
      <c r="C246" t="s">
        <v>27</v>
      </c>
      <c r="D246">
        <v>9.5936016885011296E-3</v>
      </c>
      <c r="E246" t="s">
        <v>6</v>
      </c>
      <c r="G246" t="s">
        <v>566</v>
      </c>
      <c r="H246" t="s">
        <v>27</v>
      </c>
      <c r="I246">
        <v>3.3154369256631205E-2</v>
      </c>
      <c r="J246" t="s">
        <v>6</v>
      </c>
      <c r="L246" t="s">
        <v>567</v>
      </c>
      <c r="M246" t="s">
        <v>27</v>
      </c>
      <c r="N246">
        <v>3.5367990919375168E-2</v>
      </c>
      <c r="O246" t="s">
        <v>6</v>
      </c>
    </row>
    <row r="247" spans="2:15" x14ac:dyDescent="0.45">
      <c r="B247" t="s">
        <v>565</v>
      </c>
      <c r="C247" t="s">
        <v>28</v>
      </c>
      <c r="D247">
        <v>7.3414869185394971E-2</v>
      </c>
      <c r="E247" t="s">
        <v>6</v>
      </c>
      <c r="G247" t="s">
        <v>566</v>
      </c>
      <c r="H247" t="s">
        <v>28</v>
      </c>
      <c r="I247">
        <v>2.5004460231265385E-2</v>
      </c>
      <c r="J247" t="s">
        <v>6</v>
      </c>
      <c r="L247" t="s">
        <v>567</v>
      </c>
      <c r="M247" t="s">
        <v>28</v>
      </c>
      <c r="N247">
        <v>2.5823198536375457E-2</v>
      </c>
      <c r="O247" t="s">
        <v>6</v>
      </c>
    </row>
    <row r="248" spans="2:15" x14ac:dyDescent="0.45">
      <c r="B248" t="s">
        <v>565</v>
      </c>
      <c r="C248" t="s">
        <v>29</v>
      </c>
      <c r="D248">
        <v>9.3875538310297116E-2</v>
      </c>
      <c r="E248" t="s">
        <v>6</v>
      </c>
      <c r="G248" t="s">
        <v>566</v>
      </c>
      <c r="H248" t="s">
        <v>29</v>
      </c>
      <c r="I248">
        <v>2.5678501743174046E-2</v>
      </c>
      <c r="J248" t="s">
        <v>6</v>
      </c>
      <c r="L248" t="s">
        <v>567</v>
      </c>
      <c r="M248" t="s">
        <v>29</v>
      </c>
      <c r="N248">
        <v>2.6987880424036045E-2</v>
      </c>
      <c r="O248" t="s">
        <v>6</v>
      </c>
    </row>
    <row r="249" spans="2:15" x14ac:dyDescent="0.45">
      <c r="B249" t="s">
        <v>565</v>
      </c>
      <c r="C249" t="s">
        <v>30</v>
      </c>
      <c r="D249">
        <v>4.2140916750535495E-2</v>
      </c>
      <c r="E249" t="s">
        <v>6</v>
      </c>
      <c r="G249" t="s">
        <v>566</v>
      </c>
      <c r="H249" t="s">
        <v>30</v>
      </c>
      <c r="I249">
        <v>2.7767194213058226E-2</v>
      </c>
      <c r="J249" t="s">
        <v>6</v>
      </c>
      <c r="L249" t="s">
        <v>567</v>
      </c>
      <c r="M249" t="s">
        <v>30</v>
      </c>
      <c r="N249">
        <v>2.776063900156641E-2</v>
      </c>
      <c r="O249" t="s">
        <v>6</v>
      </c>
    </row>
    <row r="250" spans="2:15" x14ac:dyDescent="0.45">
      <c r="B250" t="s">
        <v>565</v>
      </c>
      <c r="C250" t="s">
        <v>31</v>
      </c>
      <c r="D250">
        <v>8.1138615094790011E-4</v>
      </c>
      <c r="E250" t="s">
        <v>6</v>
      </c>
      <c r="G250" t="s">
        <v>566</v>
      </c>
      <c r="H250" t="s">
        <v>31</v>
      </c>
      <c r="I250">
        <v>2.7328635277439461E-2</v>
      </c>
      <c r="J250" t="s">
        <v>6</v>
      </c>
      <c r="L250" t="s">
        <v>567</v>
      </c>
      <c r="M250" t="s">
        <v>31</v>
      </c>
      <c r="N250">
        <v>2.5452196420347684E-2</v>
      </c>
      <c r="O250" t="s">
        <v>6</v>
      </c>
    </row>
    <row r="251" spans="2:15" x14ac:dyDescent="0.45">
      <c r="B251" t="s">
        <v>568</v>
      </c>
      <c r="C251" t="s">
        <v>5</v>
      </c>
      <c r="D251">
        <v>0</v>
      </c>
      <c r="E251" t="s">
        <v>6</v>
      </c>
      <c r="G251" t="s">
        <v>569</v>
      </c>
      <c r="H251" t="s">
        <v>5</v>
      </c>
      <c r="I251">
        <v>9.4891870232827663E-2</v>
      </c>
      <c r="J251" t="s">
        <v>6</v>
      </c>
      <c r="L251" t="s">
        <v>570</v>
      </c>
      <c r="M251" t="s">
        <v>5</v>
      </c>
      <c r="N251">
        <v>0.10645950810424062</v>
      </c>
      <c r="O251" t="s">
        <v>6</v>
      </c>
    </row>
    <row r="252" spans="2:15" x14ac:dyDescent="0.45">
      <c r="B252" t="s">
        <v>568</v>
      </c>
      <c r="C252" t="s">
        <v>9</v>
      </c>
      <c r="D252">
        <v>1.0660134002768486E-4</v>
      </c>
      <c r="E252" t="s">
        <v>6</v>
      </c>
      <c r="G252" t="s">
        <v>569</v>
      </c>
      <c r="H252" t="s">
        <v>9</v>
      </c>
      <c r="I252">
        <v>4.4022097879382334E-2</v>
      </c>
      <c r="J252" t="s">
        <v>6</v>
      </c>
      <c r="L252" t="s">
        <v>570</v>
      </c>
      <c r="M252" t="s">
        <v>9</v>
      </c>
      <c r="N252">
        <v>4.9657611028343235E-2</v>
      </c>
      <c r="O252" t="s">
        <v>6</v>
      </c>
    </row>
    <row r="253" spans="2:15" x14ac:dyDescent="0.45">
      <c r="B253" t="s">
        <v>568</v>
      </c>
      <c r="C253" t="s">
        <v>10</v>
      </c>
      <c r="D253">
        <v>4.8835337225839812E-2</v>
      </c>
      <c r="E253" t="s">
        <v>6</v>
      </c>
      <c r="G253" t="s">
        <v>569</v>
      </c>
      <c r="H253" t="s">
        <v>10</v>
      </c>
      <c r="I253">
        <v>3.3875877326597373E-2</v>
      </c>
      <c r="J253" t="s">
        <v>6</v>
      </c>
      <c r="L253" t="s">
        <v>570</v>
      </c>
      <c r="M253" t="s">
        <v>10</v>
      </c>
      <c r="N253">
        <v>3.6857637354383382E-2</v>
      </c>
      <c r="O253" t="s">
        <v>6</v>
      </c>
    </row>
    <row r="254" spans="2:15" x14ac:dyDescent="0.45">
      <c r="B254" t="s">
        <v>568</v>
      </c>
      <c r="C254" t="s">
        <v>11</v>
      </c>
      <c r="D254">
        <v>0.10015325006290922</v>
      </c>
      <c r="E254" t="s">
        <v>6</v>
      </c>
      <c r="G254" t="s">
        <v>569</v>
      </c>
      <c r="H254" t="s">
        <v>11</v>
      </c>
      <c r="I254">
        <v>4.1251210932721633E-2</v>
      </c>
      <c r="J254" t="s">
        <v>6</v>
      </c>
      <c r="L254" t="s">
        <v>570</v>
      </c>
      <c r="M254" t="s">
        <v>11</v>
      </c>
      <c r="N254">
        <v>4.0724126830509438E-2</v>
      </c>
      <c r="O254" t="s">
        <v>6</v>
      </c>
    </row>
    <row r="255" spans="2:15" x14ac:dyDescent="0.45">
      <c r="B255" t="s">
        <v>568</v>
      </c>
      <c r="C255" t="s">
        <v>12</v>
      </c>
      <c r="D255">
        <v>5.5522741332450866E-2</v>
      </c>
      <c r="E255" t="s">
        <v>6</v>
      </c>
      <c r="G255" t="s">
        <v>569</v>
      </c>
      <c r="H255" t="s">
        <v>12</v>
      </c>
      <c r="I255">
        <v>4.2225554839303847E-2</v>
      </c>
      <c r="J255" t="s">
        <v>6</v>
      </c>
      <c r="L255" t="s">
        <v>570</v>
      </c>
      <c r="M255" t="s">
        <v>12</v>
      </c>
      <c r="N255">
        <v>4.2359529136505279E-2</v>
      </c>
      <c r="O255" t="s">
        <v>6</v>
      </c>
    </row>
    <row r="256" spans="2:15" x14ac:dyDescent="0.45">
      <c r="B256" t="s">
        <v>568</v>
      </c>
      <c r="C256" t="s">
        <v>13</v>
      </c>
      <c r="D256">
        <v>1.2802527398806146E-3</v>
      </c>
      <c r="E256" t="s">
        <v>6</v>
      </c>
      <c r="G256" t="s">
        <v>569</v>
      </c>
      <c r="H256" t="s">
        <v>13</v>
      </c>
      <c r="I256">
        <v>3.883047881245031E-2</v>
      </c>
      <c r="J256" t="s">
        <v>6</v>
      </c>
      <c r="L256" t="s">
        <v>570</v>
      </c>
      <c r="M256" t="s">
        <v>13</v>
      </c>
      <c r="N256">
        <v>4.1183607757414753E-2</v>
      </c>
      <c r="O256" t="s">
        <v>6</v>
      </c>
    </row>
    <row r="257" spans="2:15" x14ac:dyDescent="0.45">
      <c r="B257" t="s">
        <v>568</v>
      </c>
      <c r="C257" t="s">
        <v>14</v>
      </c>
      <c r="D257">
        <v>0</v>
      </c>
      <c r="E257" t="s">
        <v>6</v>
      </c>
      <c r="G257" t="s">
        <v>569</v>
      </c>
      <c r="H257" t="s">
        <v>14</v>
      </c>
      <c r="I257">
        <v>0.12199767608685981</v>
      </c>
      <c r="J257" t="s">
        <v>6</v>
      </c>
      <c r="L257" t="s">
        <v>570</v>
      </c>
      <c r="M257" t="s">
        <v>14</v>
      </c>
      <c r="N257">
        <v>0.13803013508347697</v>
      </c>
      <c r="O257" t="s">
        <v>6</v>
      </c>
    </row>
    <row r="258" spans="2:15" x14ac:dyDescent="0.45">
      <c r="B258" t="s">
        <v>568</v>
      </c>
      <c r="C258" t="s">
        <v>15</v>
      </c>
      <c r="D258">
        <v>1.034649261465951E-2</v>
      </c>
      <c r="E258" t="s">
        <v>6</v>
      </c>
      <c r="G258" t="s">
        <v>569</v>
      </c>
      <c r="H258" t="s">
        <v>15</v>
      </c>
      <c r="I258">
        <v>5.7792898409949611E-2</v>
      </c>
      <c r="J258" t="s">
        <v>6</v>
      </c>
      <c r="L258" t="s">
        <v>570</v>
      </c>
      <c r="M258" t="s">
        <v>15</v>
      </c>
      <c r="N258">
        <v>6.7389896345229586E-2</v>
      </c>
      <c r="O258" t="s">
        <v>6</v>
      </c>
    </row>
    <row r="259" spans="2:15" x14ac:dyDescent="0.45">
      <c r="B259" t="s">
        <v>568</v>
      </c>
      <c r="C259" t="s">
        <v>16</v>
      </c>
      <c r="D259">
        <v>7.8228807845793405E-2</v>
      </c>
      <c r="E259" t="s">
        <v>6</v>
      </c>
      <c r="G259" t="s">
        <v>569</v>
      </c>
      <c r="H259" t="s">
        <v>16</v>
      </c>
      <c r="I259">
        <v>4.6142386833463375E-2</v>
      </c>
      <c r="J259" t="s">
        <v>6</v>
      </c>
      <c r="L259" t="s">
        <v>570</v>
      </c>
      <c r="M259" t="s">
        <v>16</v>
      </c>
      <c r="N259">
        <v>4.785450750915396E-2</v>
      </c>
      <c r="O259" t="s">
        <v>6</v>
      </c>
    </row>
    <row r="260" spans="2:15" x14ac:dyDescent="0.45">
      <c r="B260" t="s">
        <v>568</v>
      </c>
      <c r="C260" t="s">
        <v>17</v>
      </c>
      <c r="D260">
        <v>0.11453382527851905</v>
      </c>
      <c r="E260" t="s">
        <v>6</v>
      </c>
      <c r="G260" t="s">
        <v>569</v>
      </c>
      <c r="H260" t="s">
        <v>17</v>
      </c>
      <c r="I260">
        <v>5.3031612754571897E-2</v>
      </c>
      <c r="J260" t="s">
        <v>6</v>
      </c>
      <c r="L260" t="s">
        <v>570</v>
      </c>
      <c r="M260" t="s">
        <v>17</v>
      </c>
      <c r="N260">
        <v>4.6880241243419399E-2</v>
      </c>
      <c r="O260" t="s">
        <v>6</v>
      </c>
    </row>
    <row r="261" spans="2:15" x14ac:dyDescent="0.45">
      <c r="B261" t="s">
        <v>568</v>
      </c>
      <c r="C261" t="s">
        <v>18</v>
      </c>
      <c r="D261">
        <v>8.0209875067470363E-2</v>
      </c>
      <c r="E261" t="s">
        <v>6</v>
      </c>
      <c r="G261" t="s">
        <v>569</v>
      </c>
      <c r="H261" t="s">
        <v>18</v>
      </c>
      <c r="I261">
        <v>5.5181422573015379E-2</v>
      </c>
      <c r="J261" t="s">
        <v>6</v>
      </c>
      <c r="L261" t="s">
        <v>570</v>
      </c>
      <c r="M261" t="s">
        <v>18</v>
      </c>
      <c r="N261">
        <v>5.0558129288656863E-2</v>
      </c>
      <c r="O261" t="s">
        <v>6</v>
      </c>
    </row>
    <row r="262" spans="2:15" x14ac:dyDescent="0.45">
      <c r="B262" t="s">
        <v>568</v>
      </c>
      <c r="C262" t="s">
        <v>19</v>
      </c>
      <c r="D262">
        <v>1.1834850720367553E-2</v>
      </c>
      <c r="E262" t="s">
        <v>6</v>
      </c>
      <c r="G262" t="s">
        <v>569</v>
      </c>
      <c r="H262" t="s">
        <v>19</v>
      </c>
      <c r="I262">
        <v>5.0134221519039276E-2</v>
      </c>
      <c r="J262" t="s">
        <v>6</v>
      </c>
      <c r="L262" t="s">
        <v>570</v>
      </c>
      <c r="M262" t="s">
        <v>19</v>
      </c>
      <c r="N262">
        <v>5.2975348485518804E-2</v>
      </c>
      <c r="O262" t="s">
        <v>6</v>
      </c>
    </row>
    <row r="263" spans="2:15" x14ac:dyDescent="0.45">
      <c r="B263" t="s">
        <v>568</v>
      </c>
      <c r="C263" t="s">
        <v>20</v>
      </c>
      <c r="D263">
        <v>0</v>
      </c>
      <c r="E263" t="s">
        <v>6</v>
      </c>
      <c r="G263" t="s">
        <v>569</v>
      </c>
      <c r="H263" t="s">
        <v>20</v>
      </c>
      <c r="I263">
        <v>2.3673121567401732E-2</v>
      </c>
      <c r="J263" t="s">
        <v>6</v>
      </c>
      <c r="L263" t="s">
        <v>570</v>
      </c>
      <c r="M263" t="s">
        <v>20</v>
      </c>
      <c r="N263">
        <v>2.5213892035086668E-2</v>
      </c>
      <c r="O263" t="s">
        <v>6</v>
      </c>
    </row>
    <row r="264" spans="2:15" x14ac:dyDescent="0.45">
      <c r="B264" t="s">
        <v>568</v>
      </c>
      <c r="C264" t="s">
        <v>21</v>
      </c>
      <c r="D264">
        <v>1.4659352783636804E-2</v>
      </c>
      <c r="E264" t="s">
        <v>6</v>
      </c>
      <c r="G264" t="s">
        <v>569</v>
      </c>
      <c r="H264" t="s">
        <v>21</v>
      </c>
      <c r="I264">
        <v>8.9728993042483933E-3</v>
      </c>
      <c r="J264" t="s">
        <v>6</v>
      </c>
      <c r="L264" t="s">
        <v>570</v>
      </c>
      <c r="M264" t="s">
        <v>21</v>
      </c>
      <c r="N264">
        <v>1.2168077641890745E-2</v>
      </c>
      <c r="O264" t="s">
        <v>6</v>
      </c>
    </row>
    <row r="265" spans="2:15" x14ac:dyDescent="0.45">
      <c r="B265" t="s">
        <v>568</v>
      </c>
      <c r="C265" t="s">
        <v>22</v>
      </c>
      <c r="D265">
        <v>8.4586182248652192E-2</v>
      </c>
      <c r="E265" t="s">
        <v>6</v>
      </c>
      <c r="G265" t="s">
        <v>569</v>
      </c>
      <c r="H265" t="s">
        <v>22</v>
      </c>
      <c r="I265">
        <v>7.6332095261726013E-3</v>
      </c>
      <c r="J265" t="s">
        <v>6</v>
      </c>
      <c r="L265" t="s">
        <v>570</v>
      </c>
      <c r="M265" t="s">
        <v>22</v>
      </c>
      <c r="N265">
        <v>8.6628636671660184E-3</v>
      </c>
      <c r="O265" t="s">
        <v>6</v>
      </c>
    </row>
    <row r="266" spans="2:15" x14ac:dyDescent="0.45">
      <c r="B266" t="s">
        <v>568</v>
      </c>
      <c r="C266" t="s">
        <v>23</v>
      </c>
      <c r="D266">
        <v>0.11047108488669803</v>
      </c>
      <c r="E266" t="s">
        <v>6</v>
      </c>
      <c r="G266" t="s">
        <v>569</v>
      </c>
      <c r="H266" t="s">
        <v>23</v>
      </c>
      <c r="I266">
        <v>1.7557166961958824E-2</v>
      </c>
      <c r="J266" t="s">
        <v>6</v>
      </c>
      <c r="L266" t="s">
        <v>570</v>
      </c>
      <c r="M266" t="s">
        <v>23</v>
      </c>
      <c r="N266">
        <v>1.0675770890327407E-2</v>
      </c>
      <c r="O266" t="s">
        <v>6</v>
      </c>
    </row>
    <row r="267" spans="2:15" x14ac:dyDescent="0.45">
      <c r="B267" t="s">
        <v>568</v>
      </c>
      <c r="C267" t="s">
        <v>24</v>
      </c>
      <c r="D267">
        <v>7.5068878029531272E-2</v>
      </c>
      <c r="E267" t="s">
        <v>6</v>
      </c>
      <c r="G267" t="s">
        <v>569</v>
      </c>
      <c r="H267" t="s">
        <v>24</v>
      </c>
      <c r="I267">
        <v>2.5822295872974882E-2</v>
      </c>
      <c r="J267" t="s">
        <v>6</v>
      </c>
      <c r="L267" t="s">
        <v>570</v>
      </c>
      <c r="M267" t="s">
        <v>24</v>
      </c>
      <c r="N267">
        <v>1.5070205612976128E-2</v>
      </c>
      <c r="O267" t="s">
        <v>6</v>
      </c>
    </row>
    <row r="268" spans="2:15" x14ac:dyDescent="0.45">
      <c r="B268" t="s">
        <v>568</v>
      </c>
      <c r="C268" t="s">
        <v>25</v>
      </c>
      <c r="D268">
        <v>1.5657331057541718E-2</v>
      </c>
      <c r="E268" t="s">
        <v>6</v>
      </c>
      <c r="G268" t="s">
        <v>569</v>
      </c>
      <c r="H268" t="s">
        <v>25</v>
      </c>
      <c r="I268">
        <v>1.9151235499079051E-2</v>
      </c>
      <c r="J268" t="s">
        <v>6</v>
      </c>
      <c r="L268" t="s">
        <v>570</v>
      </c>
      <c r="M268" t="s">
        <v>25</v>
      </c>
      <c r="N268">
        <v>1.4338043119541522E-2</v>
      </c>
      <c r="O268" t="s">
        <v>6</v>
      </c>
    </row>
    <row r="269" spans="2:15" x14ac:dyDescent="0.45">
      <c r="B269" t="s">
        <v>568</v>
      </c>
      <c r="C269" t="s">
        <v>26</v>
      </c>
      <c r="D269">
        <v>0</v>
      </c>
      <c r="E269" t="s">
        <v>6</v>
      </c>
      <c r="G269" t="s">
        <v>569</v>
      </c>
      <c r="H269" t="s">
        <v>26</v>
      </c>
      <c r="I269">
        <v>7.4126887740234376E-2</v>
      </c>
      <c r="J269" t="s">
        <v>6</v>
      </c>
      <c r="L269" t="s">
        <v>570</v>
      </c>
      <c r="M269" t="s">
        <v>26</v>
      </c>
      <c r="N269">
        <v>6.0647289113204883E-2</v>
      </c>
      <c r="O269" t="s">
        <v>6</v>
      </c>
    </row>
    <row r="270" spans="2:15" x14ac:dyDescent="0.45">
      <c r="B270" t="s">
        <v>568</v>
      </c>
      <c r="C270" t="s">
        <v>27</v>
      </c>
      <c r="D270">
        <v>3.3581772494559172E-3</v>
      </c>
      <c r="E270" t="s">
        <v>6</v>
      </c>
      <c r="G270" t="s">
        <v>569</v>
      </c>
      <c r="H270" t="s">
        <v>27</v>
      </c>
      <c r="I270">
        <v>3.3962841623310078E-2</v>
      </c>
      <c r="J270" t="s">
        <v>6</v>
      </c>
      <c r="L270" t="s">
        <v>570</v>
      </c>
      <c r="M270" t="s">
        <v>27</v>
      </c>
      <c r="N270">
        <v>3.206439596098213E-2</v>
      </c>
      <c r="O270" t="s">
        <v>6</v>
      </c>
    </row>
    <row r="271" spans="2:15" x14ac:dyDescent="0.45">
      <c r="B271" t="s">
        <v>568</v>
      </c>
      <c r="C271" t="s">
        <v>28</v>
      </c>
      <c r="D271">
        <v>5.6162183054440019E-2</v>
      </c>
      <c r="E271" t="s">
        <v>6</v>
      </c>
      <c r="G271" t="s">
        <v>569</v>
      </c>
      <c r="H271" t="s">
        <v>28</v>
      </c>
      <c r="I271">
        <v>2.373242780492232E-2</v>
      </c>
      <c r="J271" t="s">
        <v>6</v>
      </c>
      <c r="L271" t="s">
        <v>570</v>
      </c>
      <c r="M271" t="s">
        <v>28</v>
      </c>
      <c r="N271">
        <v>2.3577823590511613E-2</v>
      </c>
      <c r="O271" t="s">
        <v>6</v>
      </c>
    </row>
    <row r="272" spans="2:15" x14ac:dyDescent="0.45">
      <c r="B272" t="s">
        <v>568</v>
      </c>
      <c r="C272" t="s">
        <v>29</v>
      </c>
      <c r="D272">
        <v>8.8010871915597089E-2</v>
      </c>
      <c r="E272" t="s">
        <v>6</v>
      </c>
      <c r="G272" t="s">
        <v>569</v>
      </c>
      <c r="H272" t="s">
        <v>29</v>
      </c>
      <c r="I272">
        <v>2.7185577565115811E-2</v>
      </c>
      <c r="J272" t="s">
        <v>6</v>
      </c>
      <c r="L272" t="s">
        <v>570</v>
      </c>
      <c r="M272" t="s">
        <v>29</v>
      </c>
      <c r="N272">
        <v>2.4886227081985433E-2</v>
      </c>
      <c r="O272" t="s">
        <v>6</v>
      </c>
    </row>
    <row r="273" spans="2:15" x14ac:dyDescent="0.45">
      <c r="B273" t="s">
        <v>568</v>
      </c>
      <c r="C273" t="s">
        <v>30</v>
      </c>
      <c r="D273">
        <v>4.8637181410749644E-2</v>
      </c>
      <c r="E273" t="s">
        <v>6</v>
      </c>
      <c r="G273" t="s">
        <v>569</v>
      </c>
      <c r="H273" t="s">
        <v>30</v>
      </c>
      <c r="I273">
        <v>3.030678383738282E-2</v>
      </c>
      <c r="J273" t="s">
        <v>6</v>
      </c>
      <c r="L273" t="s">
        <v>570</v>
      </c>
      <c r="M273" t="s">
        <v>30</v>
      </c>
      <c r="N273">
        <v>2.654095239048624E-2</v>
      </c>
      <c r="O273" t="s">
        <v>6</v>
      </c>
    </row>
    <row r="274" spans="2:15" x14ac:dyDescent="0.45">
      <c r="B274" t="s">
        <v>568</v>
      </c>
      <c r="C274" t="s">
        <v>31</v>
      </c>
      <c r="D274">
        <v>2.3367231357812553E-3</v>
      </c>
      <c r="E274" t="s">
        <v>6</v>
      </c>
      <c r="G274" t="s">
        <v>569</v>
      </c>
      <c r="H274" t="s">
        <v>31</v>
      </c>
      <c r="I274">
        <v>2.8498244497015195E-2</v>
      </c>
      <c r="J274" t="s">
        <v>6</v>
      </c>
      <c r="L274" t="s">
        <v>570</v>
      </c>
      <c r="M274" t="s">
        <v>31</v>
      </c>
      <c r="N274">
        <v>2.5224180728985995E-2</v>
      </c>
      <c r="O274" t="s">
        <v>6</v>
      </c>
    </row>
    <row r="275" spans="2:15" x14ac:dyDescent="0.45">
      <c r="B275" t="s">
        <v>571</v>
      </c>
      <c r="C275" t="s">
        <v>5</v>
      </c>
      <c r="D275">
        <v>0</v>
      </c>
      <c r="E275" t="s">
        <v>6</v>
      </c>
      <c r="G275" t="s">
        <v>572</v>
      </c>
      <c r="H275" t="s">
        <v>5</v>
      </c>
      <c r="I275">
        <v>0.10106867086181062</v>
      </c>
      <c r="J275" t="s">
        <v>6</v>
      </c>
      <c r="L275" t="s">
        <v>573</v>
      </c>
      <c r="M275" t="s">
        <v>5</v>
      </c>
      <c r="N275">
        <v>8.6859039605864483E-2</v>
      </c>
      <c r="O275" t="s">
        <v>6</v>
      </c>
    </row>
    <row r="276" spans="2:15" x14ac:dyDescent="0.45">
      <c r="B276" t="s">
        <v>571</v>
      </c>
      <c r="C276" t="s">
        <v>9</v>
      </c>
      <c r="D276">
        <v>2.1221069164896654E-4</v>
      </c>
      <c r="E276" t="s">
        <v>6</v>
      </c>
      <c r="G276" t="s">
        <v>572</v>
      </c>
      <c r="H276" t="s">
        <v>9</v>
      </c>
      <c r="I276">
        <v>4.9836521921344107E-2</v>
      </c>
      <c r="J276" t="s">
        <v>6</v>
      </c>
      <c r="L276" t="s">
        <v>573</v>
      </c>
      <c r="M276" t="s">
        <v>9</v>
      </c>
      <c r="N276">
        <v>3.8912597076874014E-2</v>
      </c>
      <c r="O276" t="s">
        <v>6</v>
      </c>
    </row>
    <row r="277" spans="2:15" x14ac:dyDescent="0.45">
      <c r="B277" t="s">
        <v>571</v>
      </c>
      <c r="C277" t="s">
        <v>10</v>
      </c>
      <c r="D277">
        <v>4.6848709650672032E-2</v>
      </c>
      <c r="E277" t="s">
        <v>6</v>
      </c>
      <c r="G277" t="s">
        <v>572</v>
      </c>
      <c r="H277" t="s">
        <v>10</v>
      </c>
      <c r="I277">
        <v>3.6292959758327539E-2</v>
      </c>
      <c r="J277" t="s">
        <v>6</v>
      </c>
      <c r="L277" t="s">
        <v>573</v>
      </c>
      <c r="M277" t="s">
        <v>10</v>
      </c>
      <c r="N277">
        <v>3.2614795981590373E-2</v>
      </c>
      <c r="O277" t="s">
        <v>6</v>
      </c>
    </row>
    <row r="278" spans="2:15" x14ac:dyDescent="0.45">
      <c r="B278" t="s">
        <v>571</v>
      </c>
      <c r="C278" t="s">
        <v>11</v>
      </c>
      <c r="D278">
        <v>9.3477637384616882E-2</v>
      </c>
      <c r="E278" t="s">
        <v>6</v>
      </c>
      <c r="G278" t="s">
        <v>572</v>
      </c>
      <c r="H278" t="s">
        <v>11</v>
      </c>
      <c r="I278">
        <v>4.2293912637864452E-2</v>
      </c>
      <c r="J278" t="s">
        <v>6</v>
      </c>
      <c r="L278" t="s">
        <v>573</v>
      </c>
      <c r="M278" t="s">
        <v>11</v>
      </c>
      <c r="N278">
        <v>3.680613284467054E-2</v>
      </c>
      <c r="O278" t="s">
        <v>6</v>
      </c>
    </row>
    <row r="279" spans="2:15" x14ac:dyDescent="0.45">
      <c r="B279" t="s">
        <v>571</v>
      </c>
      <c r="C279" t="s">
        <v>12</v>
      </c>
      <c r="D279">
        <v>4.9565051625966673E-2</v>
      </c>
      <c r="E279" t="s">
        <v>6</v>
      </c>
      <c r="G279" t="s">
        <v>572</v>
      </c>
      <c r="H279" t="s">
        <v>12</v>
      </c>
      <c r="I279">
        <v>3.9380372730520759E-2</v>
      </c>
      <c r="J279" t="s">
        <v>6</v>
      </c>
      <c r="L279" t="s">
        <v>573</v>
      </c>
      <c r="M279" t="s">
        <v>12</v>
      </c>
      <c r="N279">
        <v>3.827070006873752E-2</v>
      </c>
      <c r="O279" t="s">
        <v>6</v>
      </c>
    </row>
    <row r="280" spans="2:15" x14ac:dyDescent="0.45">
      <c r="B280" t="s">
        <v>571</v>
      </c>
      <c r="C280" t="s">
        <v>13</v>
      </c>
      <c r="D280">
        <v>8.4130860407294436E-4</v>
      </c>
      <c r="E280" t="s">
        <v>6</v>
      </c>
      <c r="G280" t="s">
        <v>572</v>
      </c>
      <c r="H280" t="s">
        <v>13</v>
      </c>
      <c r="I280">
        <v>3.7326722116424307E-2</v>
      </c>
      <c r="J280" t="s">
        <v>6</v>
      </c>
      <c r="L280" t="s">
        <v>573</v>
      </c>
      <c r="M280" t="s">
        <v>13</v>
      </c>
      <c r="N280">
        <v>3.7159832745213076E-2</v>
      </c>
      <c r="O280" t="s">
        <v>6</v>
      </c>
    </row>
    <row r="281" spans="2:15" x14ac:dyDescent="0.45">
      <c r="B281" t="s">
        <v>571</v>
      </c>
      <c r="C281" t="s">
        <v>14</v>
      </c>
      <c r="D281">
        <v>0</v>
      </c>
      <c r="E281" t="s">
        <v>6</v>
      </c>
      <c r="G281" t="s">
        <v>572</v>
      </c>
      <c r="H281" t="s">
        <v>14</v>
      </c>
      <c r="I281">
        <v>9.0189036755547236E-2</v>
      </c>
      <c r="J281" t="s">
        <v>6</v>
      </c>
      <c r="L281" t="s">
        <v>573</v>
      </c>
      <c r="M281" t="s">
        <v>14</v>
      </c>
      <c r="N281">
        <v>0.12574808133219734</v>
      </c>
      <c r="O281" t="s">
        <v>6</v>
      </c>
    </row>
    <row r="282" spans="2:15" x14ac:dyDescent="0.45">
      <c r="B282" t="s">
        <v>571</v>
      </c>
      <c r="C282" t="s">
        <v>15</v>
      </c>
      <c r="D282">
        <v>1.1311770176448284E-2</v>
      </c>
      <c r="E282" t="s">
        <v>6</v>
      </c>
      <c r="G282" t="s">
        <v>572</v>
      </c>
      <c r="H282" t="s">
        <v>15</v>
      </c>
      <c r="I282">
        <v>4.2873917018638456E-2</v>
      </c>
      <c r="J282" t="s">
        <v>6</v>
      </c>
      <c r="L282" t="s">
        <v>573</v>
      </c>
      <c r="M282" t="s">
        <v>15</v>
      </c>
      <c r="N282">
        <v>6.0142198607251424E-2</v>
      </c>
      <c r="O282" t="s">
        <v>6</v>
      </c>
    </row>
    <row r="283" spans="2:15" x14ac:dyDescent="0.45">
      <c r="B283" t="s">
        <v>571</v>
      </c>
      <c r="C283" t="s">
        <v>16</v>
      </c>
      <c r="D283">
        <v>7.6078547201699612E-2</v>
      </c>
      <c r="E283" t="s">
        <v>6</v>
      </c>
      <c r="G283" t="s">
        <v>572</v>
      </c>
      <c r="H283" t="s">
        <v>16</v>
      </c>
      <c r="I283">
        <v>3.4740862133241707E-2</v>
      </c>
      <c r="J283" t="s">
        <v>6</v>
      </c>
      <c r="L283" t="s">
        <v>573</v>
      </c>
      <c r="M283" t="s">
        <v>16</v>
      </c>
      <c r="N283">
        <v>4.8321122810099967E-2</v>
      </c>
      <c r="O283" t="s">
        <v>6</v>
      </c>
    </row>
    <row r="284" spans="2:15" x14ac:dyDescent="0.45">
      <c r="B284" t="s">
        <v>571</v>
      </c>
      <c r="C284" t="s">
        <v>17</v>
      </c>
      <c r="D284">
        <v>0.10550542090078147</v>
      </c>
      <c r="E284" t="s">
        <v>6</v>
      </c>
      <c r="G284" t="s">
        <v>572</v>
      </c>
      <c r="H284" t="s">
        <v>17</v>
      </c>
      <c r="I284">
        <v>4.3574521289481881E-2</v>
      </c>
      <c r="J284" t="s">
        <v>6</v>
      </c>
      <c r="L284" t="s">
        <v>573</v>
      </c>
      <c r="M284" t="s">
        <v>17</v>
      </c>
      <c r="N284">
        <v>4.814629199836503E-2</v>
      </c>
      <c r="O284" t="s">
        <v>6</v>
      </c>
    </row>
    <row r="285" spans="2:15" x14ac:dyDescent="0.45">
      <c r="B285" t="s">
        <v>571</v>
      </c>
      <c r="C285" t="s">
        <v>18</v>
      </c>
      <c r="D285">
        <v>6.8597615179993368E-2</v>
      </c>
      <c r="E285" t="s">
        <v>6</v>
      </c>
      <c r="G285" t="s">
        <v>572</v>
      </c>
      <c r="H285" t="s">
        <v>18</v>
      </c>
      <c r="I285">
        <v>4.7560776517919068E-2</v>
      </c>
      <c r="J285" t="s">
        <v>6</v>
      </c>
      <c r="L285" t="s">
        <v>573</v>
      </c>
      <c r="M285" t="s">
        <v>18</v>
      </c>
      <c r="N285">
        <v>5.1280813489469029E-2</v>
      </c>
      <c r="O285" t="s">
        <v>6</v>
      </c>
    </row>
    <row r="286" spans="2:15" x14ac:dyDescent="0.45">
      <c r="B286" t="s">
        <v>571</v>
      </c>
      <c r="C286" t="s">
        <v>19</v>
      </c>
      <c r="D286">
        <v>9.0160056814441031E-3</v>
      </c>
      <c r="E286" t="s">
        <v>6</v>
      </c>
      <c r="G286" t="s">
        <v>572</v>
      </c>
      <c r="H286" t="s">
        <v>19</v>
      </c>
      <c r="I286">
        <v>4.0367110809333299E-2</v>
      </c>
      <c r="J286" t="s">
        <v>6</v>
      </c>
      <c r="L286" t="s">
        <v>573</v>
      </c>
      <c r="M286" t="s">
        <v>19</v>
      </c>
      <c r="N286">
        <v>5.2059798068374956E-2</v>
      </c>
      <c r="O286" t="s">
        <v>6</v>
      </c>
    </row>
    <row r="287" spans="2:15" x14ac:dyDescent="0.45">
      <c r="B287" t="s">
        <v>571</v>
      </c>
      <c r="C287" t="s">
        <v>20</v>
      </c>
      <c r="D287">
        <v>0</v>
      </c>
      <c r="E287" t="s">
        <v>6</v>
      </c>
      <c r="G287" t="s">
        <v>572</v>
      </c>
      <c r="H287" t="s">
        <v>20</v>
      </c>
      <c r="I287">
        <v>4.985713005675408E-2</v>
      </c>
      <c r="J287" t="s">
        <v>6</v>
      </c>
      <c r="L287" t="s">
        <v>573</v>
      </c>
      <c r="M287" t="s">
        <v>20</v>
      </c>
      <c r="N287">
        <v>3.2345930435164566E-2</v>
      </c>
      <c r="O287" t="s">
        <v>6</v>
      </c>
    </row>
    <row r="288" spans="2:15" x14ac:dyDescent="0.45">
      <c r="B288" t="s">
        <v>571</v>
      </c>
      <c r="C288" t="s">
        <v>21</v>
      </c>
      <c r="D288">
        <v>1.8674493667230868E-2</v>
      </c>
      <c r="E288" t="s">
        <v>6</v>
      </c>
      <c r="G288" t="s">
        <v>572</v>
      </c>
      <c r="H288" t="s">
        <v>21</v>
      </c>
      <c r="I288">
        <v>2.643912179781148E-2</v>
      </c>
      <c r="J288" t="s">
        <v>6</v>
      </c>
      <c r="L288" t="s">
        <v>573</v>
      </c>
      <c r="M288" t="s">
        <v>21</v>
      </c>
      <c r="N288">
        <v>1.0926888824174809E-2</v>
      </c>
      <c r="O288" t="s">
        <v>6</v>
      </c>
    </row>
    <row r="289" spans="2:15" x14ac:dyDescent="0.45">
      <c r="B289" t="s">
        <v>571</v>
      </c>
      <c r="C289" t="s">
        <v>22</v>
      </c>
      <c r="D289">
        <v>9.4990174902400443E-2</v>
      </c>
      <c r="E289" t="s">
        <v>6</v>
      </c>
      <c r="G289" t="s">
        <v>572</v>
      </c>
      <c r="H289" t="s">
        <v>22</v>
      </c>
      <c r="I289">
        <v>2.216356919683931E-2</v>
      </c>
      <c r="J289" t="s">
        <v>6</v>
      </c>
      <c r="L289" t="s">
        <v>573</v>
      </c>
      <c r="M289" t="s">
        <v>22</v>
      </c>
      <c r="N289">
        <v>8.8086001455343708E-3</v>
      </c>
      <c r="O289" t="s">
        <v>6</v>
      </c>
    </row>
    <row r="290" spans="2:15" x14ac:dyDescent="0.45">
      <c r="B290" t="s">
        <v>571</v>
      </c>
      <c r="C290" t="s">
        <v>23</v>
      </c>
      <c r="D290">
        <v>0.12742515494596213</v>
      </c>
      <c r="E290" t="s">
        <v>6</v>
      </c>
      <c r="G290" t="s">
        <v>572</v>
      </c>
      <c r="H290" t="s">
        <v>23</v>
      </c>
      <c r="I290">
        <v>2.5863539617437727E-2</v>
      </c>
      <c r="J290" t="s">
        <v>6</v>
      </c>
      <c r="L290" t="s">
        <v>573</v>
      </c>
      <c r="M290" t="s">
        <v>23</v>
      </c>
      <c r="N290">
        <v>1.5054786898478339E-2</v>
      </c>
      <c r="O290" t="s">
        <v>6</v>
      </c>
    </row>
    <row r="291" spans="2:15" x14ac:dyDescent="0.45">
      <c r="B291" t="s">
        <v>571</v>
      </c>
      <c r="C291" t="s">
        <v>24</v>
      </c>
      <c r="D291">
        <v>8.8069103714278313E-2</v>
      </c>
      <c r="E291" t="s">
        <v>6</v>
      </c>
      <c r="G291" t="s">
        <v>572</v>
      </c>
      <c r="H291" t="s">
        <v>24</v>
      </c>
      <c r="I291">
        <v>2.6007184737415815E-2</v>
      </c>
      <c r="J291" t="s">
        <v>6</v>
      </c>
      <c r="L291" t="s">
        <v>573</v>
      </c>
      <c r="M291" t="s">
        <v>24</v>
      </c>
      <c r="N291">
        <v>2.156853170029013E-2</v>
      </c>
      <c r="O291" t="s">
        <v>6</v>
      </c>
    </row>
    <row r="292" spans="2:15" x14ac:dyDescent="0.45">
      <c r="B292" t="s">
        <v>571</v>
      </c>
      <c r="C292" t="s">
        <v>25</v>
      </c>
      <c r="D292">
        <v>1.5812084736667099E-2</v>
      </c>
      <c r="E292" t="s">
        <v>6</v>
      </c>
      <c r="G292" t="s">
        <v>572</v>
      </c>
      <c r="H292" t="s">
        <v>25</v>
      </c>
      <c r="I292">
        <v>1.9193708616771301E-2</v>
      </c>
      <c r="J292" t="s">
        <v>6</v>
      </c>
      <c r="L292" t="s">
        <v>573</v>
      </c>
      <c r="M292" t="s">
        <v>25</v>
      </c>
      <c r="N292">
        <v>1.9882967793040721E-2</v>
      </c>
      <c r="O292" t="s">
        <v>6</v>
      </c>
    </row>
    <row r="293" spans="2:15" x14ac:dyDescent="0.45">
      <c r="B293" t="s">
        <v>571</v>
      </c>
      <c r="C293" t="s">
        <v>26</v>
      </c>
      <c r="D293">
        <v>0</v>
      </c>
      <c r="E293" t="s">
        <v>6</v>
      </c>
      <c r="G293" t="s">
        <v>572</v>
      </c>
      <c r="H293" t="s">
        <v>26</v>
      </c>
      <c r="I293">
        <v>7.0759464616168222E-2</v>
      </c>
      <c r="J293" t="s">
        <v>6</v>
      </c>
      <c r="L293" t="s">
        <v>573</v>
      </c>
      <c r="M293" t="s">
        <v>26</v>
      </c>
      <c r="N293">
        <v>7.6487412035856711E-2</v>
      </c>
      <c r="O293" t="s">
        <v>6</v>
      </c>
    </row>
    <row r="294" spans="2:15" x14ac:dyDescent="0.45">
      <c r="B294" t="s">
        <v>571</v>
      </c>
      <c r="C294" t="s">
        <v>27</v>
      </c>
      <c r="D294">
        <v>4.1951294260746909E-3</v>
      </c>
      <c r="E294" t="s">
        <v>6</v>
      </c>
      <c r="G294" t="s">
        <v>572</v>
      </c>
      <c r="H294" t="s">
        <v>27</v>
      </c>
      <c r="I294">
        <v>3.2304685578141631E-2</v>
      </c>
      <c r="J294" t="s">
        <v>6</v>
      </c>
      <c r="L294" t="s">
        <v>573</v>
      </c>
      <c r="M294" t="s">
        <v>27</v>
      </c>
      <c r="N294">
        <v>3.6742860115000567E-2</v>
      </c>
      <c r="O294" t="s">
        <v>6</v>
      </c>
    </row>
    <row r="295" spans="2:15" x14ac:dyDescent="0.45">
      <c r="B295" t="s">
        <v>571</v>
      </c>
      <c r="C295" t="s">
        <v>28</v>
      </c>
      <c r="D295">
        <v>5.5430474828699595E-2</v>
      </c>
      <c r="E295" t="s">
        <v>6</v>
      </c>
      <c r="G295" t="s">
        <v>572</v>
      </c>
      <c r="H295" t="s">
        <v>28</v>
      </c>
      <c r="I295">
        <v>2.4736721799410558E-2</v>
      </c>
      <c r="J295" t="s">
        <v>6</v>
      </c>
      <c r="L295" t="s">
        <v>573</v>
      </c>
      <c r="M295" t="s">
        <v>28</v>
      </c>
      <c r="N295">
        <v>2.8803474991968402E-2</v>
      </c>
      <c r="O295" t="s">
        <v>6</v>
      </c>
    </row>
    <row r="296" spans="2:15" x14ac:dyDescent="0.45">
      <c r="B296" t="s">
        <v>571</v>
      </c>
      <c r="C296" t="s">
        <v>29</v>
      </c>
      <c r="D296">
        <v>8.5605912325808914E-2</v>
      </c>
      <c r="E296" t="s">
        <v>6</v>
      </c>
      <c r="G296" t="s">
        <v>572</v>
      </c>
      <c r="H296" t="s">
        <v>29</v>
      </c>
      <c r="I296">
        <v>3.2663224891781958E-2</v>
      </c>
      <c r="J296" t="s">
        <v>6</v>
      </c>
      <c r="L296" t="s">
        <v>573</v>
      </c>
      <c r="M296" t="s">
        <v>29</v>
      </c>
      <c r="N296">
        <v>3.0070239364088237E-2</v>
      </c>
      <c r="O296" t="s">
        <v>6</v>
      </c>
    </row>
    <row r="297" spans="2:15" x14ac:dyDescent="0.45">
      <c r="B297" t="s">
        <v>571</v>
      </c>
      <c r="C297" t="s">
        <v>30</v>
      </c>
      <c r="D297">
        <v>4.6278290025597295E-2</v>
      </c>
      <c r="E297" t="s">
        <v>6</v>
      </c>
      <c r="G297" t="s">
        <v>572</v>
      </c>
      <c r="H297" t="s">
        <v>30</v>
      </c>
      <c r="I297">
        <v>3.4842096461073752E-2</v>
      </c>
      <c r="J297" t="s">
        <v>6</v>
      </c>
      <c r="L297" t="s">
        <v>573</v>
      </c>
      <c r="M297" t="s">
        <v>30</v>
      </c>
      <c r="N297">
        <v>3.1494414024805621E-2</v>
      </c>
      <c r="O297" t="s">
        <v>6</v>
      </c>
    </row>
    <row r="298" spans="2:15" x14ac:dyDescent="0.45">
      <c r="B298" t="s">
        <v>571</v>
      </c>
      <c r="C298" t="s">
        <v>31</v>
      </c>
      <c r="D298">
        <v>2.0649043299393278E-3</v>
      </c>
      <c r="E298" t="s">
        <v>6</v>
      </c>
      <c r="G298" t="s">
        <v>572</v>
      </c>
      <c r="H298" t="s">
        <v>31</v>
      </c>
      <c r="I298">
        <v>2.9664168079940822E-2</v>
      </c>
      <c r="J298" t="s">
        <v>6</v>
      </c>
      <c r="L298" t="s">
        <v>573</v>
      </c>
      <c r="M298" t="s">
        <v>31</v>
      </c>
      <c r="N298">
        <v>3.1492489042893576E-2</v>
      </c>
      <c r="O298" t="s">
        <v>6</v>
      </c>
    </row>
    <row r="299" spans="2:15" x14ac:dyDescent="0.45">
      <c r="B299" t="s">
        <v>574</v>
      </c>
      <c r="C299" t="s">
        <v>5</v>
      </c>
      <c r="D299">
        <v>0</v>
      </c>
      <c r="E299" t="s">
        <v>6</v>
      </c>
      <c r="G299" t="s">
        <v>575</v>
      </c>
      <c r="H299" t="s">
        <v>5</v>
      </c>
      <c r="I299">
        <v>9.3693409555881832E-2</v>
      </c>
      <c r="J299" t="s">
        <v>6</v>
      </c>
      <c r="L299" t="s">
        <v>576</v>
      </c>
      <c r="M299" t="s">
        <v>5</v>
      </c>
      <c r="N299">
        <v>0.10066275641876599</v>
      </c>
      <c r="O299" t="s">
        <v>6</v>
      </c>
    </row>
    <row r="300" spans="2:15" x14ac:dyDescent="0.45">
      <c r="B300" t="s">
        <v>574</v>
      </c>
      <c r="C300" t="s">
        <v>9</v>
      </c>
      <c r="D300">
        <v>1.9328540019622901E-4</v>
      </c>
      <c r="E300" t="s">
        <v>6</v>
      </c>
      <c r="G300" t="s">
        <v>575</v>
      </c>
      <c r="H300" t="s">
        <v>9</v>
      </c>
      <c r="I300">
        <v>4.6751883601171232E-2</v>
      </c>
      <c r="J300" t="s">
        <v>6</v>
      </c>
      <c r="L300" t="s">
        <v>576</v>
      </c>
      <c r="M300" t="s">
        <v>9</v>
      </c>
      <c r="N300">
        <v>4.4036776033062934E-2</v>
      </c>
      <c r="O300" t="s">
        <v>6</v>
      </c>
    </row>
    <row r="301" spans="2:15" x14ac:dyDescent="0.45">
      <c r="B301" t="s">
        <v>574</v>
      </c>
      <c r="C301" t="s">
        <v>10</v>
      </c>
      <c r="D301">
        <v>4.2097240126389171E-2</v>
      </c>
      <c r="E301" t="s">
        <v>6</v>
      </c>
      <c r="G301" t="s">
        <v>575</v>
      </c>
      <c r="H301" t="s">
        <v>10</v>
      </c>
      <c r="I301">
        <v>3.2794601758464381E-2</v>
      </c>
      <c r="J301" t="s">
        <v>6</v>
      </c>
      <c r="L301" t="s">
        <v>576</v>
      </c>
      <c r="M301" t="s">
        <v>10</v>
      </c>
      <c r="N301">
        <v>3.441369307414887E-2</v>
      </c>
      <c r="O301" t="s">
        <v>6</v>
      </c>
    </row>
    <row r="302" spans="2:15" x14ac:dyDescent="0.45">
      <c r="B302" t="s">
        <v>574</v>
      </c>
      <c r="C302" t="s">
        <v>11</v>
      </c>
      <c r="D302">
        <v>8.4922188943333324E-2</v>
      </c>
      <c r="E302" t="s">
        <v>6</v>
      </c>
      <c r="G302" t="s">
        <v>575</v>
      </c>
      <c r="H302" t="s">
        <v>11</v>
      </c>
      <c r="I302">
        <v>4.3992220279690582E-2</v>
      </c>
      <c r="J302" t="s">
        <v>6</v>
      </c>
      <c r="L302" t="s">
        <v>576</v>
      </c>
      <c r="M302" t="s">
        <v>11</v>
      </c>
      <c r="N302">
        <v>3.9352221693991898E-2</v>
      </c>
      <c r="O302" t="s">
        <v>6</v>
      </c>
    </row>
    <row r="303" spans="2:15" x14ac:dyDescent="0.45">
      <c r="B303" t="s">
        <v>574</v>
      </c>
      <c r="C303" t="s">
        <v>12</v>
      </c>
      <c r="D303">
        <v>4.5795815477033999E-2</v>
      </c>
      <c r="E303" t="s">
        <v>6</v>
      </c>
      <c r="G303" t="s">
        <v>575</v>
      </c>
      <c r="H303" t="s">
        <v>12</v>
      </c>
      <c r="I303">
        <v>3.9289507181912195E-2</v>
      </c>
      <c r="J303" t="s">
        <v>6</v>
      </c>
      <c r="L303" t="s">
        <v>576</v>
      </c>
      <c r="M303" t="s">
        <v>12</v>
      </c>
      <c r="N303">
        <v>3.9960702292628235E-2</v>
      </c>
      <c r="O303" t="s">
        <v>6</v>
      </c>
    </row>
    <row r="304" spans="2:15" x14ac:dyDescent="0.45">
      <c r="B304" t="s">
        <v>574</v>
      </c>
      <c r="C304" t="s">
        <v>13</v>
      </c>
      <c r="D304">
        <v>7.8403472098374414E-4</v>
      </c>
      <c r="E304" t="s">
        <v>6</v>
      </c>
      <c r="G304" t="s">
        <v>575</v>
      </c>
      <c r="H304" t="s">
        <v>13</v>
      </c>
      <c r="I304">
        <v>3.5694135518951065E-2</v>
      </c>
      <c r="J304" t="s">
        <v>6</v>
      </c>
      <c r="L304" t="s">
        <v>576</v>
      </c>
      <c r="M304" t="s">
        <v>13</v>
      </c>
      <c r="N304">
        <v>3.8334218494895662E-2</v>
      </c>
      <c r="O304" t="s">
        <v>6</v>
      </c>
    </row>
    <row r="305" spans="2:15" x14ac:dyDescent="0.45">
      <c r="B305" t="s">
        <v>574</v>
      </c>
      <c r="C305" t="s">
        <v>14</v>
      </c>
      <c r="D305">
        <v>0</v>
      </c>
      <c r="E305" t="s">
        <v>6</v>
      </c>
      <c r="G305" t="s">
        <v>575</v>
      </c>
      <c r="H305" t="s">
        <v>14</v>
      </c>
      <c r="I305">
        <v>9.0140022186087562E-2</v>
      </c>
      <c r="J305" t="s">
        <v>6</v>
      </c>
      <c r="L305" t="s">
        <v>576</v>
      </c>
      <c r="M305" t="s">
        <v>14</v>
      </c>
      <c r="N305">
        <v>0.13236742064136608</v>
      </c>
      <c r="O305" t="s">
        <v>6</v>
      </c>
    </row>
    <row r="306" spans="2:15" x14ac:dyDescent="0.45">
      <c r="B306" t="s">
        <v>574</v>
      </c>
      <c r="C306" t="s">
        <v>15</v>
      </c>
      <c r="D306">
        <v>1.1243737652100272E-2</v>
      </c>
      <c r="E306" t="s">
        <v>6</v>
      </c>
      <c r="G306" t="s">
        <v>575</v>
      </c>
      <c r="H306" t="s">
        <v>15</v>
      </c>
      <c r="I306">
        <v>4.5254774773877376E-2</v>
      </c>
      <c r="J306" t="s">
        <v>6</v>
      </c>
      <c r="L306" t="s">
        <v>576</v>
      </c>
      <c r="M306" t="s">
        <v>15</v>
      </c>
      <c r="N306">
        <v>6.049179555412388E-2</v>
      </c>
      <c r="O306" t="s">
        <v>6</v>
      </c>
    </row>
    <row r="307" spans="2:15" x14ac:dyDescent="0.45">
      <c r="B307" t="s">
        <v>574</v>
      </c>
      <c r="C307" t="s">
        <v>16</v>
      </c>
      <c r="D307">
        <v>7.5826343405171068E-2</v>
      </c>
      <c r="E307" t="s">
        <v>6</v>
      </c>
      <c r="G307" t="s">
        <v>575</v>
      </c>
      <c r="H307" t="s">
        <v>16</v>
      </c>
      <c r="I307">
        <v>4.8550890735862565E-2</v>
      </c>
      <c r="J307" t="s">
        <v>6</v>
      </c>
      <c r="L307" t="s">
        <v>576</v>
      </c>
      <c r="M307" t="s">
        <v>16</v>
      </c>
      <c r="N307">
        <v>4.4581486341255284E-2</v>
      </c>
      <c r="O307" t="s">
        <v>6</v>
      </c>
    </row>
    <row r="308" spans="2:15" x14ac:dyDescent="0.45">
      <c r="B308" t="s">
        <v>574</v>
      </c>
      <c r="C308" t="s">
        <v>17</v>
      </c>
      <c r="D308">
        <v>0.10373217749561317</v>
      </c>
      <c r="E308" t="s">
        <v>6</v>
      </c>
      <c r="G308" t="s">
        <v>575</v>
      </c>
      <c r="H308" t="s">
        <v>17</v>
      </c>
      <c r="I308">
        <v>6.0213989675351347E-2</v>
      </c>
      <c r="J308" t="s">
        <v>6</v>
      </c>
      <c r="L308" t="s">
        <v>576</v>
      </c>
      <c r="M308" t="s">
        <v>17</v>
      </c>
      <c r="N308">
        <v>4.5476880505518173E-2</v>
      </c>
      <c r="O308" t="s">
        <v>6</v>
      </c>
    </row>
    <row r="309" spans="2:15" x14ac:dyDescent="0.45">
      <c r="B309" t="s">
        <v>574</v>
      </c>
      <c r="C309" t="s">
        <v>18</v>
      </c>
      <c r="D309">
        <v>6.8493755923980229E-2</v>
      </c>
      <c r="E309" t="s">
        <v>6</v>
      </c>
      <c r="G309" t="s">
        <v>575</v>
      </c>
      <c r="H309" t="s">
        <v>18</v>
      </c>
      <c r="I309">
        <v>5.7393671299433138E-2</v>
      </c>
      <c r="J309" t="s">
        <v>6</v>
      </c>
      <c r="L309" t="s">
        <v>576</v>
      </c>
      <c r="M309" t="s">
        <v>18</v>
      </c>
      <c r="N309">
        <v>5.0900103063627467E-2</v>
      </c>
      <c r="O309" t="s">
        <v>6</v>
      </c>
    </row>
    <row r="310" spans="2:15" x14ac:dyDescent="0.45">
      <c r="B310" t="s">
        <v>574</v>
      </c>
      <c r="C310" t="s">
        <v>19</v>
      </c>
      <c r="D310">
        <v>8.8013807959573722E-3</v>
      </c>
      <c r="E310" t="s">
        <v>6</v>
      </c>
      <c r="G310" t="s">
        <v>575</v>
      </c>
      <c r="H310" t="s">
        <v>19</v>
      </c>
      <c r="I310">
        <v>4.2752422073551247E-2</v>
      </c>
      <c r="J310" t="s">
        <v>6</v>
      </c>
      <c r="L310" t="s">
        <v>576</v>
      </c>
      <c r="M310" t="s">
        <v>19</v>
      </c>
      <c r="N310">
        <v>5.4189874809015458E-2</v>
      </c>
      <c r="O310" t="s">
        <v>6</v>
      </c>
    </row>
    <row r="311" spans="2:15" x14ac:dyDescent="0.45">
      <c r="B311" t="s">
        <v>574</v>
      </c>
      <c r="C311" t="s">
        <v>20</v>
      </c>
      <c r="D311">
        <v>0</v>
      </c>
      <c r="E311" t="s">
        <v>6</v>
      </c>
      <c r="G311" t="s">
        <v>575</v>
      </c>
      <c r="H311" t="s">
        <v>20</v>
      </c>
      <c r="I311">
        <v>3.6811173728166821E-2</v>
      </c>
      <c r="J311" t="s">
        <v>6</v>
      </c>
      <c r="L311" t="s">
        <v>576</v>
      </c>
      <c r="M311" t="s">
        <v>20</v>
      </c>
      <c r="N311">
        <v>2.7123810458282029E-2</v>
      </c>
      <c r="O311" t="s">
        <v>6</v>
      </c>
    </row>
    <row r="312" spans="2:15" x14ac:dyDescent="0.45">
      <c r="B312" t="s">
        <v>574</v>
      </c>
      <c r="C312" t="s">
        <v>21</v>
      </c>
      <c r="D312">
        <v>1.9260330379208896E-2</v>
      </c>
      <c r="E312" t="s">
        <v>6</v>
      </c>
      <c r="G312" t="s">
        <v>575</v>
      </c>
      <c r="H312" t="s">
        <v>21</v>
      </c>
      <c r="I312">
        <v>1.8697721381056361E-2</v>
      </c>
      <c r="J312" t="s">
        <v>6</v>
      </c>
      <c r="L312" t="s">
        <v>576</v>
      </c>
      <c r="M312" t="s">
        <v>21</v>
      </c>
      <c r="N312">
        <v>1.0219277394727749E-2</v>
      </c>
      <c r="O312" t="s">
        <v>6</v>
      </c>
    </row>
    <row r="313" spans="2:15" x14ac:dyDescent="0.45">
      <c r="B313" t="s">
        <v>574</v>
      </c>
      <c r="C313" t="s">
        <v>22</v>
      </c>
      <c r="D313">
        <v>9.9250378645995188E-2</v>
      </c>
      <c r="E313" t="s">
        <v>6</v>
      </c>
      <c r="G313" t="s">
        <v>575</v>
      </c>
      <c r="H313" t="s">
        <v>22</v>
      </c>
      <c r="I313">
        <v>1.8454807403996402E-2</v>
      </c>
      <c r="J313" t="s">
        <v>6</v>
      </c>
      <c r="L313" t="s">
        <v>576</v>
      </c>
      <c r="M313" t="s">
        <v>22</v>
      </c>
      <c r="N313">
        <v>6.8527459742780059E-3</v>
      </c>
      <c r="O313" t="s">
        <v>6</v>
      </c>
    </row>
    <row r="314" spans="2:15" x14ac:dyDescent="0.45">
      <c r="B314" t="s">
        <v>574</v>
      </c>
      <c r="C314" t="s">
        <v>23</v>
      </c>
      <c r="D314">
        <v>0.13403811096762416</v>
      </c>
      <c r="E314" t="s">
        <v>6</v>
      </c>
      <c r="G314" t="s">
        <v>575</v>
      </c>
      <c r="H314" t="s">
        <v>23</v>
      </c>
      <c r="I314">
        <v>2.1388801772983985E-2</v>
      </c>
      <c r="J314" t="s">
        <v>6</v>
      </c>
      <c r="L314" t="s">
        <v>576</v>
      </c>
      <c r="M314" t="s">
        <v>23</v>
      </c>
      <c r="N314">
        <v>1.0151841253711829E-2</v>
      </c>
      <c r="O314" t="s">
        <v>6</v>
      </c>
    </row>
    <row r="315" spans="2:15" x14ac:dyDescent="0.45">
      <c r="B315" t="s">
        <v>574</v>
      </c>
      <c r="C315" t="s">
        <v>24</v>
      </c>
      <c r="D315">
        <v>9.3441879874302566E-2</v>
      </c>
      <c r="E315" t="s">
        <v>6</v>
      </c>
      <c r="G315" t="s">
        <v>575</v>
      </c>
      <c r="H315" t="s">
        <v>24</v>
      </c>
      <c r="I315">
        <v>2.4462598234231307E-2</v>
      </c>
      <c r="J315" t="s">
        <v>6</v>
      </c>
      <c r="L315" t="s">
        <v>576</v>
      </c>
      <c r="M315" t="s">
        <v>24</v>
      </c>
      <c r="N315">
        <v>1.9736518822862186E-2</v>
      </c>
      <c r="O315" t="s">
        <v>6</v>
      </c>
    </row>
    <row r="316" spans="2:15" x14ac:dyDescent="0.45">
      <c r="B316" t="s">
        <v>574</v>
      </c>
      <c r="C316" t="s">
        <v>25</v>
      </c>
      <c r="D316">
        <v>1.6343100118122764E-2</v>
      </c>
      <c r="E316" t="s">
        <v>6</v>
      </c>
      <c r="G316" t="s">
        <v>575</v>
      </c>
      <c r="H316" t="s">
        <v>25</v>
      </c>
      <c r="I316">
        <v>1.8901230568899891E-2</v>
      </c>
      <c r="J316" t="s">
        <v>6</v>
      </c>
      <c r="L316" t="s">
        <v>576</v>
      </c>
      <c r="M316" t="s">
        <v>25</v>
      </c>
      <c r="N316">
        <v>2.0839431106723726E-2</v>
      </c>
      <c r="O316" t="s">
        <v>6</v>
      </c>
    </row>
    <row r="317" spans="2:15" x14ac:dyDescent="0.45">
      <c r="B317" t="s">
        <v>574</v>
      </c>
      <c r="C317" t="s">
        <v>26</v>
      </c>
      <c r="D317">
        <v>0</v>
      </c>
      <c r="E317" t="s">
        <v>6</v>
      </c>
      <c r="G317" t="s">
        <v>575</v>
      </c>
      <c r="H317" t="s">
        <v>26</v>
      </c>
      <c r="I317">
        <v>6.8150209142937027E-2</v>
      </c>
      <c r="J317" t="s">
        <v>6</v>
      </c>
      <c r="L317" t="s">
        <v>576</v>
      </c>
      <c r="M317" t="s">
        <v>26</v>
      </c>
      <c r="N317">
        <v>7.9346330287266648E-2</v>
      </c>
      <c r="O317" t="s">
        <v>6</v>
      </c>
    </row>
    <row r="318" spans="2:15" x14ac:dyDescent="0.45">
      <c r="B318" t="s">
        <v>574</v>
      </c>
      <c r="C318" t="s">
        <v>27</v>
      </c>
      <c r="D318">
        <v>4.3953026110081029E-3</v>
      </c>
      <c r="E318" t="s">
        <v>6</v>
      </c>
      <c r="G318" t="s">
        <v>575</v>
      </c>
      <c r="H318" t="s">
        <v>27</v>
      </c>
      <c r="I318">
        <v>3.1718577034876495E-2</v>
      </c>
      <c r="J318" t="s">
        <v>6</v>
      </c>
      <c r="L318" t="s">
        <v>576</v>
      </c>
      <c r="M318" t="s">
        <v>27</v>
      </c>
      <c r="N318">
        <v>3.4601656027229859E-2</v>
      </c>
      <c r="O318" t="s">
        <v>6</v>
      </c>
    </row>
    <row r="319" spans="2:15" x14ac:dyDescent="0.45">
      <c r="B319" t="s">
        <v>574</v>
      </c>
      <c r="C319" t="s">
        <v>28</v>
      </c>
      <c r="D319">
        <v>5.6779596774808497E-2</v>
      </c>
      <c r="E319" t="s">
        <v>6</v>
      </c>
      <c r="G319" t="s">
        <v>575</v>
      </c>
      <c r="H319" t="s">
        <v>28</v>
      </c>
      <c r="I319">
        <v>2.7577099045924133E-2</v>
      </c>
      <c r="J319" t="s">
        <v>6</v>
      </c>
      <c r="L319" t="s">
        <v>576</v>
      </c>
      <c r="M319" t="s">
        <v>28</v>
      </c>
      <c r="N319">
        <v>2.3680670930112439E-2</v>
      </c>
      <c r="O319" t="s">
        <v>6</v>
      </c>
    </row>
    <row r="320" spans="2:15" x14ac:dyDescent="0.45">
      <c r="B320" t="s">
        <v>574</v>
      </c>
      <c r="C320" t="s">
        <v>29</v>
      </c>
      <c r="D320">
        <v>8.5682476501799859E-2</v>
      </c>
      <c r="E320" t="s">
        <v>6</v>
      </c>
      <c r="G320" t="s">
        <v>575</v>
      </c>
      <c r="H320" t="s">
        <v>29</v>
      </c>
      <c r="I320">
        <v>3.4632774034558944E-2</v>
      </c>
      <c r="J320" t="s">
        <v>6</v>
      </c>
      <c r="L320" t="s">
        <v>576</v>
      </c>
      <c r="M320" t="s">
        <v>29</v>
      </c>
      <c r="N320">
        <v>2.4157754560071527E-2</v>
      </c>
      <c r="O320" t="s">
        <v>6</v>
      </c>
    </row>
    <row r="321" spans="2:15" x14ac:dyDescent="0.45">
      <c r="B321" t="s">
        <v>574</v>
      </c>
      <c r="C321" t="s">
        <v>30</v>
      </c>
      <c r="D321">
        <v>4.6743200140644578E-2</v>
      </c>
      <c r="E321" t="s">
        <v>6</v>
      </c>
      <c r="G321" t="s">
        <v>575</v>
      </c>
      <c r="H321" t="s">
        <v>30</v>
      </c>
      <c r="I321">
        <v>3.4776852030764041E-2</v>
      </c>
      <c r="J321" t="s">
        <v>6</v>
      </c>
      <c r="L321" t="s">
        <v>576</v>
      </c>
      <c r="M321" t="s">
        <v>30</v>
      </c>
      <c r="N321">
        <v>2.8191318122824948E-2</v>
      </c>
      <c r="O321" t="s">
        <v>6</v>
      </c>
    </row>
    <row r="322" spans="2:15" x14ac:dyDescent="0.45">
      <c r="B322" t="s">
        <v>574</v>
      </c>
      <c r="C322" t="s">
        <v>31</v>
      </c>
      <c r="D322">
        <v>2.1756640457279526E-3</v>
      </c>
      <c r="E322" t="s">
        <v>6</v>
      </c>
      <c r="G322" t="s">
        <v>575</v>
      </c>
      <c r="H322" t="s">
        <v>31</v>
      </c>
      <c r="I322">
        <v>2.7906626981371269E-2</v>
      </c>
      <c r="J322" t="s">
        <v>6</v>
      </c>
      <c r="L322" t="s">
        <v>576</v>
      </c>
      <c r="M322" t="s">
        <v>31</v>
      </c>
      <c r="N322">
        <v>3.0330716139502924E-2</v>
      </c>
      <c r="O322" t="s">
        <v>6</v>
      </c>
    </row>
    <row r="323" spans="2:15" x14ac:dyDescent="0.45">
      <c r="B323" t="s">
        <v>577</v>
      </c>
      <c r="C323" t="s">
        <v>5</v>
      </c>
      <c r="D323">
        <v>0</v>
      </c>
      <c r="E323" t="s">
        <v>6</v>
      </c>
      <c r="G323" t="s">
        <v>578</v>
      </c>
      <c r="H323" t="s">
        <v>5</v>
      </c>
      <c r="I323">
        <v>9.4393124466394321E-2</v>
      </c>
      <c r="J323" t="s">
        <v>6</v>
      </c>
      <c r="L323" t="s">
        <v>579</v>
      </c>
      <c r="M323" t="s">
        <v>5</v>
      </c>
      <c r="N323">
        <v>0.11049742436195034</v>
      </c>
      <c r="O323" t="s">
        <v>6</v>
      </c>
    </row>
    <row r="324" spans="2:15" x14ac:dyDescent="0.45">
      <c r="B324" t="s">
        <v>577</v>
      </c>
      <c r="C324" t="s">
        <v>9</v>
      </c>
      <c r="D324">
        <v>1.0333619390238963E-4</v>
      </c>
      <c r="E324" t="s">
        <v>6</v>
      </c>
      <c r="G324" t="s">
        <v>578</v>
      </c>
      <c r="H324" t="s">
        <v>9</v>
      </c>
      <c r="I324">
        <v>4.5403887855598263E-2</v>
      </c>
      <c r="J324" t="s">
        <v>6</v>
      </c>
      <c r="L324" t="s">
        <v>579</v>
      </c>
      <c r="M324" t="s">
        <v>9</v>
      </c>
      <c r="N324">
        <v>5.2679297400671385E-2</v>
      </c>
      <c r="O324" t="s">
        <v>6</v>
      </c>
    </row>
    <row r="325" spans="2:15" x14ac:dyDescent="0.45">
      <c r="B325" t="s">
        <v>577</v>
      </c>
      <c r="C325" t="s">
        <v>10</v>
      </c>
      <c r="D325">
        <v>4.7306578942420005E-2</v>
      </c>
      <c r="E325" t="s">
        <v>6</v>
      </c>
      <c r="G325" t="s">
        <v>578</v>
      </c>
      <c r="H325" t="s">
        <v>10</v>
      </c>
      <c r="I325">
        <v>3.583407657036275E-2</v>
      </c>
      <c r="J325" t="s">
        <v>6</v>
      </c>
      <c r="L325" t="s">
        <v>579</v>
      </c>
      <c r="M325" t="s">
        <v>10</v>
      </c>
      <c r="N325">
        <v>3.9466928305923341E-2</v>
      </c>
      <c r="O325" t="s">
        <v>6</v>
      </c>
    </row>
    <row r="326" spans="2:15" x14ac:dyDescent="0.45">
      <c r="B326" t="s">
        <v>577</v>
      </c>
      <c r="C326" t="s">
        <v>11</v>
      </c>
      <c r="D326">
        <v>9.5612918768517477E-2</v>
      </c>
      <c r="E326" t="s">
        <v>6</v>
      </c>
      <c r="G326" t="s">
        <v>578</v>
      </c>
      <c r="H326" t="s">
        <v>11</v>
      </c>
      <c r="I326">
        <v>3.9308104446213347E-2</v>
      </c>
      <c r="J326" t="s">
        <v>6</v>
      </c>
      <c r="L326" t="s">
        <v>579</v>
      </c>
      <c r="M326" t="s">
        <v>11</v>
      </c>
      <c r="N326">
        <v>4.2003149251866247E-2</v>
      </c>
      <c r="O326" t="s">
        <v>6</v>
      </c>
    </row>
    <row r="327" spans="2:15" x14ac:dyDescent="0.45">
      <c r="B327" t="s">
        <v>577</v>
      </c>
      <c r="C327" t="s">
        <v>12</v>
      </c>
      <c r="D327">
        <v>5.3568672604953328E-2</v>
      </c>
      <c r="E327" t="s">
        <v>6</v>
      </c>
      <c r="G327" t="s">
        <v>578</v>
      </c>
      <c r="H327" t="s">
        <v>12</v>
      </c>
      <c r="I327">
        <v>3.8868385256160751E-2</v>
      </c>
      <c r="J327" t="s">
        <v>6</v>
      </c>
      <c r="L327" t="s">
        <v>579</v>
      </c>
      <c r="M327" t="s">
        <v>12</v>
      </c>
      <c r="N327">
        <v>4.4892966263091812E-2</v>
      </c>
      <c r="O327" t="s">
        <v>6</v>
      </c>
    </row>
    <row r="328" spans="2:15" x14ac:dyDescent="0.45">
      <c r="B328" t="s">
        <v>577</v>
      </c>
      <c r="C328" t="s">
        <v>13</v>
      </c>
      <c r="D328">
        <v>1.0678066134938524E-3</v>
      </c>
      <c r="E328" t="s">
        <v>6</v>
      </c>
      <c r="G328" t="s">
        <v>578</v>
      </c>
      <c r="H328" t="s">
        <v>13</v>
      </c>
      <c r="I328">
        <v>3.68548476504722E-2</v>
      </c>
      <c r="J328" t="s">
        <v>6</v>
      </c>
      <c r="L328" t="s">
        <v>579</v>
      </c>
      <c r="M328" t="s">
        <v>13</v>
      </c>
      <c r="N328">
        <v>4.5540581729147142E-2</v>
      </c>
      <c r="O328" t="s">
        <v>6</v>
      </c>
    </row>
    <row r="329" spans="2:15" x14ac:dyDescent="0.45">
      <c r="B329" t="s">
        <v>577</v>
      </c>
      <c r="C329" t="s">
        <v>14</v>
      </c>
      <c r="D329">
        <v>0</v>
      </c>
      <c r="E329" t="s">
        <v>6</v>
      </c>
      <c r="G329" t="s">
        <v>578</v>
      </c>
      <c r="H329" t="s">
        <v>14</v>
      </c>
      <c r="I329">
        <v>0.10840072628871794</v>
      </c>
      <c r="J329" t="s">
        <v>6</v>
      </c>
      <c r="L329" t="s">
        <v>579</v>
      </c>
      <c r="M329" t="s">
        <v>14</v>
      </c>
      <c r="N329">
        <v>0.11258467020965798</v>
      </c>
      <c r="O329" t="s">
        <v>6</v>
      </c>
    </row>
    <row r="330" spans="2:15" x14ac:dyDescent="0.45">
      <c r="B330" t="s">
        <v>577</v>
      </c>
      <c r="C330" t="s">
        <v>15</v>
      </c>
      <c r="D330">
        <v>9.6522984027171046E-3</v>
      </c>
      <c r="E330" t="s">
        <v>6</v>
      </c>
      <c r="G330" t="s">
        <v>578</v>
      </c>
      <c r="H330" t="s">
        <v>15</v>
      </c>
      <c r="I330">
        <v>5.2817302154873791E-2</v>
      </c>
      <c r="J330" t="s">
        <v>6</v>
      </c>
      <c r="L330" t="s">
        <v>579</v>
      </c>
      <c r="M330" t="s">
        <v>15</v>
      </c>
      <c r="N330">
        <v>5.9608728825420128E-2</v>
      </c>
      <c r="O330" t="s">
        <v>6</v>
      </c>
    </row>
    <row r="331" spans="2:15" x14ac:dyDescent="0.45">
      <c r="B331" t="s">
        <v>577</v>
      </c>
      <c r="C331" t="s">
        <v>16</v>
      </c>
      <c r="D331">
        <v>7.2215352356696169E-2</v>
      </c>
      <c r="E331" t="s">
        <v>6</v>
      </c>
      <c r="G331" t="s">
        <v>578</v>
      </c>
      <c r="H331" t="s">
        <v>16</v>
      </c>
      <c r="I331">
        <v>4.1916360219263947E-2</v>
      </c>
      <c r="J331" t="s">
        <v>6</v>
      </c>
      <c r="L331" t="s">
        <v>579</v>
      </c>
      <c r="M331" t="s">
        <v>16</v>
      </c>
      <c r="N331">
        <v>4.5063753081574627E-2</v>
      </c>
      <c r="O331" t="s">
        <v>6</v>
      </c>
    </row>
    <row r="332" spans="2:15" x14ac:dyDescent="0.45">
      <c r="B332" t="s">
        <v>577</v>
      </c>
      <c r="C332" t="s">
        <v>17</v>
      </c>
      <c r="D332">
        <v>0.1034907959145359</v>
      </c>
      <c r="E332" t="s">
        <v>6</v>
      </c>
      <c r="G332" t="s">
        <v>578</v>
      </c>
      <c r="H332" t="s">
        <v>17</v>
      </c>
      <c r="I332">
        <v>4.516063816071883E-2</v>
      </c>
      <c r="J332" t="s">
        <v>6</v>
      </c>
      <c r="L332" t="s">
        <v>579</v>
      </c>
      <c r="M332" t="s">
        <v>17</v>
      </c>
      <c r="N332">
        <v>4.7426482507848269E-2</v>
      </c>
      <c r="O332" t="s">
        <v>6</v>
      </c>
    </row>
    <row r="333" spans="2:15" x14ac:dyDescent="0.45">
      <c r="B333" t="s">
        <v>577</v>
      </c>
      <c r="C333" t="s">
        <v>18</v>
      </c>
      <c r="D333">
        <v>7.1967837271845789E-2</v>
      </c>
      <c r="E333" t="s">
        <v>6</v>
      </c>
      <c r="G333" t="s">
        <v>578</v>
      </c>
      <c r="H333" t="s">
        <v>18</v>
      </c>
      <c r="I333">
        <v>4.7334328043860174E-2</v>
      </c>
      <c r="J333" t="s">
        <v>6</v>
      </c>
      <c r="L333" t="s">
        <v>579</v>
      </c>
      <c r="M333" t="s">
        <v>18</v>
      </c>
      <c r="N333">
        <v>4.9203401288159518E-2</v>
      </c>
      <c r="O333" t="s">
        <v>6</v>
      </c>
    </row>
    <row r="334" spans="2:15" x14ac:dyDescent="0.45">
      <c r="B334" t="s">
        <v>577</v>
      </c>
      <c r="C334" t="s">
        <v>19</v>
      </c>
      <c r="D334">
        <v>9.781834271507913E-3</v>
      </c>
      <c r="E334" t="s">
        <v>6</v>
      </c>
      <c r="G334" t="s">
        <v>578</v>
      </c>
      <c r="H334" t="s">
        <v>19</v>
      </c>
      <c r="I334">
        <v>4.3989369860208336E-2</v>
      </c>
      <c r="J334" t="s">
        <v>6</v>
      </c>
      <c r="L334" t="s">
        <v>579</v>
      </c>
      <c r="M334" t="s">
        <v>19</v>
      </c>
      <c r="N334">
        <v>4.7857608187441981E-2</v>
      </c>
      <c r="O334" t="s">
        <v>6</v>
      </c>
    </row>
    <row r="335" spans="2:15" x14ac:dyDescent="0.45">
      <c r="B335" t="s">
        <v>577</v>
      </c>
      <c r="C335" t="s">
        <v>20</v>
      </c>
      <c r="D335">
        <v>0</v>
      </c>
      <c r="E335" t="s">
        <v>6</v>
      </c>
      <c r="G335" t="s">
        <v>578</v>
      </c>
      <c r="H335" t="s">
        <v>20</v>
      </c>
      <c r="I335">
        <v>3.3179047461937762E-2</v>
      </c>
      <c r="J335" t="s">
        <v>6</v>
      </c>
      <c r="L335" t="s">
        <v>579</v>
      </c>
      <c r="M335" t="s">
        <v>20</v>
      </c>
      <c r="N335">
        <v>3.8880360958129821E-2</v>
      </c>
      <c r="O335" t="s">
        <v>6</v>
      </c>
    </row>
    <row r="336" spans="2:15" x14ac:dyDescent="0.45">
      <c r="B336" t="s">
        <v>577</v>
      </c>
      <c r="C336" t="s">
        <v>21</v>
      </c>
      <c r="D336">
        <v>1.6890492748351776E-2</v>
      </c>
      <c r="E336" t="s">
        <v>6</v>
      </c>
      <c r="G336" t="s">
        <v>578</v>
      </c>
      <c r="H336" t="s">
        <v>21</v>
      </c>
      <c r="I336">
        <v>1.5182346268176631E-2</v>
      </c>
      <c r="J336" t="s">
        <v>6</v>
      </c>
      <c r="L336" t="s">
        <v>579</v>
      </c>
      <c r="M336" t="s">
        <v>21</v>
      </c>
      <c r="N336">
        <v>1.6642645194259079E-2</v>
      </c>
      <c r="O336" t="s">
        <v>6</v>
      </c>
    </row>
    <row r="337" spans="2:15" x14ac:dyDescent="0.45">
      <c r="B337" t="s">
        <v>577</v>
      </c>
      <c r="C337" t="s">
        <v>22</v>
      </c>
      <c r="D337">
        <v>9.3392180014219409E-2</v>
      </c>
      <c r="E337" t="s">
        <v>6</v>
      </c>
      <c r="G337" t="s">
        <v>578</v>
      </c>
      <c r="H337" t="s">
        <v>22</v>
      </c>
      <c r="I337">
        <v>1.2246803555577793E-2</v>
      </c>
      <c r="J337" t="s">
        <v>6</v>
      </c>
      <c r="L337" t="s">
        <v>579</v>
      </c>
      <c r="M337" t="s">
        <v>22</v>
      </c>
      <c r="N337">
        <v>1.1900553863976471E-2</v>
      </c>
      <c r="O337" t="s">
        <v>6</v>
      </c>
    </row>
    <row r="338" spans="2:15" x14ac:dyDescent="0.45">
      <c r="B338" t="s">
        <v>577</v>
      </c>
      <c r="C338" t="s">
        <v>23</v>
      </c>
      <c r="D338">
        <v>0.12756705166954815</v>
      </c>
      <c r="E338" t="s">
        <v>6</v>
      </c>
      <c r="G338" t="s">
        <v>578</v>
      </c>
      <c r="H338" t="s">
        <v>23</v>
      </c>
      <c r="I338">
        <v>1.7198862546156695E-2</v>
      </c>
      <c r="J338" t="s">
        <v>6</v>
      </c>
      <c r="L338" t="s">
        <v>579</v>
      </c>
      <c r="M338" t="s">
        <v>23</v>
      </c>
      <c r="N338">
        <v>1.5246204155883576E-2</v>
      </c>
      <c r="O338" t="s">
        <v>6</v>
      </c>
    </row>
    <row r="339" spans="2:15" x14ac:dyDescent="0.45">
      <c r="B339" t="s">
        <v>577</v>
      </c>
      <c r="C339" t="s">
        <v>24</v>
      </c>
      <c r="D339">
        <v>8.8942793788991198E-2</v>
      </c>
      <c r="E339" t="s">
        <v>6</v>
      </c>
      <c r="G339" t="s">
        <v>578</v>
      </c>
      <c r="H339" t="s">
        <v>24</v>
      </c>
      <c r="I339">
        <v>2.2073489721751167E-2</v>
      </c>
      <c r="J339" t="s">
        <v>6</v>
      </c>
      <c r="L339" t="s">
        <v>579</v>
      </c>
      <c r="M339" t="s">
        <v>24</v>
      </c>
      <c r="N339">
        <v>2.0020438645581597E-2</v>
      </c>
      <c r="O339" t="s">
        <v>6</v>
      </c>
    </row>
    <row r="340" spans="2:15" x14ac:dyDescent="0.45">
      <c r="B340" t="s">
        <v>577</v>
      </c>
      <c r="C340" t="s">
        <v>25</v>
      </c>
      <c r="D340">
        <v>1.6993640943036684E-2</v>
      </c>
      <c r="E340" t="s">
        <v>6</v>
      </c>
      <c r="G340" t="s">
        <v>578</v>
      </c>
      <c r="H340" t="s">
        <v>25</v>
      </c>
      <c r="I340">
        <v>1.6723004606065968E-2</v>
      </c>
      <c r="J340" t="s">
        <v>6</v>
      </c>
      <c r="L340" t="s">
        <v>579</v>
      </c>
      <c r="M340" t="s">
        <v>25</v>
      </c>
      <c r="N340">
        <v>1.968121035128868E-2</v>
      </c>
      <c r="O340" t="s">
        <v>6</v>
      </c>
    </row>
    <row r="341" spans="2:15" x14ac:dyDescent="0.45">
      <c r="B341" t="s">
        <v>577</v>
      </c>
      <c r="C341" t="s">
        <v>26</v>
      </c>
      <c r="D341">
        <v>0</v>
      </c>
      <c r="E341" t="s">
        <v>6</v>
      </c>
      <c r="G341" t="s">
        <v>578</v>
      </c>
      <c r="H341" t="s">
        <v>26</v>
      </c>
      <c r="I341">
        <v>8.0519578450513829E-2</v>
      </c>
      <c r="J341" t="s">
        <v>6</v>
      </c>
      <c r="L341" t="s">
        <v>579</v>
      </c>
      <c r="M341" t="s">
        <v>26</v>
      </c>
      <c r="N341">
        <v>5.6746873605877671E-2</v>
      </c>
      <c r="O341" t="s">
        <v>6</v>
      </c>
    </row>
    <row r="342" spans="2:15" x14ac:dyDescent="0.45">
      <c r="B342" t="s">
        <v>577</v>
      </c>
      <c r="C342" t="s">
        <v>27</v>
      </c>
      <c r="D342">
        <v>3.9672431192110287E-3</v>
      </c>
      <c r="E342" t="s">
        <v>6</v>
      </c>
      <c r="G342" t="s">
        <v>578</v>
      </c>
      <c r="H342" t="s">
        <v>27</v>
      </c>
      <c r="I342">
        <v>4.060082500666537E-2</v>
      </c>
      <c r="J342" t="s">
        <v>6</v>
      </c>
      <c r="L342" t="s">
        <v>579</v>
      </c>
      <c r="M342" t="s">
        <v>27</v>
      </c>
      <c r="N342">
        <v>2.7450377741488542E-2</v>
      </c>
      <c r="O342" t="s">
        <v>6</v>
      </c>
    </row>
    <row r="343" spans="2:15" x14ac:dyDescent="0.45">
      <c r="B343" t="s">
        <v>577</v>
      </c>
      <c r="C343" t="s">
        <v>28</v>
      </c>
      <c r="D343">
        <v>5.5204613667487898E-2</v>
      </c>
      <c r="E343" t="s">
        <v>6</v>
      </c>
      <c r="G343" t="s">
        <v>578</v>
      </c>
      <c r="H343" t="s">
        <v>28</v>
      </c>
      <c r="I343">
        <v>3.2039672095217811E-2</v>
      </c>
      <c r="J343" t="s">
        <v>6</v>
      </c>
      <c r="L343" t="s">
        <v>579</v>
      </c>
      <c r="M343" t="s">
        <v>28</v>
      </c>
      <c r="N343">
        <v>2.2435601431395332E-2</v>
      </c>
      <c r="O343" t="s">
        <v>6</v>
      </c>
    </row>
    <row r="344" spans="2:15" x14ac:dyDescent="0.45">
      <c r="B344" t="s">
        <v>577</v>
      </c>
      <c r="C344" t="s">
        <v>29</v>
      </c>
      <c r="D344">
        <v>8.3244524590123603E-2</v>
      </c>
      <c r="E344" t="s">
        <v>6</v>
      </c>
      <c r="G344" t="s">
        <v>578</v>
      </c>
      <c r="H344" t="s">
        <v>29</v>
      </c>
      <c r="I344">
        <v>3.4555883213636111E-2</v>
      </c>
      <c r="J344" t="s">
        <v>6</v>
      </c>
      <c r="L344" t="s">
        <v>579</v>
      </c>
      <c r="M344" t="s">
        <v>29</v>
      </c>
      <c r="N344">
        <v>2.4022560425923888E-2</v>
      </c>
      <c r="O344" t="s">
        <v>6</v>
      </c>
    </row>
    <row r="345" spans="2:15" x14ac:dyDescent="0.45">
      <c r="B345" t="s">
        <v>577</v>
      </c>
      <c r="C345" t="s">
        <v>30</v>
      </c>
      <c r="D345">
        <v>4.6618429877229819E-2</v>
      </c>
      <c r="E345" t="s">
        <v>6</v>
      </c>
      <c r="G345" t="s">
        <v>578</v>
      </c>
      <c r="H345" t="s">
        <v>30</v>
      </c>
      <c r="I345">
        <v>3.4617056544532503E-2</v>
      </c>
      <c r="J345" t="s">
        <v>6</v>
      </c>
      <c r="L345" t="s">
        <v>579</v>
      </c>
      <c r="M345" t="s">
        <v>30</v>
      </c>
      <c r="N345">
        <v>2.5269185380714189E-2</v>
      </c>
      <c r="O345" t="s">
        <v>6</v>
      </c>
    </row>
    <row r="346" spans="2:15" x14ac:dyDescent="0.45">
      <c r="B346" t="s">
        <v>577</v>
      </c>
      <c r="C346" t="s">
        <v>31</v>
      </c>
      <c r="D346">
        <v>2.4115982412138168E-3</v>
      </c>
      <c r="E346" t="s">
        <v>6</v>
      </c>
      <c r="G346" t="s">
        <v>578</v>
      </c>
      <c r="H346" t="s">
        <v>31</v>
      </c>
      <c r="I346">
        <v>3.0782279556923607E-2</v>
      </c>
      <c r="J346" t="s">
        <v>6</v>
      </c>
      <c r="L346" t="s">
        <v>579</v>
      </c>
      <c r="M346" t="s">
        <v>31</v>
      </c>
      <c r="N346">
        <v>2.4878996832732203E-2</v>
      </c>
      <c r="O346" t="s">
        <v>6</v>
      </c>
    </row>
    <row r="347" spans="2:15" x14ac:dyDescent="0.45">
      <c r="B347" t="s">
        <v>580</v>
      </c>
      <c r="C347" t="s">
        <v>5</v>
      </c>
      <c r="D347">
        <v>0</v>
      </c>
      <c r="E347" t="s">
        <v>6</v>
      </c>
      <c r="G347" t="s">
        <v>581</v>
      </c>
      <c r="H347" t="s">
        <v>5</v>
      </c>
      <c r="I347">
        <v>9.580316732784469E-2</v>
      </c>
      <c r="J347" t="s">
        <v>6</v>
      </c>
      <c r="L347" t="s">
        <v>582</v>
      </c>
      <c r="M347" t="s">
        <v>5</v>
      </c>
      <c r="N347">
        <v>0.10744691944878304</v>
      </c>
      <c r="O347" t="s">
        <v>6</v>
      </c>
    </row>
    <row r="348" spans="2:15" x14ac:dyDescent="0.45">
      <c r="B348" t="s">
        <v>580</v>
      </c>
      <c r="C348" t="s">
        <v>9</v>
      </c>
      <c r="D348">
        <v>1.0431084949709449E-4</v>
      </c>
      <c r="E348" t="s">
        <v>6</v>
      </c>
      <c r="G348" t="s">
        <v>581</v>
      </c>
      <c r="H348" t="s">
        <v>9</v>
      </c>
      <c r="I348">
        <v>4.7984299326824888E-2</v>
      </c>
      <c r="J348" t="s">
        <v>6</v>
      </c>
      <c r="L348" t="s">
        <v>582</v>
      </c>
      <c r="M348" t="s">
        <v>9</v>
      </c>
      <c r="N348">
        <v>5.4296851951601235E-2</v>
      </c>
      <c r="O348" t="s">
        <v>6</v>
      </c>
    </row>
    <row r="349" spans="2:15" x14ac:dyDescent="0.45">
      <c r="B349" t="s">
        <v>580</v>
      </c>
      <c r="C349" t="s">
        <v>10</v>
      </c>
      <c r="D349">
        <v>4.7532819878743172E-2</v>
      </c>
      <c r="E349" t="s">
        <v>6</v>
      </c>
      <c r="G349" t="s">
        <v>581</v>
      </c>
      <c r="H349" t="s">
        <v>10</v>
      </c>
      <c r="I349">
        <v>3.5447547867099784E-2</v>
      </c>
      <c r="J349" t="s">
        <v>6</v>
      </c>
      <c r="L349" t="s">
        <v>582</v>
      </c>
      <c r="M349" t="s">
        <v>10</v>
      </c>
      <c r="N349">
        <v>4.1777746012070544E-2</v>
      </c>
      <c r="O349" t="s">
        <v>6</v>
      </c>
    </row>
    <row r="350" spans="2:15" x14ac:dyDescent="0.45">
      <c r="B350" t="s">
        <v>580</v>
      </c>
      <c r="C350" t="s">
        <v>11</v>
      </c>
      <c r="D350">
        <v>9.3514680311676673E-2</v>
      </c>
      <c r="E350" t="s">
        <v>6</v>
      </c>
      <c r="G350" t="s">
        <v>581</v>
      </c>
      <c r="H350" t="s">
        <v>11</v>
      </c>
      <c r="I350">
        <v>4.3092740654284312E-2</v>
      </c>
      <c r="J350" t="s">
        <v>6</v>
      </c>
      <c r="L350" t="s">
        <v>582</v>
      </c>
      <c r="M350" t="s">
        <v>11</v>
      </c>
      <c r="N350">
        <v>4.2898538431173812E-2</v>
      </c>
      <c r="O350" t="s">
        <v>6</v>
      </c>
    </row>
    <row r="351" spans="2:15" x14ac:dyDescent="0.45">
      <c r="B351" t="s">
        <v>580</v>
      </c>
      <c r="C351" t="s">
        <v>12</v>
      </c>
      <c r="D351">
        <v>5.2725937812436618E-2</v>
      </c>
      <c r="E351" t="s">
        <v>6</v>
      </c>
      <c r="G351" t="s">
        <v>581</v>
      </c>
      <c r="H351" t="s">
        <v>12</v>
      </c>
      <c r="I351">
        <v>4.1323879417468755E-2</v>
      </c>
      <c r="J351" t="s">
        <v>6</v>
      </c>
      <c r="L351" t="s">
        <v>582</v>
      </c>
      <c r="M351" t="s">
        <v>12</v>
      </c>
      <c r="N351">
        <v>4.3593165039643396E-2</v>
      </c>
      <c r="O351" t="s">
        <v>6</v>
      </c>
    </row>
    <row r="352" spans="2:15" x14ac:dyDescent="0.45">
      <c r="B352" t="s">
        <v>580</v>
      </c>
      <c r="C352" t="s">
        <v>13</v>
      </c>
      <c r="D352">
        <v>1.2138423118792294E-3</v>
      </c>
      <c r="E352" t="s">
        <v>6</v>
      </c>
      <c r="G352" t="s">
        <v>581</v>
      </c>
      <c r="H352" t="s">
        <v>13</v>
      </c>
      <c r="I352">
        <v>3.5697784557758162E-2</v>
      </c>
      <c r="J352" t="s">
        <v>6</v>
      </c>
      <c r="L352" t="s">
        <v>582</v>
      </c>
      <c r="M352" t="s">
        <v>13</v>
      </c>
      <c r="N352">
        <v>4.3248894574594979E-2</v>
      </c>
      <c r="O352" t="s">
        <v>6</v>
      </c>
    </row>
    <row r="353" spans="2:15" x14ac:dyDescent="0.45">
      <c r="B353" t="s">
        <v>580</v>
      </c>
      <c r="C353" t="s">
        <v>14</v>
      </c>
      <c r="D353">
        <v>0</v>
      </c>
      <c r="E353" t="s">
        <v>6</v>
      </c>
      <c r="G353" t="s">
        <v>581</v>
      </c>
      <c r="H353" t="s">
        <v>14</v>
      </c>
      <c r="I353">
        <v>0.101538916321205</v>
      </c>
      <c r="J353" t="s">
        <v>6</v>
      </c>
      <c r="L353" t="s">
        <v>582</v>
      </c>
      <c r="M353" t="s">
        <v>14</v>
      </c>
      <c r="N353">
        <v>0.10937338342244496</v>
      </c>
      <c r="O353" t="s">
        <v>6</v>
      </c>
    </row>
    <row r="354" spans="2:15" x14ac:dyDescent="0.45">
      <c r="B354" t="s">
        <v>580</v>
      </c>
      <c r="C354" t="s">
        <v>15</v>
      </c>
      <c r="D354">
        <v>1.0190360670985417E-2</v>
      </c>
      <c r="E354" t="s">
        <v>6</v>
      </c>
      <c r="G354" t="s">
        <v>581</v>
      </c>
      <c r="H354" t="s">
        <v>15</v>
      </c>
      <c r="I354">
        <v>4.7844588770679659E-2</v>
      </c>
      <c r="J354" t="s">
        <v>6</v>
      </c>
      <c r="L354" t="s">
        <v>582</v>
      </c>
      <c r="M354" t="s">
        <v>15</v>
      </c>
      <c r="N354">
        <v>5.404573036758728E-2</v>
      </c>
      <c r="O354" t="s">
        <v>6</v>
      </c>
    </row>
    <row r="355" spans="2:15" x14ac:dyDescent="0.45">
      <c r="B355" t="s">
        <v>580</v>
      </c>
      <c r="C355" t="s">
        <v>16</v>
      </c>
      <c r="D355">
        <v>7.5328167062324078E-2</v>
      </c>
      <c r="E355" t="s">
        <v>6</v>
      </c>
      <c r="G355" t="s">
        <v>581</v>
      </c>
      <c r="H355" t="s">
        <v>16</v>
      </c>
      <c r="I355">
        <v>4.1904006076049757E-2</v>
      </c>
      <c r="J355" t="s">
        <v>6</v>
      </c>
      <c r="L355" t="s">
        <v>582</v>
      </c>
      <c r="M355" t="s">
        <v>16</v>
      </c>
      <c r="N355">
        <v>3.8850730204657964E-2</v>
      </c>
      <c r="O355" t="s">
        <v>6</v>
      </c>
    </row>
    <row r="356" spans="2:15" x14ac:dyDescent="0.45">
      <c r="B356" t="s">
        <v>580</v>
      </c>
      <c r="C356" t="s">
        <v>17</v>
      </c>
      <c r="D356">
        <v>0.107364392600035</v>
      </c>
      <c r="E356" t="s">
        <v>6</v>
      </c>
      <c r="G356" t="s">
        <v>581</v>
      </c>
      <c r="H356" t="s">
        <v>17</v>
      </c>
      <c r="I356">
        <v>5.0301937214999502E-2</v>
      </c>
      <c r="J356" t="s">
        <v>6</v>
      </c>
      <c r="L356" t="s">
        <v>582</v>
      </c>
      <c r="M356" t="s">
        <v>17</v>
      </c>
      <c r="N356">
        <v>3.8151113638126365E-2</v>
      </c>
      <c r="O356" t="s">
        <v>6</v>
      </c>
    </row>
    <row r="357" spans="2:15" x14ac:dyDescent="0.45">
      <c r="B357" t="s">
        <v>580</v>
      </c>
      <c r="C357" t="s">
        <v>18</v>
      </c>
      <c r="D357">
        <v>7.5055352405083153E-2</v>
      </c>
      <c r="E357" t="s">
        <v>6</v>
      </c>
      <c r="G357" t="s">
        <v>581</v>
      </c>
      <c r="H357" t="s">
        <v>18</v>
      </c>
      <c r="I357">
        <v>5.2361538792665439E-2</v>
      </c>
      <c r="J357" t="s">
        <v>6</v>
      </c>
      <c r="L357" t="s">
        <v>582</v>
      </c>
      <c r="M357" t="s">
        <v>18</v>
      </c>
      <c r="N357">
        <v>3.7588787277349385E-2</v>
      </c>
      <c r="O357" t="s">
        <v>6</v>
      </c>
    </row>
    <row r="358" spans="2:15" x14ac:dyDescent="0.45">
      <c r="B358" t="s">
        <v>580</v>
      </c>
      <c r="C358" t="s">
        <v>19</v>
      </c>
      <c r="D358">
        <v>1.0414436580492487E-2</v>
      </c>
      <c r="E358" t="s">
        <v>6</v>
      </c>
      <c r="G358" t="s">
        <v>581</v>
      </c>
      <c r="H358" t="s">
        <v>19</v>
      </c>
      <c r="I358">
        <v>4.4262899658742749E-2</v>
      </c>
      <c r="J358" t="s">
        <v>6</v>
      </c>
      <c r="L358" t="s">
        <v>582</v>
      </c>
      <c r="M358" t="s">
        <v>19</v>
      </c>
      <c r="N358">
        <v>3.9406328914725945E-2</v>
      </c>
      <c r="O358" t="s">
        <v>6</v>
      </c>
    </row>
    <row r="359" spans="2:15" x14ac:dyDescent="0.45">
      <c r="B359" t="s">
        <v>580</v>
      </c>
      <c r="C359" t="s">
        <v>20</v>
      </c>
      <c r="D359">
        <v>0</v>
      </c>
      <c r="E359" t="s">
        <v>6</v>
      </c>
      <c r="G359" t="s">
        <v>581</v>
      </c>
      <c r="H359" t="s">
        <v>20</v>
      </c>
      <c r="I359">
        <v>3.4284681603473942E-2</v>
      </c>
      <c r="J359" t="s">
        <v>6</v>
      </c>
      <c r="L359" t="s">
        <v>582</v>
      </c>
      <c r="M359" t="s">
        <v>20</v>
      </c>
      <c r="N359">
        <v>5.4462934586886766E-2</v>
      </c>
      <c r="O359" t="s">
        <v>6</v>
      </c>
    </row>
    <row r="360" spans="2:15" x14ac:dyDescent="0.45">
      <c r="B360" t="s">
        <v>580</v>
      </c>
      <c r="C360" t="s">
        <v>21</v>
      </c>
      <c r="D360">
        <v>1.5443201734872052E-2</v>
      </c>
      <c r="E360" t="s">
        <v>6</v>
      </c>
      <c r="G360" t="s">
        <v>581</v>
      </c>
      <c r="H360" t="s">
        <v>21</v>
      </c>
      <c r="I360">
        <v>1.7043514540508602E-2</v>
      </c>
      <c r="J360" t="s">
        <v>6</v>
      </c>
      <c r="L360" t="s">
        <v>582</v>
      </c>
      <c r="M360" t="s">
        <v>21</v>
      </c>
      <c r="N360">
        <v>2.5493409900283402E-2</v>
      </c>
      <c r="O360" t="s">
        <v>6</v>
      </c>
    </row>
    <row r="361" spans="2:15" x14ac:dyDescent="0.45">
      <c r="B361" t="s">
        <v>580</v>
      </c>
      <c r="C361" t="s">
        <v>22</v>
      </c>
      <c r="D361">
        <v>8.8585247493684641E-2</v>
      </c>
      <c r="E361" t="s">
        <v>6</v>
      </c>
      <c r="G361" t="s">
        <v>581</v>
      </c>
      <c r="H361" t="s">
        <v>22</v>
      </c>
      <c r="I361">
        <v>1.4472998049243348E-2</v>
      </c>
      <c r="J361" t="s">
        <v>6</v>
      </c>
      <c r="L361" t="s">
        <v>582</v>
      </c>
      <c r="M361" t="s">
        <v>22</v>
      </c>
      <c r="N361">
        <v>1.7245168304378007E-2</v>
      </c>
      <c r="O361" t="s">
        <v>6</v>
      </c>
    </row>
    <row r="362" spans="2:15" x14ac:dyDescent="0.45">
      <c r="B362" t="s">
        <v>580</v>
      </c>
      <c r="C362" t="s">
        <v>23</v>
      </c>
      <c r="D362">
        <v>0.1180342278126133</v>
      </c>
      <c r="E362" t="s">
        <v>6</v>
      </c>
      <c r="G362" t="s">
        <v>581</v>
      </c>
      <c r="H362" t="s">
        <v>23</v>
      </c>
      <c r="I362">
        <v>2.0193222929575202E-2</v>
      </c>
      <c r="J362" t="s">
        <v>6</v>
      </c>
      <c r="L362" t="s">
        <v>582</v>
      </c>
      <c r="M362" t="s">
        <v>23</v>
      </c>
      <c r="N362">
        <v>1.7832667800906189E-2</v>
      </c>
      <c r="O362" t="s">
        <v>6</v>
      </c>
    </row>
    <row r="363" spans="2:15" x14ac:dyDescent="0.45">
      <c r="B363" t="s">
        <v>580</v>
      </c>
      <c r="C363" t="s">
        <v>24</v>
      </c>
      <c r="D363">
        <v>8.1030680944643621E-2</v>
      </c>
      <c r="E363" t="s">
        <v>6</v>
      </c>
      <c r="G363" t="s">
        <v>581</v>
      </c>
      <c r="H363" t="s">
        <v>24</v>
      </c>
      <c r="I363">
        <v>2.5031613243683779E-2</v>
      </c>
      <c r="J363" t="s">
        <v>6</v>
      </c>
      <c r="L363" t="s">
        <v>582</v>
      </c>
      <c r="M363" t="s">
        <v>24</v>
      </c>
      <c r="N363">
        <v>2.0690112514646457E-2</v>
      </c>
      <c r="O363" t="s">
        <v>6</v>
      </c>
    </row>
    <row r="364" spans="2:15" x14ac:dyDescent="0.45">
      <c r="B364" t="s">
        <v>580</v>
      </c>
      <c r="C364" t="s">
        <v>25</v>
      </c>
      <c r="D364">
        <v>1.5867277919040836E-2</v>
      </c>
      <c r="E364" t="s">
        <v>6</v>
      </c>
      <c r="G364" t="s">
        <v>581</v>
      </c>
      <c r="H364" t="s">
        <v>25</v>
      </c>
      <c r="I364">
        <v>1.8874478916294138E-2</v>
      </c>
      <c r="J364" t="s">
        <v>6</v>
      </c>
      <c r="L364" t="s">
        <v>582</v>
      </c>
      <c r="M364" t="s">
        <v>25</v>
      </c>
      <c r="N364">
        <v>2.2077004598447914E-2</v>
      </c>
      <c r="O364" t="s">
        <v>6</v>
      </c>
    </row>
    <row r="365" spans="2:15" x14ac:dyDescent="0.45">
      <c r="B365" t="s">
        <v>580</v>
      </c>
      <c r="C365" t="s">
        <v>26</v>
      </c>
      <c r="D365">
        <v>0</v>
      </c>
      <c r="E365" t="s">
        <v>6</v>
      </c>
      <c r="G365" t="s">
        <v>581</v>
      </c>
      <c r="H365" t="s">
        <v>26</v>
      </c>
      <c r="I365">
        <v>7.0543478486140176E-2</v>
      </c>
      <c r="J365" t="s">
        <v>6</v>
      </c>
      <c r="L365" t="s">
        <v>582</v>
      </c>
      <c r="M365" t="s">
        <v>26</v>
      </c>
      <c r="N365">
        <v>6.7416601934628201E-2</v>
      </c>
      <c r="O365" t="s">
        <v>6</v>
      </c>
    </row>
    <row r="366" spans="2:15" x14ac:dyDescent="0.45">
      <c r="B366" t="s">
        <v>580</v>
      </c>
      <c r="C366" t="s">
        <v>27</v>
      </c>
      <c r="D366">
        <v>4.1082659172017675E-3</v>
      </c>
      <c r="E366" t="s">
        <v>6</v>
      </c>
      <c r="G366" t="s">
        <v>581</v>
      </c>
      <c r="H366" t="s">
        <v>27</v>
      </c>
      <c r="I366">
        <v>3.3622326168040513E-2</v>
      </c>
      <c r="J366" t="s">
        <v>6</v>
      </c>
      <c r="L366" t="s">
        <v>582</v>
      </c>
      <c r="M366" t="s">
        <v>27</v>
      </c>
      <c r="N366">
        <v>3.2020242554204797E-2</v>
      </c>
      <c r="O366" t="s">
        <v>6</v>
      </c>
    </row>
    <row r="367" spans="2:15" x14ac:dyDescent="0.45">
      <c r="B367" t="s">
        <v>580</v>
      </c>
      <c r="C367" t="s">
        <v>28</v>
      </c>
      <c r="D367">
        <v>5.9618419030462805E-2</v>
      </c>
      <c r="E367" t="s">
        <v>6</v>
      </c>
      <c r="G367" t="s">
        <v>581</v>
      </c>
      <c r="H367" t="s">
        <v>28</v>
      </c>
      <c r="I367">
        <v>2.948755892141906E-2</v>
      </c>
      <c r="J367" t="s">
        <v>6</v>
      </c>
      <c r="L367" t="s">
        <v>582</v>
      </c>
      <c r="M367" t="s">
        <v>28</v>
      </c>
      <c r="N367">
        <v>2.3566340247771857E-2</v>
      </c>
      <c r="O367" t="s">
        <v>6</v>
      </c>
    </row>
    <row r="368" spans="2:15" x14ac:dyDescent="0.45">
      <c r="B368" t="s">
        <v>580</v>
      </c>
      <c r="C368" t="s">
        <v>29</v>
      </c>
      <c r="D368">
        <v>9.0881709194734109E-2</v>
      </c>
      <c r="E368" t="s">
        <v>6</v>
      </c>
      <c r="G368" t="s">
        <v>581</v>
      </c>
      <c r="H368" t="s">
        <v>29</v>
      </c>
      <c r="I368">
        <v>3.5037570839146645E-2</v>
      </c>
      <c r="J368" t="s">
        <v>6</v>
      </c>
      <c r="L368" t="s">
        <v>582</v>
      </c>
      <c r="M368" t="s">
        <v>29</v>
      </c>
      <c r="N368">
        <v>2.2006534633616587E-2</v>
      </c>
      <c r="O368" t="s">
        <v>6</v>
      </c>
    </row>
    <row r="369" spans="2:15" x14ac:dyDescent="0.45">
      <c r="B369" t="s">
        <v>580</v>
      </c>
      <c r="C369" t="s">
        <v>30</v>
      </c>
      <c r="D369">
        <v>5.0514407177378907E-2</v>
      </c>
      <c r="E369" t="s">
        <v>6</v>
      </c>
      <c r="G369" t="s">
        <v>581</v>
      </c>
      <c r="H369" t="s">
        <v>30</v>
      </c>
      <c r="I369">
        <v>3.4727081811827813E-2</v>
      </c>
      <c r="J369" t="s">
        <v>6</v>
      </c>
      <c r="L369" t="s">
        <v>582</v>
      </c>
      <c r="M369" t="s">
        <v>30</v>
      </c>
      <c r="N369">
        <v>2.194850776284455E-2</v>
      </c>
      <c r="O369" t="s">
        <v>6</v>
      </c>
    </row>
    <row r="370" spans="2:15" x14ac:dyDescent="0.45">
      <c r="B370" t="s">
        <v>580</v>
      </c>
      <c r="C370" t="s">
        <v>31</v>
      </c>
      <c r="D370">
        <v>2.4722622922137725E-3</v>
      </c>
      <c r="E370" t="s">
        <v>6</v>
      </c>
      <c r="G370" t="s">
        <v>581</v>
      </c>
      <c r="H370" t="s">
        <v>31</v>
      </c>
      <c r="I370">
        <v>2.9118168505021934E-2</v>
      </c>
      <c r="J370" t="s">
        <v>6</v>
      </c>
      <c r="L370" t="s">
        <v>582</v>
      </c>
      <c r="M370" t="s">
        <v>31</v>
      </c>
      <c r="N370">
        <v>2.4562285878624763E-2</v>
      </c>
      <c r="O370" t="s">
        <v>6</v>
      </c>
    </row>
    <row r="371" spans="2:15" x14ac:dyDescent="0.45">
      <c r="B371" t="s">
        <v>583</v>
      </c>
      <c r="C371" t="s">
        <v>5</v>
      </c>
      <c r="D371">
        <v>0</v>
      </c>
      <c r="E371" t="s">
        <v>6</v>
      </c>
      <c r="G371" t="s">
        <v>584</v>
      </c>
      <c r="H371" t="s">
        <v>5</v>
      </c>
      <c r="I371">
        <v>9.6618440820112422E-2</v>
      </c>
      <c r="J371" t="s">
        <v>6</v>
      </c>
      <c r="L371" t="s">
        <v>585</v>
      </c>
      <c r="M371" t="s">
        <v>5</v>
      </c>
      <c r="N371">
        <v>9.5706405915517295E-2</v>
      </c>
      <c r="O371" t="s">
        <v>6</v>
      </c>
    </row>
    <row r="372" spans="2:15" x14ac:dyDescent="0.45">
      <c r="B372" t="s">
        <v>583</v>
      </c>
      <c r="C372" t="s">
        <v>9</v>
      </c>
      <c r="D372">
        <v>3.6538311474030102E-4</v>
      </c>
      <c r="E372" t="s">
        <v>6</v>
      </c>
      <c r="G372" t="s">
        <v>584</v>
      </c>
      <c r="H372" t="s">
        <v>9</v>
      </c>
      <c r="I372">
        <v>4.8631298153153639E-2</v>
      </c>
      <c r="J372" t="s">
        <v>6</v>
      </c>
      <c r="L372" t="s">
        <v>585</v>
      </c>
      <c r="M372" t="s">
        <v>9</v>
      </c>
      <c r="N372">
        <v>4.8957961622234418E-2</v>
      </c>
      <c r="O372" t="s">
        <v>6</v>
      </c>
    </row>
    <row r="373" spans="2:15" x14ac:dyDescent="0.45">
      <c r="B373" t="s">
        <v>583</v>
      </c>
      <c r="C373" t="s">
        <v>10</v>
      </c>
      <c r="D373">
        <v>5.1851852264823826E-2</v>
      </c>
      <c r="E373" t="s">
        <v>6</v>
      </c>
      <c r="G373" t="s">
        <v>584</v>
      </c>
      <c r="H373" t="s">
        <v>10</v>
      </c>
      <c r="I373">
        <v>3.8278372797788819E-2</v>
      </c>
      <c r="J373" t="s">
        <v>6</v>
      </c>
      <c r="L373" t="s">
        <v>585</v>
      </c>
      <c r="M373" t="s">
        <v>10</v>
      </c>
      <c r="N373">
        <v>3.8741054152158831E-2</v>
      </c>
      <c r="O373" t="s">
        <v>6</v>
      </c>
    </row>
    <row r="374" spans="2:15" x14ac:dyDescent="0.45">
      <c r="B374" t="s">
        <v>583</v>
      </c>
      <c r="C374" t="s">
        <v>11</v>
      </c>
      <c r="D374">
        <v>9.4583200799669281E-2</v>
      </c>
      <c r="E374" t="s">
        <v>6</v>
      </c>
      <c r="G374" t="s">
        <v>584</v>
      </c>
      <c r="H374" t="s">
        <v>11</v>
      </c>
      <c r="I374">
        <v>4.2120785927837905E-2</v>
      </c>
      <c r="J374" t="s">
        <v>6</v>
      </c>
      <c r="L374" t="s">
        <v>585</v>
      </c>
      <c r="M374" t="s">
        <v>11</v>
      </c>
      <c r="N374">
        <v>4.1129089583797719E-2</v>
      </c>
      <c r="O374" t="s">
        <v>6</v>
      </c>
    </row>
    <row r="375" spans="2:15" x14ac:dyDescent="0.45">
      <c r="B375" t="s">
        <v>583</v>
      </c>
      <c r="C375" t="s">
        <v>12</v>
      </c>
      <c r="D375">
        <v>4.5821159234331874E-2</v>
      </c>
      <c r="E375" t="s">
        <v>6</v>
      </c>
      <c r="G375" t="s">
        <v>584</v>
      </c>
      <c r="H375" t="s">
        <v>12</v>
      </c>
      <c r="I375">
        <v>4.2303584281019831E-2</v>
      </c>
      <c r="J375" t="s">
        <v>6</v>
      </c>
      <c r="L375" t="s">
        <v>585</v>
      </c>
      <c r="M375" t="s">
        <v>12</v>
      </c>
      <c r="N375">
        <v>4.2493839732454547E-2</v>
      </c>
      <c r="O375" t="s">
        <v>6</v>
      </c>
    </row>
    <row r="376" spans="2:15" x14ac:dyDescent="0.45">
      <c r="B376" t="s">
        <v>583</v>
      </c>
      <c r="C376" t="s">
        <v>13</v>
      </c>
      <c r="D376">
        <v>5.6562240838835948E-4</v>
      </c>
      <c r="E376" t="s">
        <v>6</v>
      </c>
      <c r="G376" t="s">
        <v>584</v>
      </c>
      <c r="H376" t="s">
        <v>13</v>
      </c>
      <c r="I376">
        <v>3.9564642985105418E-2</v>
      </c>
      <c r="J376" t="s">
        <v>6</v>
      </c>
      <c r="L376" t="s">
        <v>585</v>
      </c>
      <c r="M376" t="s">
        <v>13</v>
      </c>
      <c r="N376">
        <v>4.1108661610576212E-2</v>
      </c>
      <c r="O376" t="s">
        <v>6</v>
      </c>
    </row>
    <row r="377" spans="2:15" x14ac:dyDescent="0.45">
      <c r="B377" t="s">
        <v>583</v>
      </c>
      <c r="C377" t="s">
        <v>14</v>
      </c>
      <c r="D377">
        <v>0</v>
      </c>
      <c r="E377" t="s">
        <v>6</v>
      </c>
      <c r="G377" t="s">
        <v>584</v>
      </c>
      <c r="H377" t="s">
        <v>14</v>
      </c>
      <c r="I377">
        <v>0.1050643598893365</v>
      </c>
      <c r="J377" t="s">
        <v>6</v>
      </c>
      <c r="L377" t="s">
        <v>585</v>
      </c>
      <c r="M377" t="s">
        <v>14</v>
      </c>
      <c r="N377">
        <v>0.1112267021326926</v>
      </c>
      <c r="O377" t="s">
        <v>6</v>
      </c>
    </row>
    <row r="378" spans="2:15" x14ac:dyDescent="0.45">
      <c r="B378" t="s">
        <v>583</v>
      </c>
      <c r="C378" t="s">
        <v>15</v>
      </c>
      <c r="D378">
        <v>1.2966597619949501E-2</v>
      </c>
      <c r="E378" t="s">
        <v>6</v>
      </c>
      <c r="G378" t="s">
        <v>584</v>
      </c>
      <c r="H378" t="s">
        <v>15</v>
      </c>
      <c r="I378">
        <v>4.9949112422539285E-2</v>
      </c>
      <c r="J378" t="s">
        <v>6</v>
      </c>
      <c r="L378" t="s">
        <v>585</v>
      </c>
      <c r="M378" t="s">
        <v>15</v>
      </c>
      <c r="N378">
        <v>5.5103293429393296E-2</v>
      </c>
      <c r="O378" t="s">
        <v>6</v>
      </c>
    </row>
    <row r="379" spans="2:15" x14ac:dyDescent="0.45">
      <c r="B379" t="s">
        <v>583</v>
      </c>
      <c r="C379" t="s">
        <v>16</v>
      </c>
      <c r="D379">
        <v>8.1221219187738405E-2</v>
      </c>
      <c r="E379" t="s">
        <v>6</v>
      </c>
      <c r="G379" t="s">
        <v>584</v>
      </c>
      <c r="H379" t="s">
        <v>16</v>
      </c>
      <c r="I379">
        <v>3.8788306922226373E-2</v>
      </c>
      <c r="J379" t="s">
        <v>6</v>
      </c>
      <c r="L379" t="s">
        <v>585</v>
      </c>
      <c r="M379" t="s">
        <v>16</v>
      </c>
      <c r="N379">
        <v>4.0894315999603442E-2</v>
      </c>
      <c r="O379" t="s">
        <v>6</v>
      </c>
    </row>
    <row r="380" spans="2:15" x14ac:dyDescent="0.45">
      <c r="B380" t="s">
        <v>583</v>
      </c>
      <c r="C380" t="s">
        <v>17</v>
      </c>
      <c r="D380">
        <v>0.10373024856709077</v>
      </c>
      <c r="E380" t="s">
        <v>6</v>
      </c>
      <c r="G380" t="s">
        <v>584</v>
      </c>
      <c r="H380" t="s">
        <v>17</v>
      </c>
      <c r="I380">
        <v>4.3237058470337382E-2</v>
      </c>
      <c r="J380" t="s">
        <v>6</v>
      </c>
      <c r="L380" t="s">
        <v>585</v>
      </c>
      <c r="M380" t="s">
        <v>17</v>
      </c>
      <c r="N380">
        <v>4.2966305481218048E-2</v>
      </c>
      <c r="O380" t="s">
        <v>6</v>
      </c>
    </row>
    <row r="381" spans="2:15" x14ac:dyDescent="0.45">
      <c r="B381" t="s">
        <v>583</v>
      </c>
      <c r="C381" t="s">
        <v>18</v>
      </c>
      <c r="D381">
        <v>6.2487756249862934E-2</v>
      </c>
      <c r="E381" t="s">
        <v>6</v>
      </c>
      <c r="G381" t="s">
        <v>584</v>
      </c>
      <c r="H381" t="s">
        <v>18</v>
      </c>
      <c r="I381">
        <v>4.5315090472023485E-2</v>
      </c>
      <c r="J381" t="s">
        <v>6</v>
      </c>
      <c r="L381" t="s">
        <v>585</v>
      </c>
      <c r="M381" t="s">
        <v>18</v>
      </c>
      <c r="N381">
        <v>4.4110432757109325E-2</v>
      </c>
      <c r="O381" t="s">
        <v>6</v>
      </c>
    </row>
    <row r="382" spans="2:15" x14ac:dyDescent="0.45">
      <c r="B382" t="s">
        <v>583</v>
      </c>
      <c r="C382" t="s">
        <v>19</v>
      </c>
      <c r="D382">
        <v>7.6851671815198015E-3</v>
      </c>
      <c r="E382" t="s">
        <v>6</v>
      </c>
      <c r="G382" t="s">
        <v>584</v>
      </c>
      <c r="H382" t="s">
        <v>19</v>
      </c>
      <c r="I382">
        <v>4.1967629457891835E-2</v>
      </c>
      <c r="J382" t="s">
        <v>6</v>
      </c>
      <c r="L382" t="s">
        <v>585</v>
      </c>
      <c r="M382" t="s">
        <v>19</v>
      </c>
      <c r="N382">
        <v>4.2132025436434163E-2</v>
      </c>
      <c r="O382" t="s">
        <v>6</v>
      </c>
    </row>
    <row r="383" spans="2:15" x14ac:dyDescent="0.45">
      <c r="B383" t="s">
        <v>583</v>
      </c>
      <c r="C383" t="s">
        <v>20</v>
      </c>
      <c r="D383">
        <v>0</v>
      </c>
      <c r="E383" t="s">
        <v>6</v>
      </c>
      <c r="G383" t="s">
        <v>584</v>
      </c>
      <c r="H383" t="s">
        <v>20</v>
      </c>
      <c r="I383">
        <v>4.6431533085984036E-2</v>
      </c>
      <c r="J383" t="s">
        <v>6</v>
      </c>
      <c r="L383" t="s">
        <v>585</v>
      </c>
      <c r="M383" t="s">
        <v>20</v>
      </c>
      <c r="N383">
        <v>4.8513634972268946E-2</v>
      </c>
      <c r="O383" t="s">
        <v>6</v>
      </c>
    </row>
    <row r="384" spans="2:15" x14ac:dyDescent="0.45">
      <c r="B384" t="s">
        <v>583</v>
      </c>
      <c r="C384" t="s">
        <v>21</v>
      </c>
      <c r="D384">
        <v>2.1095379623680462E-2</v>
      </c>
      <c r="E384" t="s">
        <v>6</v>
      </c>
      <c r="G384" t="s">
        <v>584</v>
      </c>
      <c r="H384" t="s">
        <v>21</v>
      </c>
      <c r="I384">
        <v>1.9536335099955348E-2</v>
      </c>
      <c r="J384" t="s">
        <v>6</v>
      </c>
      <c r="L384" t="s">
        <v>585</v>
      </c>
      <c r="M384" t="s">
        <v>21</v>
      </c>
      <c r="N384">
        <v>1.8816932882668874E-2</v>
      </c>
      <c r="O384" t="s">
        <v>6</v>
      </c>
    </row>
    <row r="385" spans="2:15" x14ac:dyDescent="0.45">
      <c r="B385" t="s">
        <v>583</v>
      </c>
      <c r="C385" t="s">
        <v>22</v>
      </c>
      <c r="D385">
        <v>9.8538009852279396E-2</v>
      </c>
      <c r="E385" t="s">
        <v>6</v>
      </c>
      <c r="G385" t="s">
        <v>584</v>
      </c>
      <c r="H385" t="s">
        <v>22</v>
      </c>
      <c r="I385">
        <v>1.5070275583631849E-2</v>
      </c>
      <c r="J385" t="s">
        <v>6</v>
      </c>
      <c r="L385" t="s">
        <v>585</v>
      </c>
      <c r="M385" t="s">
        <v>22</v>
      </c>
      <c r="N385">
        <v>1.4451291643958203E-2</v>
      </c>
      <c r="O385" t="s">
        <v>6</v>
      </c>
    </row>
    <row r="386" spans="2:15" x14ac:dyDescent="0.45">
      <c r="B386" t="s">
        <v>583</v>
      </c>
      <c r="C386" t="s">
        <v>23</v>
      </c>
      <c r="D386">
        <v>0.12211783660162594</v>
      </c>
      <c r="E386" t="s">
        <v>6</v>
      </c>
      <c r="G386" t="s">
        <v>584</v>
      </c>
      <c r="H386" t="s">
        <v>23</v>
      </c>
      <c r="I386">
        <v>2.2586663805272546E-2</v>
      </c>
      <c r="J386" t="s">
        <v>6</v>
      </c>
      <c r="L386" t="s">
        <v>585</v>
      </c>
      <c r="M386" t="s">
        <v>23</v>
      </c>
      <c r="N386">
        <v>2.1610726305354256E-2</v>
      </c>
      <c r="O386" t="s">
        <v>6</v>
      </c>
    </row>
    <row r="387" spans="2:15" x14ac:dyDescent="0.45">
      <c r="B387" t="s">
        <v>583</v>
      </c>
      <c r="C387" t="s">
        <v>24</v>
      </c>
      <c r="D387">
        <v>8.036198425331198E-2</v>
      </c>
      <c r="E387" t="s">
        <v>6</v>
      </c>
      <c r="G387" t="s">
        <v>584</v>
      </c>
      <c r="H387" t="s">
        <v>24</v>
      </c>
      <c r="I387">
        <v>2.9351417894284179E-2</v>
      </c>
      <c r="J387" t="s">
        <v>6</v>
      </c>
      <c r="L387" t="s">
        <v>585</v>
      </c>
      <c r="M387" t="s">
        <v>24</v>
      </c>
      <c r="N387">
        <v>2.9073192366758857E-2</v>
      </c>
      <c r="O387" t="s">
        <v>6</v>
      </c>
    </row>
    <row r="388" spans="2:15" x14ac:dyDescent="0.45">
      <c r="B388" t="s">
        <v>583</v>
      </c>
      <c r="C388" t="s">
        <v>25</v>
      </c>
      <c r="D388">
        <v>1.3818704483544766E-2</v>
      </c>
      <c r="E388" t="s">
        <v>6</v>
      </c>
      <c r="G388" t="s">
        <v>584</v>
      </c>
      <c r="H388" t="s">
        <v>25</v>
      </c>
      <c r="I388">
        <v>2.5042838390355759E-2</v>
      </c>
      <c r="J388" t="s">
        <v>6</v>
      </c>
      <c r="L388" t="s">
        <v>585</v>
      </c>
      <c r="M388" t="s">
        <v>25</v>
      </c>
      <c r="N388">
        <v>2.686689389600451E-2</v>
      </c>
      <c r="O388" t="s">
        <v>6</v>
      </c>
    </row>
    <row r="389" spans="2:15" x14ac:dyDescent="0.45">
      <c r="B389" t="s">
        <v>583</v>
      </c>
      <c r="C389" t="s">
        <v>26</v>
      </c>
      <c r="D389">
        <v>0</v>
      </c>
      <c r="E389" t="s">
        <v>6</v>
      </c>
      <c r="G389" t="s">
        <v>584</v>
      </c>
      <c r="H389" t="s">
        <v>26</v>
      </c>
      <c r="I389">
        <v>6.7593396468888164E-2</v>
      </c>
      <c r="J389" t="s">
        <v>6</v>
      </c>
      <c r="L389" t="s">
        <v>585</v>
      </c>
      <c r="M389" t="s">
        <v>26</v>
      </c>
      <c r="N389">
        <v>6.3624999344701921E-2</v>
      </c>
      <c r="O389" t="s">
        <v>6</v>
      </c>
    </row>
    <row r="390" spans="2:15" x14ac:dyDescent="0.45">
      <c r="B390" t="s">
        <v>583</v>
      </c>
      <c r="C390" t="s">
        <v>27</v>
      </c>
      <c r="D390">
        <v>5.330326031298442E-3</v>
      </c>
      <c r="E390" t="s">
        <v>6</v>
      </c>
      <c r="G390" t="s">
        <v>584</v>
      </c>
      <c r="H390" t="s">
        <v>27</v>
      </c>
      <c r="I390">
        <v>3.3494625343699652E-2</v>
      </c>
      <c r="J390" t="s">
        <v>6</v>
      </c>
      <c r="L390" t="s">
        <v>585</v>
      </c>
      <c r="M390" t="s">
        <v>27</v>
      </c>
      <c r="N390">
        <v>3.1759693882155417E-2</v>
      </c>
      <c r="O390" t="s">
        <v>6</v>
      </c>
    </row>
    <row r="391" spans="2:15" x14ac:dyDescent="0.45">
      <c r="B391" t="s">
        <v>583</v>
      </c>
      <c r="C391" t="s">
        <v>28</v>
      </c>
      <c r="D391">
        <v>6.2353109331696396E-2</v>
      </c>
      <c r="E391" t="s">
        <v>6</v>
      </c>
      <c r="G391" t="s">
        <v>584</v>
      </c>
      <c r="H391" t="s">
        <v>28</v>
      </c>
      <c r="I391">
        <v>2.6092246238034713E-2</v>
      </c>
      <c r="J391" t="s">
        <v>6</v>
      </c>
      <c r="L391" t="s">
        <v>585</v>
      </c>
      <c r="M391" t="s">
        <v>28</v>
      </c>
      <c r="N391">
        <v>2.4652132181188398E-2</v>
      </c>
      <c r="O391" t="s">
        <v>6</v>
      </c>
    </row>
    <row r="392" spans="2:15" x14ac:dyDescent="0.45">
      <c r="B392" t="s">
        <v>583</v>
      </c>
      <c r="C392" t="s">
        <v>29</v>
      </c>
      <c r="D392">
        <v>8.8752882163368088E-2</v>
      </c>
      <c r="E392" t="s">
        <v>6</v>
      </c>
      <c r="G392" t="s">
        <v>584</v>
      </c>
      <c r="H392" t="s">
        <v>29</v>
      </c>
      <c r="I392">
        <v>2.8223511300172494E-2</v>
      </c>
      <c r="J392" t="s">
        <v>6</v>
      </c>
      <c r="L392" t="s">
        <v>585</v>
      </c>
      <c r="M392" t="s">
        <v>29</v>
      </c>
      <c r="N392">
        <v>2.5588669698621877E-2</v>
      </c>
      <c r="O392" t="s">
        <v>6</v>
      </c>
    </row>
    <row r="393" spans="2:15" x14ac:dyDescent="0.45">
      <c r="B393" t="s">
        <v>583</v>
      </c>
      <c r="C393" t="s">
        <v>30</v>
      </c>
      <c r="D393">
        <v>4.4663475671020608E-2</v>
      </c>
      <c r="E393" t="s">
        <v>6</v>
      </c>
      <c r="G393" t="s">
        <v>584</v>
      </c>
      <c r="H393" t="s">
        <v>30</v>
      </c>
      <c r="I393">
        <v>2.8442805011090231E-2</v>
      </c>
      <c r="J393" t="s">
        <v>6</v>
      </c>
      <c r="L393" t="s">
        <v>585</v>
      </c>
      <c r="M393" t="s">
        <v>30</v>
      </c>
      <c r="N393">
        <v>2.592404409304358E-2</v>
      </c>
      <c r="O393" t="s">
        <v>6</v>
      </c>
    </row>
    <row r="394" spans="2:15" x14ac:dyDescent="0.45">
      <c r="B394" t="s">
        <v>583</v>
      </c>
      <c r="C394" t="s">
        <v>31</v>
      </c>
      <c r="D394">
        <v>1.690085360059008E-3</v>
      </c>
      <c r="E394" t="s">
        <v>6</v>
      </c>
      <c r="G394" t="s">
        <v>584</v>
      </c>
      <c r="H394" t="s">
        <v>31</v>
      </c>
      <c r="I394">
        <v>2.6295669179258362E-2</v>
      </c>
      <c r="J394" t="s">
        <v>6</v>
      </c>
      <c r="L394" t="s">
        <v>585</v>
      </c>
      <c r="M394" t="s">
        <v>31</v>
      </c>
      <c r="N394">
        <v>2.4547700880082672E-2</v>
      </c>
      <c r="O394" t="s">
        <v>6</v>
      </c>
    </row>
    <row r="395" spans="2:15" x14ac:dyDescent="0.45">
      <c r="B395" t="s">
        <v>586</v>
      </c>
      <c r="C395" t="s">
        <v>5</v>
      </c>
      <c r="D395">
        <v>0</v>
      </c>
      <c r="E395" t="s">
        <v>6</v>
      </c>
      <c r="G395" t="s">
        <v>587</v>
      </c>
      <c r="H395" t="s">
        <v>5</v>
      </c>
      <c r="I395">
        <v>0.10186070164830087</v>
      </c>
      <c r="J395" t="s">
        <v>6</v>
      </c>
      <c r="L395" t="s">
        <v>588</v>
      </c>
      <c r="M395" t="s">
        <v>5</v>
      </c>
      <c r="N395">
        <v>9.8604910656907505E-2</v>
      </c>
      <c r="O395" t="s">
        <v>6</v>
      </c>
    </row>
    <row r="396" spans="2:15" x14ac:dyDescent="0.45">
      <c r="B396" t="s">
        <v>586</v>
      </c>
      <c r="C396" t="s">
        <v>9</v>
      </c>
      <c r="D396">
        <v>4.2308337630528683E-4</v>
      </c>
      <c r="E396" t="s">
        <v>6</v>
      </c>
      <c r="G396" t="s">
        <v>587</v>
      </c>
      <c r="H396" t="s">
        <v>9</v>
      </c>
      <c r="I396">
        <v>4.6781039756414781E-2</v>
      </c>
      <c r="J396" t="s">
        <v>6</v>
      </c>
      <c r="L396" t="s">
        <v>588</v>
      </c>
      <c r="M396" t="s">
        <v>9</v>
      </c>
      <c r="N396">
        <v>5.2471157226553586E-2</v>
      </c>
      <c r="O396" t="s">
        <v>6</v>
      </c>
    </row>
    <row r="397" spans="2:15" x14ac:dyDescent="0.45">
      <c r="B397" t="s">
        <v>586</v>
      </c>
      <c r="C397" t="s">
        <v>10</v>
      </c>
      <c r="D397">
        <v>5.2327499243388038E-2</v>
      </c>
      <c r="E397" t="s">
        <v>6</v>
      </c>
      <c r="G397" t="s">
        <v>587</v>
      </c>
      <c r="H397" t="s">
        <v>10</v>
      </c>
      <c r="I397">
        <v>3.6698833819556506E-2</v>
      </c>
      <c r="J397" t="s">
        <v>6</v>
      </c>
      <c r="L397" t="s">
        <v>588</v>
      </c>
      <c r="M397" t="s">
        <v>10</v>
      </c>
      <c r="N397">
        <v>3.9591112012020722E-2</v>
      </c>
      <c r="O397" t="s">
        <v>6</v>
      </c>
    </row>
    <row r="398" spans="2:15" x14ac:dyDescent="0.45">
      <c r="B398" t="s">
        <v>586</v>
      </c>
      <c r="C398" t="s">
        <v>11</v>
      </c>
      <c r="D398">
        <v>9.6016604135915951E-2</v>
      </c>
      <c r="E398" t="s">
        <v>6</v>
      </c>
      <c r="G398" t="s">
        <v>587</v>
      </c>
      <c r="H398" t="s">
        <v>11</v>
      </c>
      <c r="I398">
        <v>4.8519429712167925E-2</v>
      </c>
      <c r="J398" t="s">
        <v>6</v>
      </c>
      <c r="L398" t="s">
        <v>588</v>
      </c>
      <c r="M398" t="s">
        <v>11</v>
      </c>
      <c r="N398">
        <v>3.9738423956641442E-2</v>
      </c>
      <c r="O398" t="s">
        <v>6</v>
      </c>
    </row>
    <row r="399" spans="2:15" x14ac:dyDescent="0.45">
      <c r="B399" t="s">
        <v>586</v>
      </c>
      <c r="C399" t="s">
        <v>12</v>
      </c>
      <c r="D399">
        <v>4.3117570249159173E-2</v>
      </c>
      <c r="E399" t="s">
        <v>6</v>
      </c>
      <c r="G399" t="s">
        <v>587</v>
      </c>
      <c r="H399" t="s">
        <v>12</v>
      </c>
      <c r="I399">
        <v>4.7097289542837137E-2</v>
      </c>
      <c r="J399" t="s">
        <v>6</v>
      </c>
      <c r="L399" t="s">
        <v>588</v>
      </c>
      <c r="M399" t="s">
        <v>12</v>
      </c>
      <c r="N399">
        <v>3.8345738339460776E-2</v>
      </c>
      <c r="O399" t="s">
        <v>6</v>
      </c>
    </row>
    <row r="400" spans="2:15" x14ac:dyDescent="0.45">
      <c r="B400" t="s">
        <v>586</v>
      </c>
      <c r="C400" t="s">
        <v>13</v>
      </c>
      <c r="D400">
        <v>4.1580353835805352E-4</v>
      </c>
      <c r="E400" t="s">
        <v>6</v>
      </c>
      <c r="G400" t="s">
        <v>587</v>
      </c>
      <c r="H400" t="s">
        <v>13</v>
      </c>
      <c r="I400">
        <v>4.134829308830143E-2</v>
      </c>
      <c r="J400" t="s">
        <v>6</v>
      </c>
      <c r="L400" t="s">
        <v>588</v>
      </c>
      <c r="M400" t="s">
        <v>13</v>
      </c>
      <c r="N400">
        <v>3.685616628525995E-2</v>
      </c>
      <c r="O400" t="s">
        <v>6</v>
      </c>
    </row>
    <row r="401" spans="2:15" x14ac:dyDescent="0.45">
      <c r="B401" t="s">
        <v>586</v>
      </c>
      <c r="C401" t="s">
        <v>14</v>
      </c>
      <c r="D401">
        <v>0</v>
      </c>
      <c r="E401" t="s">
        <v>6</v>
      </c>
      <c r="G401" t="s">
        <v>587</v>
      </c>
      <c r="H401" t="s">
        <v>14</v>
      </c>
      <c r="I401">
        <v>0.11509307900598671</v>
      </c>
      <c r="J401" t="s">
        <v>6</v>
      </c>
      <c r="L401" t="s">
        <v>588</v>
      </c>
      <c r="M401" t="s">
        <v>14</v>
      </c>
      <c r="N401">
        <v>0.11547522453782327</v>
      </c>
      <c r="O401" t="s">
        <v>6</v>
      </c>
    </row>
    <row r="402" spans="2:15" x14ac:dyDescent="0.45">
      <c r="B402" t="s">
        <v>586</v>
      </c>
      <c r="C402" t="s">
        <v>15</v>
      </c>
      <c r="D402">
        <v>1.3948332070048967E-2</v>
      </c>
      <c r="E402" t="s">
        <v>6</v>
      </c>
      <c r="G402" t="s">
        <v>587</v>
      </c>
      <c r="H402" t="s">
        <v>15</v>
      </c>
      <c r="I402">
        <v>5.4932290566690072E-2</v>
      </c>
      <c r="J402" t="s">
        <v>6</v>
      </c>
      <c r="L402" t="s">
        <v>588</v>
      </c>
      <c r="M402" t="s">
        <v>15</v>
      </c>
      <c r="N402">
        <v>5.4608875380551161E-2</v>
      </c>
      <c r="O402" t="s">
        <v>6</v>
      </c>
    </row>
    <row r="403" spans="2:15" x14ac:dyDescent="0.45">
      <c r="B403" t="s">
        <v>586</v>
      </c>
      <c r="C403" t="s">
        <v>16</v>
      </c>
      <c r="D403">
        <v>8.6157594309193786E-2</v>
      </c>
      <c r="E403" t="s">
        <v>6</v>
      </c>
      <c r="G403" t="s">
        <v>587</v>
      </c>
      <c r="H403" t="s">
        <v>16</v>
      </c>
      <c r="I403">
        <v>4.7777044807776378E-2</v>
      </c>
      <c r="J403" t="s">
        <v>6</v>
      </c>
      <c r="L403" t="s">
        <v>588</v>
      </c>
      <c r="M403" t="s">
        <v>16</v>
      </c>
      <c r="N403">
        <v>3.8886695427617059E-2</v>
      </c>
      <c r="O403" t="s">
        <v>6</v>
      </c>
    </row>
    <row r="404" spans="2:15" x14ac:dyDescent="0.45">
      <c r="B404" t="s">
        <v>586</v>
      </c>
      <c r="C404" t="s">
        <v>17</v>
      </c>
      <c r="D404">
        <v>0.11347563851056446</v>
      </c>
      <c r="E404" t="s">
        <v>6</v>
      </c>
      <c r="G404" t="s">
        <v>587</v>
      </c>
      <c r="H404" t="s">
        <v>17</v>
      </c>
      <c r="I404">
        <v>5.7632090806864121E-2</v>
      </c>
      <c r="J404" t="s">
        <v>6</v>
      </c>
      <c r="L404" t="s">
        <v>588</v>
      </c>
      <c r="M404" t="s">
        <v>17</v>
      </c>
      <c r="N404">
        <v>3.9009190351389618E-2</v>
      </c>
      <c r="O404" t="s">
        <v>6</v>
      </c>
    </row>
    <row r="405" spans="2:15" x14ac:dyDescent="0.45">
      <c r="B405" t="s">
        <v>586</v>
      </c>
      <c r="C405" t="s">
        <v>18</v>
      </c>
      <c r="D405">
        <v>6.8829564087459535E-2</v>
      </c>
      <c r="E405" t="s">
        <v>6</v>
      </c>
      <c r="G405" t="s">
        <v>587</v>
      </c>
      <c r="H405" t="s">
        <v>18</v>
      </c>
      <c r="I405">
        <v>5.9605310523170939E-2</v>
      </c>
      <c r="J405" t="s">
        <v>6</v>
      </c>
      <c r="L405" t="s">
        <v>588</v>
      </c>
      <c r="M405" t="s">
        <v>18</v>
      </c>
      <c r="N405">
        <v>4.0046076517618996E-2</v>
      </c>
      <c r="O405" t="s">
        <v>6</v>
      </c>
    </row>
    <row r="406" spans="2:15" x14ac:dyDescent="0.45">
      <c r="B406" t="s">
        <v>586</v>
      </c>
      <c r="C406" t="s">
        <v>19</v>
      </c>
      <c r="D406">
        <v>7.6823679998251756E-3</v>
      </c>
      <c r="E406" t="s">
        <v>6</v>
      </c>
      <c r="G406" t="s">
        <v>587</v>
      </c>
      <c r="H406" t="s">
        <v>19</v>
      </c>
      <c r="I406">
        <v>5.1268815545708828E-2</v>
      </c>
      <c r="J406" t="s">
        <v>6</v>
      </c>
      <c r="L406" t="s">
        <v>588</v>
      </c>
      <c r="M406" t="s">
        <v>19</v>
      </c>
      <c r="N406">
        <v>4.1621714836138461E-2</v>
      </c>
      <c r="O406" t="s">
        <v>6</v>
      </c>
    </row>
    <row r="407" spans="2:15" x14ac:dyDescent="0.45">
      <c r="B407" t="s">
        <v>586</v>
      </c>
      <c r="C407" t="s">
        <v>20</v>
      </c>
      <c r="D407">
        <v>0</v>
      </c>
      <c r="E407" t="s">
        <v>6</v>
      </c>
      <c r="G407" t="s">
        <v>587</v>
      </c>
      <c r="H407" t="s">
        <v>20</v>
      </c>
      <c r="I407">
        <v>2.7758363696352994E-2</v>
      </c>
      <c r="J407" t="s">
        <v>6</v>
      </c>
      <c r="L407" t="s">
        <v>588</v>
      </c>
      <c r="M407" t="s">
        <v>20</v>
      </c>
      <c r="N407">
        <v>4.6782340788919061E-2</v>
      </c>
      <c r="O407" t="s">
        <v>6</v>
      </c>
    </row>
    <row r="408" spans="2:15" x14ac:dyDescent="0.45">
      <c r="B408" t="s">
        <v>586</v>
      </c>
      <c r="C408" t="s">
        <v>21</v>
      </c>
      <c r="D408">
        <v>2.120520920838101E-2</v>
      </c>
      <c r="E408" t="s">
        <v>6</v>
      </c>
      <c r="G408" t="s">
        <v>587</v>
      </c>
      <c r="H408" t="s">
        <v>21</v>
      </c>
      <c r="I408">
        <v>1.1872306153287823E-2</v>
      </c>
      <c r="J408" t="s">
        <v>6</v>
      </c>
      <c r="L408" t="s">
        <v>588</v>
      </c>
      <c r="M408" t="s">
        <v>21</v>
      </c>
      <c r="N408">
        <v>2.1067986909568154E-2</v>
      </c>
      <c r="O408" t="s">
        <v>6</v>
      </c>
    </row>
    <row r="409" spans="2:15" x14ac:dyDescent="0.45">
      <c r="B409" t="s">
        <v>586</v>
      </c>
      <c r="C409" t="s">
        <v>22</v>
      </c>
      <c r="D409">
        <v>9.5933969062218849E-2</v>
      </c>
      <c r="E409" t="s">
        <v>6</v>
      </c>
      <c r="G409" t="s">
        <v>587</v>
      </c>
      <c r="H409" t="s">
        <v>22</v>
      </c>
      <c r="I409">
        <v>1.0465978009407092E-2</v>
      </c>
      <c r="J409" t="s">
        <v>6</v>
      </c>
      <c r="L409" t="s">
        <v>588</v>
      </c>
      <c r="M409" t="s">
        <v>22</v>
      </c>
      <c r="N409">
        <v>1.5579605875992728E-2</v>
      </c>
      <c r="O409" t="s">
        <v>6</v>
      </c>
    </row>
    <row r="410" spans="2:15" x14ac:dyDescent="0.45">
      <c r="B410" t="s">
        <v>586</v>
      </c>
      <c r="C410" t="s">
        <v>23</v>
      </c>
      <c r="D410">
        <v>0.11561579291615691</v>
      </c>
      <c r="E410" t="s">
        <v>6</v>
      </c>
      <c r="G410" t="s">
        <v>587</v>
      </c>
      <c r="H410" t="s">
        <v>23</v>
      </c>
      <c r="I410">
        <v>1.8399127906548539E-2</v>
      </c>
      <c r="J410" t="s">
        <v>6</v>
      </c>
      <c r="L410" t="s">
        <v>588</v>
      </c>
      <c r="M410" t="s">
        <v>23</v>
      </c>
      <c r="N410">
        <v>1.6352398879025832E-2</v>
      </c>
      <c r="O410" t="s">
        <v>6</v>
      </c>
    </row>
    <row r="411" spans="2:15" x14ac:dyDescent="0.45">
      <c r="B411" t="s">
        <v>586</v>
      </c>
      <c r="C411" t="s">
        <v>24</v>
      </c>
      <c r="D411">
        <v>7.1662565190526648E-2</v>
      </c>
      <c r="E411" t="s">
        <v>6</v>
      </c>
      <c r="G411" t="s">
        <v>587</v>
      </c>
      <c r="H411" t="s">
        <v>24</v>
      </c>
      <c r="I411">
        <v>2.3860166808896272E-2</v>
      </c>
      <c r="J411" t="s">
        <v>6</v>
      </c>
      <c r="L411" t="s">
        <v>588</v>
      </c>
      <c r="M411" t="s">
        <v>24</v>
      </c>
      <c r="N411">
        <v>1.8753696187623049E-2</v>
      </c>
      <c r="O411" t="s">
        <v>6</v>
      </c>
    </row>
    <row r="412" spans="2:15" x14ac:dyDescent="0.45">
      <c r="B412" t="s">
        <v>586</v>
      </c>
      <c r="C412" t="s">
        <v>25</v>
      </c>
      <c r="D412">
        <v>1.211527513352708E-2</v>
      </c>
      <c r="E412" t="s">
        <v>6</v>
      </c>
      <c r="G412" t="s">
        <v>587</v>
      </c>
      <c r="H412" t="s">
        <v>25</v>
      </c>
      <c r="I412">
        <v>1.789380839406015E-2</v>
      </c>
      <c r="J412" t="s">
        <v>6</v>
      </c>
      <c r="L412" t="s">
        <v>588</v>
      </c>
      <c r="M412" t="s">
        <v>25</v>
      </c>
      <c r="N412">
        <v>1.9736505557911059E-2</v>
      </c>
      <c r="O412" t="s">
        <v>6</v>
      </c>
    </row>
    <row r="413" spans="2:15" x14ac:dyDescent="0.45">
      <c r="B413" t="s">
        <v>586</v>
      </c>
      <c r="C413" t="s">
        <v>26</v>
      </c>
      <c r="D413">
        <v>0</v>
      </c>
      <c r="E413" t="s">
        <v>6</v>
      </c>
      <c r="G413" t="s">
        <v>587</v>
      </c>
      <c r="H413" t="s">
        <v>26</v>
      </c>
      <c r="I413">
        <v>4.8771852173646983E-2</v>
      </c>
      <c r="J413" t="s">
        <v>6</v>
      </c>
      <c r="L413" t="s">
        <v>588</v>
      </c>
      <c r="M413" t="s">
        <v>26</v>
      </c>
      <c r="N413">
        <v>7.8708932105635024E-2</v>
      </c>
      <c r="O413" t="s">
        <v>6</v>
      </c>
    </row>
    <row r="414" spans="2:15" x14ac:dyDescent="0.45">
      <c r="B414" t="s">
        <v>586</v>
      </c>
      <c r="C414" t="s">
        <v>27</v>
      </c>
      <c r="D414">
        <v>4.9728453538323801E-3</v>
      </c>
      <c r="E414" t="s">
        <v>6</v>
      </c>
      <c r="G414" t="s">
        <v>587</v>
      </c>
      <c r="H414" t="s">
        <v>27</v>
      </c>
      <c r="I414">
        <v>2.5263013805238134E-2</v>
      </c>
      <c r="J414" t="s">
        <v>6</v>
      </c>
      <c r="L414" t="s">
        <v>588</v>
      </c>
      <c r="M414" t="s">
        <v>27</v>
      </c>
      <c r="N414">
        <v>3.8136532319197829E-2</v>
      </c>
      <c r="O414" t="s">
        <v>6</v>
      </c>
    </row>
    <row r="415" spans="2:15" x14ac:dyDescent="0.45">
      <c r="B415" t="s">
        <v>586</v>
      </c>
      <c r="C415" t="s">
        <v>28</v>
      </c>
      <c r="D415">
        <v>6.0754743187856924E-2</v>
      </c>
      <c r="E415" t="s">
        <v>6</v>
      </c>
      <c r="G415" t="s">
        <v>587</v>
      </c>
      <c r="H415" t="s">
        <v>28</v>
      </c>
      <c r="I415">
        <v>2.3125480790845095E-2</v>
      </c>
      <c r="J415" t="s">
        <v>6</v>
      </c>
      <c r="L415" t="s">
        <v>588</v>
      </c>
      <c r="M415" t="s">
        <v>28</v>
      </c>
      <c r="N415">
        <v>2.6553167223991463E-2</v>
      </c>
      <c r="O415" t="s">
        <v>6</v>
      </c>
    </row>
    <row r="416" spans="2:15" x14ac:dyDescent="0.45">
      <c r="B416" t="s">
        <v>586</v>
      </c>
      <c r="C416" t="s">
        <v>29</v>
      </c>
      <c r="D416">
        <v>9.0074672779570417E-2</v>
      </c>
      <c r="E416" t="s">
        <v>6</v>
      </c>
      <c r="G416" t="s">
        <v>587</v>
      </c>
      <c r="H416" t="s">
        <v>29</v>
      </c>
      <c r="I416">
        <v>3.1555764012043332E-2</v>
      </c>
      <c r="J416" t="s">
        <v>6</v>
      </c>
      <c r="L416" t="s">
        <v>588</v>
      </c>
      <c r="M416" t="s">
        <v>29</v>
      </c>
      <c r="N416">
        <v>2.714185722583818E-2</v>
      </c>
      <c r="O416" t="s">
        <v>6</v>
      </c>
    </row>
    <row r="417" spans="2:15" x14ac:dyDescent="0.45">
      <c r="B417" t="s">
        <v>586</v>
      </c>
      <c r="C417" t="s">
        <v>30</v>
      </c>
      <c r="D417">
        <v>4.388762531754746E-2</v>
      </c>
      <c r="E417" t="s">
        <v>6</v>
      </c>
      <c r="G417" t="s">
        <v>587</v>
      </c>
      <c r="H417" t="s">
        <v>30</v>
      </c>
      <c r="I417">
        <v>3.0197681876888902E-2</v>
      </c>
      <c r="J417" t="s">
        <v>6</v>
      </c>
      <c r="L417" t="s">
        <v>588</v>
      </c>
      <c r="M417" t="s">
        <v>30</v>
      </c>
      <c r="N417">
        <v>2.7496274379581836E-2</v>
      </c>
      <c r="O417" t="s">
        <v>6</v>
      </c>
    </row>
    <row r="418" spans="2:15" x14ac:dyDescent="0.45">
      <c r="B418" t="s">
        <v>586</v>
      </c>
      <c r="C418" t="s">
        <v>31</v>
      </c>
      <c r="D418">
        <v>1.3832443301651281E-3</v>
      </c>
      <c r="E418" t="s">
        <v>6</v>
      </c>
      <c r="G418" t="s">
        <v>587</v>
      </c>
      <c r="H418" t="s">
        <v>31</v>
      </c>
      <c r="I418">
        <v>2.222223754901027E-2</v>
      </c>
      <c r="J418" t="s">
        <v>6</v>
      </c>
      <c r="L418" t="s">
        <v>588</v>
      </c>
      <c r="M418" t="s">
        <v>31</v>
      </c>
      <c r="N418">
        <v>2.8435417018730355E-2</v>
      </c>
      <c r="O418" t="s">
        <v>6</v>
      </c>
    </row>
    <row r="419" spans="2:15" x14ac:dyDescent="0.45">
      <c r="B419" t="s">
        <v>589</v>
      </c>
      <c r="C419" t="s">
        <v>5</v>
      </c>
      <c r="D419">
        <v>0</v>
      </c>
      <c r="E419" t="s">
        <v>6</v>
      </c>
      <c r="G419" t="s">
        <v>590</v>
      </c>
      <c r="H419" t="s">
        <v>5</v>
      </c>
      <c r="I419">
        <v>0.1147374586956459</v>
      </c>
      <c r="J419" t="s">
        <v>6</v>
      </c>
      <c r="L419" t="s">
        <v>591</v>
      </c>
      <c r="M419" t="s">
        <v>5</v>
      </c>
      <c r="N419">
        <v>0.10112144892697955</v>
      </c>
      <c r="O419" t="s">
        <v>6</v>
      </c>
    </row>
    <row r="420" spans="2:15" x14ac:dyDescent="0.45">
      <c r="B420" t="s">
        <v>589</v>
      </c>
      <c r="C420" t="s">
        <v>9</v>
      </c>
      <c r="D420">
        <v>6.9066997389187978E-4</v>
      </c>
      <c r="E420" t="s">
        <v>6</v>
      </c>
      <c r="G420" t="s">
        <v>590</v>
      </c>
      <c r="H420" t="s">
        <v>9</v>
      </c>
      <c r="I420">
        <v>5.538837995437642E-2</v>
      </c>
      <c r="J420" t="s">
        <v>6</v>
      </c>
      <c r="L420" t="s">
        <v>591</v>
      </c>
      <c r="M420" t="s">
        <v>9</v>
      </c>
      <c r="N420">
        <v>5.1162380333500117E-2</v>
      </c>
      <c r="O420" t="s">
        <v>6</v>
      </c>
    </row>
    <row r="421" spans="2:15" x14ac:dyDescent="0.45">
      <c r="B421" t="s">
        <v>589</v>
      </c>
      <c r="C421" t="s">
        <v>10</v>
      </c>
      <c r="D421">
        <v>4.7967494962234528E-2</v>
      </c>
      <c r="E421" t="s">
        <v>6</v>
      </c>
      <c r="G421" t="s">
        <v>590</v>
      </c>
      <c r="H421" t="s">
        <v>10</v>
      </c>
      <c r="I421">
        <v>3.9882972316493813E-2</v>
      </c>
      <c r="J421" t="s">
        <v>6</v>
      </c>
      <c r="L421" t="s">
        <v>591</v>
      </c>
      <c r="M421" t="s">
        <v>10</v>
      </c>
      <c r="N421">
        <v>3.6983207654134188E-2</v>
      </c>
      <c r="O421" t="s">
        <v>6</v>
      </c>
    </row>
    <row r="422" spans="2:15" x14ac:dyDescent="0.45">
      <c r="B422" t="s">
        <v>589</v>
      </c>
      <c r="C422" t="s">
        <v>11</v>
      </c>
      <c r="D422">
        <v>8.0281970206832101E-2</v>
      </c>
      <c r="E422" t="s">
        <v>6</v>
      </c>
      <c r="G422" t="s">
        <v>590</v>
      </c>
      <c r="H422" t="s">
        <v>11</v>
      </c>
      <c r="I422">
        <v>4.6176173182455489E-2</v>
      </c>
      <c r="J422" t="s">
        <v>6</v>
      </c>
      <c r="L422" t="s">
        <v>591</v>
      </c>
      <c r="M422" t="s">
        <v>11</v>
      </c>
      <c r="N422">
        <v>3.7758619221378416E-2</v>
      </c>
      <c r="O422" t="s">
        <v>6</v>
      </c>
    </row>
    <row r="423" spans="2:15" x14ac:dyDescent="0.45">
      <c r="B423" t="s">
        <v>589</v>
      </c>
      <c r="C423" t="s">
        <v>12</v>
      </c>
      <c r="D423">
        <v>3.4719703025490219E-2</v>
      </c>
      <c r="E423" t="s">
        <v>6</v>
      </c>
      <c r="G423" t="s">
        <v>590</v>
      </c>
      <c r="H423" t="s">
        <v>12</v>
      </c>
      <c r="I423">
        <v>4.6478493371987471E-2</v>
      </c>
      <c r="J423" t="s">
        <v>6</v>
      </c>
      <c r="L423" t="s">
        <v>591</v>
      </c>
      <c r="M423" t="s">
        <v>12</v>
      </c>
      <c r="N423">
        <v>3.7624217703153794E-2</v>
      </c>
      <c r="O423" t="s">
        <v>6</v>
      </c>
    </row>
    <row r="424" spans="2:15" x14ac:dyDescent="0.45">
      <c r="B424" t="s">
        <v>589</v>
      </c>
      <c r="C424" t="s">
        <v>13</v>
      </c>
      <c r="D424">
        <v>1.6140252078983871E-4</v>
      </c>
      <c r="E424" t="s">
        <v>6</v>
      </c>
      <c r="G424" t="s">
        <v>590</v>
      </c>
      <c r="H424" t="s">
        <v>13</v>
      </c>
      <c r="I424">
        <v>4.5355379855610826E-2</v>
      </c>
      <c r="J424" t="s">
        <v>6</v>
      </c>
      <c r="L424" t="s">
        <v>591</v>
      </c>
      <c r="M424" t="s">
        <v>13</v>
      </c>
      <c r="N424">
        <v>3.6712023328938241E-2</v>
      </c>
      <c r="O424" t="s">
        <v>6</v>
      </c>
    </row>
    <row r="425" spans="2:15" x14ac:dyDescent="0.45">
      <c r="B425" t="s">
        <v>589</v>
      </c>
      <c r="C425" t="s">
        <v>14</v>
      </c>
      <c r="D425">
        <v>0</v>
      </c>
      <c r="E425" t="s">
        <v>6</v>
      </c>
      <c r="G425" t="s">
        <v>590</v>
      </c>
      <c r="H425" t="s">
        <v>14</v>
      </c>
      <c r="I425">
        <v>0.10167046696232224</v>
      </c>
      <c r="J425" t="s">
        <v>6</v>
      </c>
      <c r="L425" t="s">
        <v>591</v>
      </c>
      <c r="M425" t="s">
        <v>14</v>
      </c>
      <c r="N425">
        <v>0.10631308530665023</v>
      </c>
      <c r="O425" t="s">
        <v>6</v>
      </c>
    </row>
    <row r="426" spans="2:15" x14ac:dyDescent="0.45">
      <c r="B426" t="s">
        <v>589</v>
      </c>
      <c r="C426" t="s">
        <v>15</v>
      </c>
      <c r="D426">
        <v>1.5042909209599682E-2</v>
      </c>
      <c r="E426" t="s">
        <v>6</v>
      </c>
      <c r="G426" t="s">
        <v>590</v>
      </c>
      <c r="H426" t="s">
        <v>15</v>
      </c>
      <c r="I426">
        <v>4.9334300226854651E-2</v>
      </c>
      <c r="J426" t="s">
        <v>6</v>
      </c>
      <c r="L426" t="s">
        <v>591</v>
      </c>
      <c r="M426" t="s">
        <v>15</v>
      </c>
      <c r="N426">
        <v>4.9823611426363421E-2</v>
      </c>
      <c r="O426" t="s">
        <v>6</v>
      </c>
    </row>
    <row r="427" spans="2:15" x14ac:dyDescent="0.45">
      <c r="B427" t="s">
        <v>589</v>
      </c>
      <c r="C427" t="s">
        <v>16</v>
      </c>
      <c r="D427">
        <v>8.1920695753991343E-2</v>
      </c>
      <c r="E427" t="s">
        <v>6</v>
      </c>
      <c r="G427" t="s">
        <v>590</v>
      </c>
      <c r="H427" t="s">
        <v>16</v>
      </c>
      <c r="I427">
        <v>3.7309091269182276E-2</v>
      </c>
      <c r="J427" t="s">
        <v>6</v>
      </c>
      <c r="L427" t="s">
        <v>591</v>
      </c>
      <c r="M427" t="s">
        <v>16</v>
      </c>
      <c r="N427">
        <v>3.6334010569128494E-2</v>
      </c>
      <c r="O427" t="s">
        <v>6</v>
      </c>
    </row>
    <row r="428" spans="2:15" x14ac:dyDescent="0.45">
      <c r="B428" t="s">
        <v>589</v>
      </c>
      <c r="C428" t="s">
        <v>17</v>
      </c>
      <c r="D428">
        <v>0.10565749012208886</v>
      </c>
      <c r="E428" t="s">
        <v>6</v>
      </c>
      <c r="G428" t="s">
        <v>590</v>
      </c>
      <c r="H428" t="s">
        <v>17</v>
      </c>
      <c r="I428">
        <v>4.3726849296886888E-2</v>
      </c>
      <c r="J428" t="s">
        <v>6</v>
      </c>
      <c r="L428" t="s">
        <v>591</v>
      </c>
      <c r="M428" t="s">
        <v>17</v>
      </c>
      <c r="N428">
        <v>3.946767740978295E-2</v>
      </c>
      <c r="O428" t="s">
        <v>6</v>
      </c>
    </row>
    <row r="429" spans="2:15" x14ac:dyDescent="0.45">
      <c r="B429" t="s">
        <v>589</v>
      </c>
      <c r="C429" t="s">
        <v>18</v>
      </c>
      <c r="D429">
        <v>6.4810676529038519E-2</v>
      </c>
      <c r="E429" t="s">
        <v>6</v>
      </c>
      <c r="G429" t="s">
        <v>590</v>
      </c>
      <c r="H429" t="s">
        <v>18</v>
      </c>
      <c r="I429">
        <v>4.5711659194726688E-2</v>
      </c>
      <c r="J429" t="s">
        <v>6</v>
      </c>
      <c r="L429" t="s">
        <v>591</v>
      </c>
      <c r="M429" t="s">
        <v>18</v>
      </c>
      <c r="N429">
        <v>4.3212689971199786E-2</v>
      </c>
      <c r="O429" t="s">
        <v>6</v>
      </c>
    </row>
    <row r="430" spans="2:15" x14ac:dyDescent="0.45">
      <c r="B430" t="s">
        <v>589</v>
      </c>
      <c r="C430" t="s">
        <v>19</v>
      </c>
      <c r="D430">
        <v>5.9307506795822024E-3</v>
      </c>
      <c r="E430" t="s">
        <v>6</v>
      </c>
      <c r="G430" t="s">
        <v>590</v>
      </c>
      <c r="H430" t="s">
        <v>19</v>
      </c>
      <c r="I430">
        <v>4.3753879535106309E-2</v>
      </c>
      <c r="J430" t="s">
        <v>6</v>
      </c>
      <c r="L430" t="s">
        <v>591</v>
      </c>
      <c r="M430" t="s">
        <v>19</v>
      </c>
      <c r="N430">
        <v>4.2310052101680026E-2</v>
      </c>
      <c r="O430" t="s">
        <v>6</v>
      </c>
    </row>
    <row r="431" spans="2:15" x14ac:dyDescent="0.45">
      <c r="B431" t="s">
        <v>589</v>
      </c>
      <c r="C431" t="s">
        <v>20</v>
      </c>
      <c r="D431">
        <v>0</v>
      </c>
      <c r="E431" t="s">
        <v>6</v>
      </c>
      <c r="G431" t="s">
        <v>590</v>
      </c>
      <c r="H431" t="s">
        <v>20</v>
      </c>
      <c r="I431">
        <v>5.642388080591737E-2</v>
      </c>
      <c r="J431" t="s">
        <v>6</v>
      </c>
      <c r="L431" t="s">
        <v>591</v>
      </c>
      <c r="M431" t="s">
        <v>20</v>
      </c>
      <c r="N431">
        <v>5.1467908259192272E-2</v>
      </c>
      <c r="O431" t="s">
        <v>6</v>
      </c>
    </row>
    <row r="432" spans="2:15" x14ac:dyDescent="0.45">
      <c r="B432" t="s">
        <v>589</v>
      </c>
      <c r="C432" t="s">
        <v>21</v>
      </c>
      <c r="D432">
        <v>2.6346610924255109E-2</v>
      </c>
      <c r="E432" t="s">
        <v>6</v>
      </c>
      <c r="G432" t="s">
        <v>590</v>
      </c>
      <c r="H432" t="s">
        <v>21</v>
      </c>
      <c r="I432">
        <v>2.7105791486055103E-2</v>
      </c>
      <c r="J432" t="s">
        <v>6</v>
      </c>
      <c r="L432" t="s">
        <v>591</v>
      </c>
      <c r="M432" t="s">
        <v>21</v>
      </c>
      <c r="N432">
        <v>2.4358622349745448E-2</v>
      </c>
      <c r="O432" t="s">
        <v>6</v>
      </c>
    </row>
    <row r="433" spans="2:15" x14ac:dyDescent="0.45">
      <c r="B433" t="s">
        <v>589</v>
      </c>
      <c r="C433" t="s">
        <v>22</v>
      </c>
      <c r="D433">
        <v>0.10947877730201441</v>
      </c>
      <c r="E433" t="s">
        <v>6</v>
      </c>
      <c r="G433" t="s">
        <v>590</v>
      </c>
      <c r="H433" t="s">
        <v>22</v>
      </c>
      <c r="I433">
        <v>1.1651204499877336E-2</v>
      </c>
      <c r="J433" t="s">
        <v>6</v>
      </c>
      <c r="L433" t="s">
        <v>591</v>
      </c>
      <c r="M433" t="s">
        <v>22</v>
      </c>
      <c r="N433">
        <v>1.7060621734766513E-2</v>
      </c>
      <c r="O433" t="s">
        <v>6</v>
      </c>
    </row>
    <row r="434" spans="2:15" x14ac:dyDescent="0.45">
      <c r="B434" t="s">
        <v>589</v>
      </c>
      <c r="C434" t="s">
        <v>23</v>
      </c>
      <c r="D434">
        <v>0.13464979290946161</v>
      </c>
      <c r="E434" t="s">
        <v>6</v>
      </c>
      <c r="G434" t="s">
        <v>590</v>
      </c>
      <c r="H434" t="s">
        <v>23</v>
      </c>
      <c r="I434">
        <v>1.3181267529222251E-2</v>
      </c>
      <c r="J434" t="s">
        <v>6</v>
      </c>
      <c r="L434" t="s">
        <v>591</v>
      </c>
      <c r="M434" t="s">
        <v>23</v>
      </c>
      <c r="N434">
        <v>1.9017542063006918E-2</v>
      </c>
      <c r="O434" t="s">
        <v>6</v>
      </c>
    </row>
    <row r="435" spans="2:15" x14ac:dyDescent="0.45">
      <c r="B435" t="s">
        <v>589</v>
      </c>
      <c r="C435" t="s">
        <v>24</v>
      </c>
      <c r="D435">
        <v>8.4700821029112139E-2</v>
      </c>
      <c r="E435" t="s">
        <v>6</v>
      </c>
      <c r="G435" t="s">
        <v>590</v>
      </c>
      <c r="H435" t="s">
        <v>24</v>
      </c>
      <c r="I435">
        <v>1.7057461838843491E-2</v>
      </c>
      <c r="J435" t="s">
        <v>6</v>
      </c>
      <c r="L435" t="s">
        <v>591</v>
      </c>
      <c r="M435" t="s">
        <v>24</v>
      </c>
      <c r="N435">
        <v>2.335062268729312E-2</v>
      </c>
      <c r="O435" t="s">
        <v>6</v>
      </c>
    </row>
    <row r="436" spans="2:15" x14ac:dyDescent="0.45">
      <c r="B436" t="s">
        <v>589</v>
      </c>
      <c r="C436" t="s">
        <v>25</v>
      </c>
      <c r="D436">
        <v>1.2205263700139227E-2</v>
      </c>
      <c r="E436" t="s">
        <v>6</v>
      </c>
      <c r="G436" t="s">
        <v>590</v>
      </c>
      <c r="H436" t="s">
        <v>25</v>
      </c>
      <c r="I436">
        <v>1.6563615329364945E-2</v>
      </c>
      <c r="J436" t="s">
        <v>6</v>
      </c>
      <c r="L436" t="s">
        <v>591</v>
      </c>
      <c r="M436" t="s">
        <v>25</v>
      </c>
      <c r="N436">
        <v>2.3802860106808495E-2</v>
      </c>
      <c r="O436" t="s">
        <v>6</v>
      </c>
    </row>
    <row r="437" spans="2:15" x14ac:dyDescent="0.45">
      <c r="B437" t="s">
        <v>589</v>
      </c>
      <c r="C437" t="s">
        <v>26</v>
      </c>
      <c r="D437">
        <v>0</v>
      </c>
      <c r="E437" t="s">
        <v>6</v>
      </c>
      <c r="G437" t="s">
        <v>590</v>
      </c>
      <c r="H437" t="s">
        <v>26</v>
      </c>
      <c r="I437">
        <v>5.5775083645526191E-2</v>
      </c>
      <c r="J437" t="s">
        <v>6</v>
      </c>
      <c r="L437" t="s">
        <v>591</v>
      </c>
      <c r="M437" t="s">
        <v>26</v>
      </c>
      <c r="N437">
        <v>7.654402141077532E-2</v>
      </c>
      <c r="O437" t="s">
        <v>6</v>
      </c>
    </row>
    <row r="438" spans="2:15" x14ac:dyDescent="0.45">
      <c r="B438" t="s">
        <v>589</v>
      </c>
      <c r="C438" t="s">
        <v>27</v>
      </c>
      <c r="D438">
        <v>6.2945983032739556E-3</v>
      </c>
      <c r="E438" t="s">
        <v>6</v>
      </c>
      <c r="G438" t="s">
        <v>590</v>
      </c>
      <c r="H438" t="s">
        <v>27</v>
      </c>
      <c r="I438">
        <v>2.9705159328174892E-2</v>
      </c>
      <c r="J438" t="s">
        <v>6</v>
      </c>
      <c r="L438" t="s">
        <v>591</v>
      </c>
      <c r="M438" t="s">
        <v>27</v>
      </c>
      <c r="N438">
        <v>3.584839947542303E-2</v>
      </c>
      <c r="O438" t="s">
        <v>6</v>
      </c>
    </row>
    <row r="439" spans="2:15" x14ac:dyDescent="0.45">
      <c r="B439" t="s">
        <v>589</v>
      </c>
      <c r="C439" t="s">
        <v>28</v>
      </c>
      <c r="D439">
        <v>6.1588820443368247E-2</v>
      </c>
      <c r="E439" t="s">
        <v>6</v>
      </c>
      <c r="G439" t="s">
        <v>590</v>
      </c>
      <c r="H439" t="s">
        <v>28</v>
      </c>
      <c r="I439">
        <v>2.3894568674660444E-2</v>
      </c>
      <c r="J439" t="s">
        <v>6</v>
      </c>
      <c r="L439" t="s">
        <v>591</v>
      </c>
      <c r="M439" t="s">
        <v>28</v>
      </c>
      <c r="N439">
        <v>2.584057638773541E-2</v>
      </c>
      <c r="O439" t="s">
        <v>6</v>
      </c>
    </row>
    <row r="440" spans="2:15" x14ac:dyDescent="0.45">
      <c r="B440" t="s">
        <v>589</v>
      </c>
      <c r="C440" t="s">
        <v>29</v>
      </c>
      <c r="D440">
        <v>8.6730773250763435E-2</v>
      </c>
      <c r="E440" t="s">
        <v>6</v>
      </c>
      <c r="G440" t="s">
        <v>590</v>
      </c>
      <c r="H440" t="s">
        <v>29</v>
      </c>
      <c r="I440">
        <v>2.7271583548220887E-2</v>
      </c>
      <c r="J440" t="s">
        <v>6</v>
      </c>
      <c r="L440" t="s">
        <v>591</v>
      </c>
      <c r="M440" t="s">
        <v>29</v>
      </c>
      <c r="N440">
        <v>2.6642457255947227E-2</v>
      </c>
      <c r="O440" t="s">
        <v>6</v>
      </c>
    </row>
    <row r="441" spans="2:15" x14ac:dyDescent="0.45">
      <c r="B441" t="s">
        <v>589</v>
      </c>
      <c r="C441" t="s">
        <v>30</v>
      </c>
      <c r="D441">
        <v>3.9773265681110039E-2</v>
      </c>
      <c r="E441" t="s">
        <v>6</v>
      </c>
      <c r="G441" t="s">
        <v>590</v>
      </c>
      <c r="H441" t="s">
        <v>30</v>
      </c>
      <c r="I441">
        <v>2.7752661886316587E-2</v>
      </c>
      <c r="J441" t="s">
        <v>6</v>
      </c>
      <c r="L441" t="s">
        <v>591</v>
      </c>
      <c r="M441" t="s">
        <v>30</v>
      </c>
      <c r="N441">
        <v>2.8253355296888966E-2</v>
      </c>
      <c r="O441" t="s">
        <v>6</v>
      </c>
    </row>
    <row r="442" spans="2:15" x14ac:dyDescent="0.45">
      <c r="B442" t="s">
        <v>589</v>
      </c>
      <c r="C442" t="s">
        <v>31</v>
      </c>
      <c r="D442">
        <v>1.0475134729611569E-3</v>
      </c>
      <c r="E442" t="s">
        <v>6</v>
      </c>
      <c r="G442" t="s">
        <v>590</v>
      </c>
      <c r="H442" t="s">
        <v>31</v>
      </c>
      <c r="I442">
        <v>2.4092617566170892E-2</v>
      </c>
      <c r="J442" t="s">
        <v>6</v>
      </c>
      <c r="L442" t="s">
        <v>591</v>
      </c>
      <c r="M442" t="s">
        <v>31</v>
      </c>
      <c r="N442">
        <v>2.8989989019527589E-2</v>
      </c>
      <c r="O442" t="s">
        <v>6</v>
      </c>
    </row>
    <row r="443" spans="2:15" x14ac:dyDescent="0.45">
      <c r="B443" t="s">
        <v>592</v>
      </c>
      <c r="C443" t="s">
        <v>5</v>
      </c>
      <c r="D443">
        <v>0</v>
      </c>
      <c r="E443" t="s">
        <v>6</v>
      </c>
      <c r="G443" t="s">
        <v>593</v>
      </c>
      <c r="H443" t="s">
        <v>5</v>
      </c>
      <c r="I443">
        <v>9.893054928619778E-2</v>
      </c>
      <c r="J443" t="s">
        <v>6</v>
      </c>
      <c r="L443" t="s">
        <v>594</v>
      </c>
      <c r="M443" t="s">
        <v>5</v>
      </c>
      <c r="N443">
        <v>9.1782441086859318E-2</v>
      </c>
      <c r="O443" t="s">
        <v>6</v>
      </c>
    </row>
    <row r="444" spans="2:15" x14ac:dyDescent="0.45">
      <c r="B444" t="s">
        <v>592</v>
      </c>
      <c r="C444" t="s">
        <v>9</v>
      </c>
      <c r="D444">
        <v>5.638237599538779E-4</v>
      </c>
      <c r="E444" t="s">
        <v>6</v>
      </c>
      <c r="G444" t="s">
        <v>593</v>
      </c>
      <c r="H444" t="s">
        <v>9</v>
      </c>
      <c r="I444">
        <v>4.6764224700453397E-2</v>
      </c>
      <c r="J444" t="s">
        <v>6</v>
      </c>
      <c r="L444" t="s">
        <v>594</v>
      </c>
      <c r="M444" t="s">
        <v>9</v>
      </c>
      <c r="N444">
        <v>4.560781334118115E-2</v>
      </c>
      <c r="O444" t="s">
        <v>6</v>
      </c>
    </row>
    <row r="445" spans="2:15" x14ac:dyDescent="0.45">
      <c r="B445" t="s">
        <v>592</v>
      </c>
      <c r="C445" t="s">
        <v>10</v>
      </c>
      <c r="D445">
        <v>4.8122113815158608E-2</v>
      </c>
      <c r="E445" t="s">
        <v>6</v>
      </c>
      <c r="G445" t="s">
        <v>593</v>
      </c>
      <c r="H445" t="s">
        <v>10</v>
      </c>
      <c r="I445">
        <v>3.440470421614502E-2</v>
      </c>
      <c r="J445" t="s">
        <v>6</v>
      </c>
      <c r="L445" t="s">
        <v>594</v>
      </c>
      <c r="M445" t="s">
        <v>10</v>
      </c>
      <c r="N445">
        <v>3.34122347969215E-2</v>
      </c>
      <c r="O445" t="s">
        <v>6</v>
      </c>
    </row>
    <row r="446" spans="2:15" x14ac:dyDescent="0.45">
      <c r="B446" t="s">
        <v>592</v>
      </c>
      <c r="C446" t="s">
        <v>11</v>
      </c>
      <c r="D446">
        <v>8.6394266044506882E-2</v>
      </c>
      <c r="E446" t="s">
        <v>6</v>
      </c>
      <c r="G446" t="s">
        <v>593</v>
      </c>
      <c r="H446" t="s">
        <v>11</v>
      </c>
      <c r="I446">
        <v>4.4272281232021253E-2</v>
      </c>
      <c r="J446" t="s">
        <v>6</v>
      </c>
      <c r="L446" t="s">
        <v>594</v>
      </c>
      <c r="M446" t="s">
        <v>11</v>
      </c>
      <c r="N446">
        <v>3.3815985059276042E-2</v>
      </c>
      <c r="O446" t="s">
        <v>6</v>
      </c>
    </row>
    <row r="447" spans="2:15" x14ac:dyDescent="0.45">
      <c r="B447" t="s">
        <v>592</v>
      </c>
      <c r="C447" t="s">
        <v>12</v>
      </c>
      <c r="D447">
        <v>3.8855007105739393E-2</v>
      </c>
      <c r="E447" t="s">
        <v>6</v>
      </c>
      <c r="G447" t="s">
        <v>593</v>
      </c>
      <c r="H447" t="s">
        <v>12</v>
      </c>
      <c r="I447">
        <v>4.2778844009137652E-2</v>
      </c>
      <c r="J447" t="s">
        <v>6</v>
      </c>
      <c r="L447" t="s">
        <v>594</v>
      </c>
      <c r="M447" t="s">
        <v>12</v>
      </c>
      <c r="N447">
        <v>3.3988877008595098E-2</v>
      </c>
      <c r="O447" t="s">
        <v>6</v>
      </c>
    </row>
    <row r="448" spans="2:15" x14ac:dyDescent="0.45">
      <c r="B448" t="s">
        <v>592</v>
      </c>
      <c r="C448" t="s">
        <v>13</v>
      </c>
      <c r="D448">
        <v>3.0644242520482521E-4</v>
      </c>
      <c r="E448" t="s">
        <v>6</v>
      </c>
      <c r="G448" t="s">
        <v>593</v>
      </c>
      <c r="H448" t="s">
        <v>13</v>
      </c>
      <c r="I448">
        <v>3.9050268987510767E-2</v>
      </c>
      <c r="J448" t="s">
        <v>6</v>
      </c>
      <c r="L448" t="s">
        <v>594</v>
      </c>
      <c r="M448" t="s">
        <v>13</v>
      </c>
      <c r="N448">
        <v>3.4663190875228032E-2</v>
      </c>
      <c r="O448" t="s">
        <v>6</v>
      </c>
    </row>
    <row r="449" spans="2:15" x14ac:dyDescent="0.45">
      <c r="B449" t="s">
        <v>592</v>
      </c>
      <c r="C449" t="s">
        <v>14</v>
      </c>
      <c r="D449">
        <v>0</v>
      </c>
      <c r="E449" t="s">
        <v>6</v>
      </c>
      <c r="G449" t="s">
        <v>593</v>
      </c>
      <c r="H449" t="s">
        <v>14</v>
      </c>
      <c r="I449">
        <v>0.1261432711417235</v>
      </c>
      <c r="J449" t="s">
        <v>6</v>
      </c>
      <c r="L449" t="s">
        <v>594</v>
      </c>
      <c r="M449" t="s">
        <v>14</v>
      </c>
      <c r="N449">
        <v>0.10880783032402983</v>
      </c>
      <c r="O449" t="s">
        <v>6</v>
      </c>
    </row>
    <row r="450" spans="2:15" x14ac:dyDescent="0.45">
      <c r="B450" t="s">
        <v>592</v>
      </c>
      <c r="C450" t="s">
        <v>15</v>
      </c>
      <c r="D450">
        <v>1.3953991543815762E-2</v>
      </c>
      <c r="E450" t="s">
        <v>6</v>
      </c>
      <c r="G450" t="s">
        <v>593</v>
      </c>
      <c r="H450" t="s">
        <v>15</v>
      </c>
      <c r="I450">
        <v>6.1030009410883164E-2</v>
      </c>
      <c r="J450" t="s">
        <v>6</v>
      </c>
      <c r="L450" t="s">
        <v>594</v>
      </c>
      <c r="M450" t="s">
        <v>15</v>
      </c>
      <c r="N450">
        <v>5.3278770884630712E-2</v>
      </c>
      <c r="O450" t="s">
        <v>6</v>
      </c>
    </row>
    <row r="451" spans="2:15" x14ac:dyDescent="0.45">
      <c r="B451" t="s">
        <v>592</v>
      </c>
      <c r="C451" t="s">
        <v>16</v>
      </c>
      <c r="D451">
        <v>8.0070817416991777E-2</v>
      </c>
      <c r="E451" t="s">
        <v>6</v>
      </c>
      <c r="G451" t="s">
        <v>593</v>
      </c>
      <c r="H451" t="s">
        <v>16</v>
      </c>
      <c r="I451">
        <v>4.8885977322257697E-2</v>
      </c>
      <c r="J451" t="s">
        <v>6</v>
      </c>
      <c r="L451" t="s">
        <v>594</v>
      </c>
      <c r="M451" t="s">
        <v>16</v>
      </c>
      <c r="N451">
        <v>3.8071407386395979E-2</v>
      </c>
      <c r="O451" t="s">
        <v>6</v>
      </c>
    </row>
    <row r="452" spans="2:15" x14ac:dyDescent="0.45">
      <c r="B452" t="s">
        <v>592</v>
      </c>
      <c r="C452" t="s">
        <v>17</v>
      </c>
      <c r="D452">
        <v>0.10286339245857479</v>
      </c>
      <c r="E452" t="s">
        <v>6</v>
      </c>
      <c r="G452" t="s">
        <v>593</v>
      </c>
      <c r="H452" t="s">
        <v>17</v>
      </c>
      <c r="I452">
        <v>5.6071961788839407E-2</v>
      </c>
      <c r="J452" t="s">
        <v>6</v>
      </c>
      <c r="L452" t="s">
        <v>594</v>
      </c>
      <c r="M452" t="s">
        <v>17</v>
      </c>
      <c r="N452">
        <v>3.8530478558895603E-2</v>
      </c>
      <c r="O452" t="s">
        <v>6</v>
      </c>
    </row>
    <row r="453" spans="2:15" x14ac:dyDescent="0.45">
      <c r="B453" t="s">
        <v>592</v>
      </c>
      <c r="C453" t="s">
        <v>18</v>
      </c>
      <c r="D453">
        <v>6.2360050903970947E-2</v>
      </c>
      <c r="E453" t="s">
        <v>6</v>
      </c>
      <c r="G453" t="s">
        <v>593</v>
      </c>
      <c r="H453" t="s">
        <v>18</v>
      </c>
      <c r="I453">
        <v>5.244370397631553E-2</v>
      </c>
      <c r="J453" t="s">
        <v>6</v>
      </c>
      <c r="L453" t="s">
        <v>594</v>
      </c>
      <c r="M453" t="s">
        <v>18</v>
      </c>
      <c r="N453">
        <v>4.1693067858322892E-2</v>
      </c>
      <c r="O453" t="s">
        <v>6</v>
      </c>
    </row>
    <row r="454" spans="2:15" x14ac:dyDescent="0.45">
      <c r="B454" t="s">
        <v>592</v>
      </c>
      <c r="C454" t="s">
        <v>19</v>
      </c>
      <c r="D454">
        <v>6.7025776854705054E-3</v>
      </c>
      <c r="E454" t="s">
        <v>6</v>
      </c>
      <c r="G454" t="s">
        <v>593</v>
      </c>
      <c r="H454" t="s">
        <v>19</v>
      </c>
      <c r="I454">
        <v>4.6964757685156767E-2</v>
      </c>
      <c r="J454" t="s">
        <v>6</v>
      </c>
      <c r="L454" t="s">
        <v>594</v>
      </c>
      <c r="M454" t="s">
        <v>19</v>
      </c>
      <c r="N454">
        <v>4.2644221827902916E-2</v>
      </c>
      <c r="O454" t="s">
        <v>6</v>
      </c>
    </row>
    <row r="455" spans="2:15" x14ac:dyDescent="0.45">
      <c r="B455" t="s">
        <v>592</v>
      </c>
      <c r="C455" t="s">
        <v>20</v>
      </c>
      <c r="D455">
        <v>0</v>
      </c>
      <c r="E455" t="s">
        <v>6</v>
      </c>
      <c r="G455" t="s">
        <v>593</v>
      </c>
      <c r="H455" t="s">
        <v>20</v>
      </c>
      <c r="I455">
        <v>4.9037152924964092E-2</v>
      </c>
      <c r="J455" t="s">
        <v>6</v>
      </c>
      <c r="L455" t="s">
        <v>594</v>
      </c>
      <c r="M455" t="s">
        <v>20</v>
      </c>
      <c r="N455">
        <v>4.5516281228534794E-2</v>
      </c>
      <c r="O455" t="s">
        <v>6</v>
      </c>
    </row>
    <row r="456" spans="2:15" x14ac:dyDescent="0.45">
      <c r="B456" t="s">
        <v>592</v>
      </c>
      <c r="C456" t="s">
        <v>21</v>
      </c>
      <c r="D456">
        <v>2.3810581063374817E-2</v>
      </c>
      <c r="E456" t="s">
        <v>6</v>
      </c>
      <c r="G456" t="s">
        <v>593</v>
      </c>
      <c r="H456" t="s">
        <v>21</v>
      </c>
      <c r="I456">
        <v>2.1191175521120705E-2</v>
      </c>
      <c r="J456" t="s">
        <v>6</v>
      </c>
      <c r="L456" t="s">
        <v>594</v>
      </c>
      <c r="M456" t="s">
        <v>21</v>
      </c>
      <c r="N456">
        <v>1.9969723872356317E-2</v>
      </c>
      <c r="O456" t="s">
        <v>6</v>
      </c>
    </row>
    <row r="457" spans="2:15" x14ac:dyDescent="0.45">
      <c r="B457" t="s">
        <v>592</v>
      </c>
      <c r="C457" t="s">
        <v>22</v>
      </c>
      <c r="D457">
        <v>0.10575905140146849</v>
      </c>
      <c r="E457" t="s">
        <v>6</v>
      </c>
      <c r="G457" t="s">
        <v>593</v>
      </c>
      <c r="H457" t="s">
        <v>22</v>
      </c>
      <c r="I457">
        <v>1.1651346610853227E-2</v>
      </c>
      <c r="J457" t="s">
        <v>6</v>
      </c>
      <c r="L457" t="s">
        <v>594</v>
      </c>
      <c r="M457" t="s">
        <v>22</v>
      </c>
      <c r="N457">
        <v>1.3129977031055652E-2</v>
      </c>
      <c r="O457" t="s">
        <v>6</v>
      </c>
    </row>
    <row r="458" spans="2:15" x14ac:dyDescent="0.45">
      <c r="B458" t="s">
        <v>592</v>
      </c>
      <c r="C458" t="s">
        <v>23</v>
      </c>
      <c r="D458">
        <v>0.13168906559770621</v>
      </c>
      <c r="E458" t="s">
        <v>6</v>
      </c>
      <c r="G458" t="s">
        <v>593</v>
      </c>
      <c r="H458" t="s">
        <v>23</v>
      </c>
      <c r="I458">
        <v>1.4840347810365535E-2</v>
      </c>
      <c r="J458" t="s">
        <v>6</v>
      </c>
      <c r="L458" t="s">
        <v>594</v>
      </c>
      <c r="M458" t="s">
        <v>23</v>
      </c>
      <c r="N458">
        <v>1.3701213240865684E-2</v>
      </c>
      <c r="O458" t="s">
        <v>6</v>
      </c>
    </row>
    <row r="459" spans="2:15" x14ac:dyDescent="0.45">
      <c r="B459" t="s">
        <v>592</v>
      </c>
      <c r="C459" t="s">
        <v>24</v>
      </c>
      <c r="D459">
        <v>8.6136160617958341E-2</v>
      </c>
      <c r="E459" t="s">
        <v>6</v>
      </c>
      <c r="G459" t="s">
        <v>593</v>
      </c>
      <c r="H459" t="s">
        <v>24</v>
      </c>
      <c r="I459">
        <v>1.7566077546340046E-2</v>
      </c>
      <c r="J459" t="s">
        <v>6</v>
      </c>
      <c r="L459" t="s">
        <v>594</v>
      </c>
      <c r="M459" t="s">
        <v>24</v>
      </c>
      <c r="N459">
        <v>1.6447865996485313E-2</v>
      </c>
      <c r="O459" t="s">
        <v>6</v>
      </c>
    </row>
    <row r="460" spans="2:15" x14ac:dyDescent="0.45">
      <c r="B460" t="s">
        <v>592</v>
      </c>
      <c r="C460" t="s">
        <v>25</v>
      </c>
      <c r="D460">
        <v>1.3172538541598373E-2</v>
      </c>
      <c r="E460" t="s">
        <v>6</v>
      </c>
      <c r="G460" t="s">
        <v>593</v>
      </c>
      <c r="H460" t="s">
        <v>25</v>
      </c>
      <c r="I460">
        <v>1.7545396593311099E-2</v>
      </c>
      <c r="J460" t="s">
        <v>6</v>
      </c>
      <c r="L460" t="s">
        <v>594</v>
      </c>
      <c r="M460" t="s">
        <v>25</v>
      </c>
      <c r="N460">
        <v>1.6736435570183658E-2</v>
      </c>
      <c r="O460" t="s">
        <v>6</v>
      </c>
    </row>
    <row r="461" spans="2:15" x14ac:dyDescent="0.45">
      <c r="B461" t="s">
        <v>592</v>
      </c>
      <c r="C461" t="s">
        <v>26</v>
      </c>
      <c r="D461">
        <v>0</v>
      </c>
      <c r="E461" t="s">
        <v>6</v>
      </c>
      <c r="G461" t="s">
        <v>593</v>
      </c>
      <c r="H461" t="s">
        <v>26</v>
      </c>
      <c r="I461">
        <v>5.147421336413735E-2</v>
      </c>
      <c r="J461" t="s">
        <v>6</v>
      </c>
      <c r="L461" t="s">
        <v>594</v>
      </c>
      <c r="M461" t="s">
        <v>26</v>
      </c>
      <c r="N461">
        <v>9.2531062035780154E-2</v>
      </c>
      <c r="O461" t="s">
        <v>6</v>
      </c>
    </row>
    <row r="462" spans="2:15" x14ac:dyDescent="0.45">
      <c r="B462" t="s">
        <v>592</v>
      </c>
      <c r="C462" t="s">
        <v>27</v>
      </c>
      <c r="D462">
        <v>5.969691648190837E-3</v>
      </c>
      <c r="E462" t="s">
        <v>6</v>
      </c>
      <c r="G462" t="s">
        <v>593</v>
      </c>
      <c r="H462" t="s">
        <v>27</v>
      </c>
      <c r="I462">
        <v>2.5662651259131277E-2</v>
      </c>
      <c r="J462" t="s">
        <v>6</v>
      </c>
      <c r="L462" t="s">
        <v>594</v>
      </c>
      <c r="M462" t="s">
        <v>27</v>
      </c>
      <c r="N462">
        <v>4.4588685478075991E-2</v>
      </c>
      <c r="O462" t="s">
        <v>6</v>
      </c>
    </row>
    <row r="463" spans="2:15" x14ac:dyDescent="0.45">
      <c r="B463" t="s">
        <v>592</v>
      </c>
      <c r="C463" t="s">
        <v>28</v>
      </c>
      <c r="D463">
        <v>6.2683077102918303E-2</v>
      </c>
      <c r="E463" t="s">
        <v>6</v>
      </c>
      <c r="G463" t="s">
        <v>593</v>
      </c>
      <c r="H463" t="s">
        <v>28</v>
      </c>
      <c r="I463">
        <v>2.1912281860097207E-2</v>
      </c>
      <c r="J463" t="s">
        <v>6</v>
      </c>
      <c r="L463" t="s">
        <v>594</v>
      </c>
      <c r="M463" t="s">
        <v>28</v>
      </c>
      <c r="N463">
        <v>3.3623029936941343E-2</v>
      </c>
      <c r="O463" t="s">
        <v>6</v>
      </c>
    </row>
    <row r="464" spans="2:15" x14ac:dyDescent="0.45">
      <c r="B464" t="s">
        <v>592</v>
      </c>
      <c r="C464" t="s">
        <v>29</v>
      </c>
      <c r="D464">
        <v>8.7537359557943881E-2</v>
      </c>
      <c r="E464" t="s">
        <v>6</v>
      </c>
      <c r="G464" t="s">
        <v>593</v>
      </c>
      <c r="H464" t="s">
        <v>29</v>
      </c>
      <c r="I464">
        <v>2.5620969720472855E-2</v>
      </c>
      <c r="J464" t="s">
        <v>6</v>
      </c>
      <c r="L464" t="s">
        <v>594</v>
      </c>
      <c r="M464" t="s">
        <v>29</v>
      </c>
      <c r="N464">
        <v>3.5362011555088634E-2</v>
      </c>
      <c r="O464" t="s">
        <v>6</v>
      </c>
    </row>
    <row r="465" spans="2:15" x14ac:dyDescent="0.45">
      <c r="B465" t="s">
        <v>592</v>
      </c>
      <c r="C465" t="s">
        <v>30</v>
      </c>
      <c r="D465">
        <v>4.1743443425350218E-2</v>
      </c>
      <c r="E465" t="s">
        <v>6</v>
      </c>
      <c r="G465" t="s">
        <v>593</v>
      </c>
      <c r="H465" t="s">
        <v>30</v>
      </c>
      <c r="I465">
        <v>2.4334158273026679E-2</v>
      </c>
      <c r="J465" t="s">
        <v>6</v>
      </c>
      <c r="L465" t="s">
        <v>594</v>
      </c>
      <c r="M465" t="s">
        <v>30</v>
      </c>
      <c r="N465">
        <v>3.6256266992249486E-2</v>
      </c>
      <c r="O465" t="s">
        <v>6</v>
      </c>
    </row>
    <row r="466" spans="2:15" x14ac:dyDescent="0.45">
      <c r="B466" t="s">
        <v>592</v>
      </c>
      <c r="C466" t="s">
        <v>31</v>
      </c>
      <c r="D466">
        <v>1.3065478841029216E-3</v>
      </c>
      <c r="E466" t="s">
        <v>6</v>
      </c>
      <c r="G466" t="s">
        <v>593</v>
      </c>
      <c r="H466" t="s">
        <v>31</v>
      </c>
      <c r="I466">
        <v>2.1423674759536226E-2</v>
      </c>
      <c r="J466" t="s">
        <v>6</v>
      </c>
      <c r="L466" t="s">
        <v>594</v>
      </c>
      <c r="M466" t="s">
        <v>31</v>
      </c>
      <c r="N466">
        <v>3.5841128054140657E-2</v>
      </c>
      <c r="O466" t="s">
        <v>6</v>
      </c>
    </row>
    <row r="467" spans="2:15" x14ac:dyDescent="0.45">
      <c r="B467" t="s">
        <v>595</v>
      </c>
      <c r="C467" t="s">
        <v>5</v>
      </c>
      <c r="D467">
        <v>0</v>
      </c>
      <c r="E467" t="s">
        <v>6</v>
      </c>
      <c r="L467" t="s">
        <v>596</v>
      </c>
      <c r="M467" t="s">
        <v>5</v>
      </c>
      <c r="N467">
        <v>0.1022685122566514</v>
      </c>
      <c r="O467" t="s">
        <v>6</v>
      </c>
    </row>
    <row r="468" spans="2:15" x14ac:dyDescent="0.45">
      <c r="B468" t="s">
        <v>595</v>
      </c>
      <c r="C468" t="s">
        <v>9</v>
      </c>
      <c r="D468">
        <v>6.0644695418063312E-4</v>
      </c>
      <c r="E468" t="s">
        <v>6</v>
      </c>
      <c r="L468" t="s">
        <v>596</v>
      </c>
      <c r="M468" t="s">
        <v>9</v>
      </c>
      <c r="N468">
        <v>4.9940216623478396E-2</v>
      </c>
      <c r="O468" t="s">
        <v>6</v>
      </c>
    </row>
    <row r="469" spans="2:15" x14ac:dyDescent="0.45">
      <c r="B469" t="s">
        <v>595</v>
      </c>
      <c r="C469" t="s">
        <v>10</v>
      </c>
      <c r="D469">
        <v>4.3119981506847142E-2</v>
      </c>
      <c r="E469" t="s">
        <v>6</v>
      </c>
      <c r="L469" t="s">
        <v>596</v>
      </c>
      <c r="M469" t="s">
        <v>10</v>
      </c>
      <c r="N469">
        <v>3.8537359316123919E-2</v>
      </c>
      <c r="O469" t="s">
        <v>6</v>
      </c>
    </row>
    <row r="470" spans="2:15" x14ac:dyDescent="0.45">
      <c r="B470" t="s">
        <v>595</v>
      </c>
      <c r="C470" t="s">
        <v>11</v>
      </c>
      <c r="D470">
        <v>7.9810833477972395E-2</v>
      </c>
      <c r="E470" t="s">
        <v>6</v>
      </c>
      <c r="L470" t="s">
        <v>596</v>
      </c>
      <c r="M470" t="s">
        <v>11</v>
      </c>
      <c r="N470">
        <v>3.9169212236176094E-2</v>
      </c>
      <c r="O470" t="s">
        <v>6</v>
      </c>
    </row>
    <row r="471" spans="2:15" x14ac:dyDescent="0.45">
      <c r="B471" t="s">
        <v>595</v>
      </c>
      <c r="C471" t="s">
        <v>12</v>
      </c>
      <c r="D471">
        <v>3.7532376041521646E-2</v>
      </c>
      <c r="E471" t="s">
        <v>6</v>
      </c>
      <c r="L471" t="s">
        <v>596</v>
      </c>
      <c r="M471" t="s">
        <v>12</v>
      </c>
      <c r="N471">
        <v>3.9287186870308716E-2</v>
      </c>
      <c r="O471" t="s">
        <v>6</v>
      </c>
    </row>
    <row r="472" spans="2:15" x14ac:dyDescent="0.45">
      <c r="B472" t="s">
        <v>595</v>
      </c>
      <c r="C472" t="s">
        <v>13</v>
      </c>
      <c r="D472">
        <v>3.2803267174329008E-4</v>
      </c>
      <c r="E472" t="s">
        <v>6</v>
      </c>
      <c r="L472" t="s">
        <v>596</v>
      </c>
      <c r="M472" t="s">
        <v>13</v>
      </c>
      <c r="N472">
        <v>3.9192586217846742E-2</v>
      </c>
      <c r="O472" t="s">
        <v>6</v>
      </c>
    </row>
    <row r="473" spans="2:15" x14ac:dyDescent="0.45">
      <c r="B473" t="s">
        <v>595</v>
      </c>
      <c r="C473" t="s">
        <v>14</v>
      </c>
      <c r="D473">
        <v>0</v>
      </c>
      <c r="E473" t="s">
        <v>6</v>
      </c>
      <c r="L473" t="s">
        <v>596</v>
      </c>
      <c r="M473" t="s">
        <v>14</v>
      </c>
      <c r="N473">
        <v>0.10431850049172749</v>
      </c>
      <c r="O473" t="s">
        <v>6</v>
      </c>
    </row>
    <row r="474" spans="2:15" x14ac:dyDescent="0.45">
      <c r="B474" t="s">
        <v>595</v>
      </c>
      <c r="C474" t="s">
        <v>15</v>
      </c>
      <c r="D474">
        <v>1.4230653468087943E-2</v>
      </c>
      <c r="E474" t="s">
        <v>6</v>
      </c>
      <c r="L474" t="s">
        <v>596</v>
      </c>
      <c r="M474" t="s">
        <v>15</v>
      </c>
      <c r="N474">
        <v>5.2585808735991273E-2</v>
      </c>
      <c r="O474" t="s">
        <v>6</v>
      </c>
    </row>
    <row r="475" spans="2:15" x14ac:dyDescent="0.45">
      <c r="B475" t="s">
        <v>595</v>
      </c>
      <c r="C475" t="s">
        <v>16</v>
      </c>
      <c r="D475">
        <v>8.1541024467258957E-2</v>
      </c>
      <c r="E475" t="s">
        <v>6</v>
      </c>
      <c r="L475" t="s">
        <v>596</v>
      </c>
      <c r="M475" t="s">
        <v>16</v>
      </c>
      <c r="N475">
        <v>3.9843113106378773E-2</v>
      </c>
      <c r="O475" t="s">
        <v>6</v>
      </c>
    </row>
    <row r="476" spans="2:15" x14ac:dyDescent="0.45">
      <c r="B476" t="s">
        <v>595</v>
      </c>
      <c r="C476" t="s">
        <v>17</v>
      </c>
      <c r="D476">
        <v>0.1082918731206033</v>
      </c>
      <c r="E476" t="s">
        <v>6</v>
      </c>
      <c r="L476" t="s">
        <v>596</v>
      </c>
      <c r="M476" t="s">
        <v>17</v>
      </c>
      <c r="N476">
        <v>4.2173898343313553E-2</v>
      </c>
      <c r="O476" t="s">
        <v>6</v>
      </c>
    </row>
    <row r="477" spans="2:15" x14ac:dyDescent="0.45">
      <c r="B477" t="s">
        <v>595</v>
      </c>
      <c r="C477" t="s">
        <v>18</v>
      </c>
      <c r="D477">
        <v>6.6905444885009074E-2</v>
      </c>
      <c r="E477" t="s">
        <v>6</v>
      </c>
      <c r="L477" t="s">
        <v>596</v>
      </c>
      <c r="M477" t="s">
        <v>18</v>
      </c>
      <c r="N477">
        <v>4.3661434959004604E-2</v>
      </c>
      <c r="O477" t="s">
        <v>6</v>
      </c>
    </row>
    <row r="478" spans="2:15" x14ac:dyDescent="0.45">
      <c r="B478" t="s">
        <v>595</v>
      </c>
      <c r="C478" t="s">
        <v>19</v>
      </c>
      <c r="D478">
        <v>6.8735005889844387E-3</v>
      </c>
      <c r="E478" t="s">
        <v>6</v>
      </c>
      <c r="L478" t="s">
        <v>596</v>
      </c>
      <c r="M478" t="s">
        <v>19</v>
      </c>
      <c r="N478">
        <v>4.1989808178330153E-2</v>
      </c>
      <c r="O478" t="s">
        <v>6</v>
      </c>
    </row>
    <row r="479" spans="2:15" x14ac:dyDescent="0.45">
      <c r="B479" t="s">
        <v>595</v>
      </c>
      <c r="C479" t="s">
        <v>20</v>
      </c>
      <c r="D479">
        <v>0</v>
      </c>
      <c r="E479" t="s">
        <v>6</v>
      </c>
      <c r="L479" t="s">
        <v>596</v>
      </c>
      <c r="M479" t="s">
        <v>20</v>
      </c>
      <c r="N479">
        <v>3.7954091819898658E-2</v>
      </c>
      <c r="O479" t="s">
        <v>6</v>
      </c>
    </row>
    <row r="480" spans="2:15" x14ac:dyDescent="0.45">
      <c r="B480" t="s">
        <v>595</v>
      </c>
      <c r="C480" t="s">
        <v>21</v>
      </c>
      <c r="D480">
        <v>2.3111350384607533E-2</v>
      </c>
      <c r="E480" t="s">
        <v>6</v>
      </c>
      <c r="L480" t="s">
        <v>596</v>
      </c>
      <c r="M480" t="s">
        <v>21</v>
      </c>
      <c r="N480">
        <v>1.7200152845508132E-2</v>
      </c>
      <c r="O480" t="s">
        <v>6</v>
      </c>
    </row>
    <row r="481" spans="2:15" x14ac:dyDescent="0.45">
      <c r="B481" t="s">
        <v>595</v>
      </c>
      <c r="C481" t="s">
        <v>22</v>
      </c>
      <c r="D481">
        <v>0.10172642809000834</v>
      </c>
      <c r="E481" t="s">
        <v>6</v>
      </c>
      <c r="L481" t="s">
        <v>596</v>
      </c>
      <c r="M481" t="s">
        <v>22</v>
      </c>
      <c r="N481">
        <v>1.1740569651365759E-2</v>
      </c>
      <c r="O481" t="s">
        <v>6</v>
      </c>
    </row>
    <row r="482" spans="2:15" x14ac:dyDescent="0.45">
      <c r="B482" t="s">
        <v>595</v>
      </c>
      <c r="C482" t="s">
        <v>23</v>
      </c>
      <c r="D482">
        <v>0.13183184253168237</v>
      </c>
      <c r="E482" t="s">
        <v>6</v>
      </c>
      <c r="L482" t="s">
        <v>596</v>
      </c>
      <c r="M482" t="s">
        <v>23</v>
      </c>
      <c r="N482">
        <v>1.5237743090018649E-2</v>
      </c>
      <c r="O482" t="s">
        <v>6</v>
      </c>
    </row>
    <row r="483" spans="2:15" x14ac:dyDescent="0.45">
      <c r="B483" t="s">
        <v>595</v>
      </c>
      <c r="C483" t="s">
        <v>24</v>
      </c>
      <c r="D483">
        <v>8.8594299003408511E-2</v>
      </c>
      <c r="E483" t="s">
        <v>6</v>
      </c>
      <c r="L483" t="s">
        <v>596</v>
      </c>
      <c r="M483" t="s">
        <v>24</v>
      </c>
      <c r="N483">
        <v>2.0949765102173407E-2</v>
      </c>
      <c r="O483" t="s">
        <v>6</v>
      </c>
    </row>
    <row r="484" spans="2:15" x14ac:dyDescent="0.45">
      <c r="B484" t="s">
        <v>595</v>
      </c>
      <c r="C484" t="s">
        <v>25</v>
      </c>
      <c r="D484">
        <v>1.2805243897672462E-2</v>
      </c>
      <c r="E484" t="s">
        <v>6</v>
      </c>
      <c r="L484" t="s">
        <v>596</v>
      </c>
      <c r="M484" t="s">
        <v>25</v>
      </c>
      <c r="N484">
        <v>1.8784797354389232E-2</v>
      </c>
      <c r="O484" t="s">
        <v>6</v>
      </c>
    </row>
    <row r="485" spans="2:15" x14ac:dyDescent="0.45">
      <c r="B485" t="s">
        <v>595</v>
      </c>
      <c r="C485" t="s">
        <v>26</v>
      </c>
      <c r="D485">
        <v>0</v>
      </c>
      <c r="E485" t="s">
        <v>6</v>
      </c>
      <c r="L485" t="s">
        <v>596</v>
      </c>
      <c r="M485" t="s">
        <v>26</v>
      </c>
      <c r="N485">
        <v>8.2130313981693473E-2</v>
      </c>
      <c r="O485" t="s">
        <v>6</v>
      </c>
    </row>
    <row r="486" spans="2:15" x14ac:dyDescent="0.45">
      <c r="B486" t="s">
        <v>595</v>
      </c>
      <c r="C486" t="s">
        <v>27</v>
      </c>
      <c r="D486">
        <v>6.3486792117089016E-3</v>
      </c>
      <c r="E486" t="s">
        <v>6</v>
      </c>
      <c r="L486" t="s">
        <v>596</v>
      </c>
      <c r="M486" t="s">
        <v>27</v>
      </c>
      <c r="N486">
        <v>4.0981630860264594E-2</v>
      </c>
      <c r="O486" t="s">
        <v>6</v>
      </c>
    </row>
    <row r="487" spans="2:15" x14ac:dyDescent="0.45">
      <c r="B487" t="s">
        <v>595</v>
      </c>
      <c r="C487" t="s">
        <v>28</v>
      </c>
      <c r="D487">
        <v>6.3554816021912736E-2</v>
      </c>
      <c r="E487" t="s">
        <v>6</v>
      </c>
      <c r="L487" t="s">
        <v>596</v>
      </c>
      <c r="M487" t="s">
        <v>28</v>
      </c>
      <c r="N487">
        <v>3.0025322834946477E-2</v>
      </c>
      <c r="O487" t="s">
        <v>6</v>
      </c>
    </row>
    <row r="488" spans="2:15" x14ac:dyDescent="0.45">
      <c r="B488" t="s">
        <v>595</v>
      </c>
      <c r="C488" t="s">
        <v>29</v>
      </c>
      <c r="D488">
        <v>8.8418355049159417E-2</v>
      </c>
      <c r="E488" t="s">
        <v>6</v>
      </c>
      <c r="L488" t="s">
        <v>596</v>
      </c>
      <c r="M488" t="s">
        <v>29</v>
      </c>
      <c r="N488">
        <v>3.0377387336606256E-2</v>
      </c>
      <c r="O488" t="s">
        <v>6</v>
      </c>
    </row>
    <row r="489" spans="2:15" x14ac:dyDescent="0.45">
      <c r="B489" t="s">
        <v>595</v>
      </c>
      <c r="C489" t="s">
        <v>30</v>
      </c>
      <c r="D489">
        <v>4.3088020698309269E-2</v>
      </c>
      <c r="E489" t="s">
        <v>6</v>
      </c>
      <c r="L489" t="s">
        <v>596</v>
      </c>
      <c r="M489" t="s">
        <v>30</v>
      </c>
      <c r="N489">
        <v>3.1368273401695464E-2</v>
      </c>
      <c r="O489" t="s">
        <v>6</v>
      </c>
    </row>
    <row r="490" spans="2:15" x14ac:dyDescent="0.45">
      <c r="B490" t="s">
        <v>595</v>
      </c>
      <c r="C490" t="s">
        <v>31</v>
      </c>
      <c r="D490">
        <v>1.2807979293235736E-3</v>
      </c>
      <c r="E490" t="s">
        <v>6</v>
      </c>
      <c r="L490" t="s">
        <v>596</v>
      </c>
      <c r="M490" t="s">
        <v>31</v>
      </c>
      <c r="N490">
        <v>3.0282314386105066E-2</v>
      </c>
      <c r="O490" t="s">
        <v>6</v>
      </c>
    </row>
    <row r="491" spans="2:15" x14ac:dyDescent="0.45">
      <c r="B491" t="s">
        <v>597</v>
      </c>
      <c r="C491" t="s">
        <v>5</v>
      </c>
      <c r="D491">
        <v>0</v>
      </c>
      <c r="E491" t="s">
        <v>6</v>
      </c>
    </row>
    <row r="492" spans="2:15" x14ac:dyDescent="0.45">
      <c r="B492" t="s">
        <v>597</v>
      </c>
      <c r="C492" t="s">
        <v>9</v>
      </c>
      <c r="D492">
        <v>4.0163054772971959E-4</v>
      </c>
      <c r="E492" t="s">
        <v>6</v>
      </c>
    </row>
    <row r="493" spans="2:15" x14ac:dyDescent="0.45">
      <c r="B493" t="s">
        <v>597</v>
      </c>
      <c r="C493" t="s">
        <v>10</v>
      </c>
      <c r="D493">
        <v>4.5091427367798496E-2</v>
      </c>
      <c r="E493" t="s">
        <v>6</v>
      </c>
    </row>
    <row r="494" spans="2:15" x14ac:dyDescent="0.45">
      <c r="B494" t="s">
        <v>597</v>
      </c>
      <c r="C494" t="s">
        <v>11</v>
      </c>
      <c r="D494">
        <v>8.3380651016408444E-2</v>
      </c>
      <c r="E494" t="s">
        <v>6</v>
      </c>
    </row>
    <row r="495" spans="2:15" x14ac:dyDescent="0.45">
      <c r="B495" t="s">
        <v>597</v>
      </c>
      <c r="C495" t="s">
        <v>12</v>
      </c>
      <c r="D495">
        <v>3.9569019449109892E-2</v>
      </c>
      <c r="E495" t="s">
        <v>6</v>
      </c>
    </row>
    <row r="496" spans="2:15" x14ac:dyDescent="0.45">
      <c r="B496" t="s">
        <v>597</v>
      </c>
      <c r="C496" t="s">
        <v>13</v>
      </c>
      <c r="D496">
        <v>5.1465972404970994E-4</v>
      </c>
      <c r="E496" t="s">
        <v>6</v>
      </c>
    </row>
    <row r="497" spans="2:5" x14ac:dyDescent="0.45">
      <c r="B497" t="s">
        <v>597</v>
      </c>
      <c r="C497" t="s">
        <v>14</v>
      </c>
      <c r="D497">
        <v>0</v>
      </c>
      <c r="E497" t="s">
        <v>6</v>
      </c>
    </row>
    <row r="498" spans="2:5" x14ac:dyDescent="0.45">
      <c r="B498" t="s">
        <v>597</v>
      </c>
      <c r="C498" t="s">
        <v>15</v>
      </c>
      <c r="D498">
        <v>1.3174130288179672E-2</v>
      </c>
      <c r="E498" t="s">
        <v>6</v>
      </c>
    </row>
    <row r="499" spans="2:5" x14ac:dyDescent="0.45">
      <c r="B499" t="s">
        <v>597</v>
      </c>
      <c r="C499" t="s">
        <v>16</v>
      </c>
      <c r="D499">
        <v>8.0183744156977224E-2</v>
      </c>
      <c r="E499" t="s">
        <v>6</v>
      </c>
    </row>
    <row r="500" spans="2:5" x14ac:dyDescent="0.45">
      <c r="B500" t="s">
        <v>597</v>
      </c>
      <c r="C500" t="s">
        <v>17</v>
      </c>
      <c r="D500">
        <v>0.10367059512963521</v>
      </c>
      <c r="E500" t="s">
        <v>6</v>
      </c>
    </row>
    <row r="501" spans="2:5" x14ac:dyDescent="0.45">
      <c r="B501" t="s">
        <v>597</v>
      </c>
      <c r="C501" t="s">
        <v>18</v>
      </c>
      <c r="D501">
        <v>6.5120708714384107E-2</v>
      </c>
      <c r="E501" t="s">
        <v>6</v>
      </c>
    </row>
    <row r="502" spans="2:5" x14ac:dyDescent="0.45">
      <c r="B502" t="s">
        <v>597</v>
      </c>
      <c r="C502" t="s">
        <v>19</v>
      </c>
      <c r="D502">
        <v>7.6074780757442416E-3</v>
      </c>
      <c r="E502" t="s">
        <v>6</v>
      </c>
    </row>
    <row r="503" spans="2:5" x14ac:dyDescent="0.45">
      <c r="B503" t="s">
        <v>597</v>
      </c>
      <c r="C503" t="s">
        <v>20</v>
      </c>
      <c r="D503">
        <v>0</v>
      </c>
      <c r="E503" t="s">
        <v>6</v>
      </c>
    </row>
    <row r="504" spans="2:5" x14ac:dyDescent="0.45">
      <c r="B504" t="s">
        <v>597</v>
      </c>
      <c r="C504" t="s">
        <v>21</v>
      </c>
      <c r="D504">
        <v>2.164149595023606E-2</v>
      </c>
      <c r="E504" t="s">
        <v>6</v>
      </c>
    </row>
    <row r="505" spans="2:5" x14ac:dyDescent="0.45">
      <c r="B505" t="s">
        <v>597</v>
      </c>
      <c r="C505" t="s">
        <v>22</v>
      </c>
      <c r="D505">
        <v>0.10308994442369075</v>
      </c>
      <c r="E505" t="s">
        <v>6</v>
      </c>
    </row>
    <row r="506" spans="2:5" x14ac:dyDescent="0.45">
      <c r="B506" t="s">
        <v>597</v>
      </c>
      <c r="C506" t="s">
        <v>23</v>
      </c>
      <c r="D506">
        <v>0.13381411754605804</v>
      </c>
      <c r="E506" t="s">
        <v>6</v>
      </c>
    </row>
    <row r="507" spans="2:5" x14ac:dyDescent="0.45">
      <c r="B507" t="s">
        <v>597</v>
      </c>
      <c r="C507" t="s">
        <v>24</v>
      </c>
      <c r="D507">
        <v>8.9941110847747252E-2</v>
      </c>
      <c r="E507" t="s">
        <v>6</v>
      </c>
    </row>
    <row r="508" spans="2:5" x14ac:dyDescent="0.45">
      <c r="B508" t="s">
        <v>597</v>
      </c>
      <c r="C508" t="s">
        <v>25</v>
      </c>
      <c r="D508">
        <v>1.4153529824161562E-2</v>
      </c>
      <c r="E508" t="s">
        <v>6</v>
      </c>
    </row>
    <row r="509" spans="2:5" x14ac:dyDescent="0.45">
      <c r="B509" t="s">
        <v>597</v>
      </c>
      <c r="C509" t="s">
        <v>26</v>
      </c>
      <c r="D509">
        <v>0</v>
      </c>
      <c r="E509" t="s">
        <v>6</v>
      </c>
    </row>
    <row r="510" spans="2:5" x14ac:dyDescent="0.45">
      <c r="B510" t="s">
        <v>597</v>
      </c>
      <c r="C510" t="s">
        <v>27</v>
      </c>
      <c r="D510">
        <v>5.5825053116350248E-3</v>
      </c>
      <c r="E510" t="s">
        <v>6</v>
      </c>
    </row>
    <row r="511" spans="2:5" x14ac:dyDescent="0.45">
      <c r="B511" t="s">
        <v>597</v>
      </c>
      <c r="C511" t="s">
        <v>28</v>
      </c>
      <c r="D511">
        <v>6.0811598966175613E-2</v>
      </c>
      <c r="E511" t="s">
        <v>6</v>
      </c>
    </row>
    <row r="512" spans="2:5" x14ac:dyDescent="0.45">
      <c r="B512" t="s">
        <v>597</v>
      </c>
      <c r="C512" t="s">
        <v>29</v>
      </c>
      <c r="D512">
        <v>8.6690111469714337E-2</v>
      </c>
      <c r="E512" t="s">
        <v>6</v>
      </c>
    </row>
    <row r="513" spans="2:5" x14ac:dyDescent="0.45">
      <c r="B513" t="s">
        <v>597</v>
      </c>
      <c r="C513" t="s">
        <v>30</v>
      </c>
      <c r="D513">
        <v>4.3910949276825456E-2</v>
      </c>
      <c r="E513" t="s">
        <v>6</v>
      </c>
    </row>
    <row r="514" spans="2:5" x14ac:dyDescent="0.45">
      <c r="B514" t="s">
        <v>597</v>
      </c>
      <c r="C514" t="s">
        <v>31</v>
      </c>
      <c r="D514">
        <v>1.6505919137405208E-3</v>
      </c>
      <c r="E514" t="s">
        <v>6</v>
      </c>
    </row>
    <row r="515" spans="2:5" x14ac:dyDescent="0.45">
      <c r="B515" t="s">
        <v>598</v>
      </c>
      <c r="C515" t="s">
        <v>5</v>
      </c>
      <c r="D515">
        <v>0</v>
      </c>
      <c r="E515" t="s">
        <v>6</v>
      </c>
    </row>
    <row r="516" spans="2:5" x14ac:dyDescent="0.45">
      <c r="B516" t="s">
        <v>598</v>
      </c>
      <c r="C516" t="s">
        <v>9</v>
      </c>
      <c r="D516">
        <v>6.4149108027158745E-4</v>
      </c>
      <c r="E516" t="s">
        <v>6</v>
      </c>
    </row>
    <row r="517" spans="2:5" x14ac:dyDescent="0.45">
      <c r="B517" t="s">
        <v>598</v>
      </c>
      <c r="C517" t="s">
        <v>10</v>
      </c>
      <c r="D517">
        <v>4.5181047096608883E-2</v>
      </c>
      <c r="E517" t="s">
        <v>6</v>
      </c>
    </row>
    <row r="518" spans="2:5" x14ac:dyDescent="0.45">
      <c r="B518" t="s">
        <v>598</v>
      </c>
      <c r="C518" t="s">
        <v>11</v>
      </c>
      <c r="D518">
        <v>8.0559050142547189E-2</v>
      </c>
      <c r="E518" t="s">
        <v>6</v>
      </c>
    </row>
    <row r="519" spans="2:5" x14ac:dyDescent="0.45">
      <c r="B519" t="s">
        <v>598</v>
      </c>
      <c r="C519" t="s">
        <v>12</v>
      </c>
      <c r="D519">
        <v>3.7557263254632732E-2</v>
      </c>
      <c r="E519" t="s">
        <v>6</v>
      </c>
    </row>
    <row r="520" spans="2:5" x14ac:dyDescent="0.45">
      <c r="B520" t="s">
        <v>598</v>
      </c>
      <c r="C520" t="s">
        <v>13</v>
      </c>
      <c r="D520">
        <v>3.9337363252083348E-4</v>
      </c>
      <c r="E520" t="s">
        <v>6</v>
      </c>
    </row>
    <row r="521" spans="2:5" x14ac:dyDescent="0.45">
      <c r="B521" t="s">
        <v>598</v>
      </c>
      <c r="C521" t="s">
        <v>14</v>
      </c>
      <c r="D521">
        <v>0</v>
      </c>
      <c r="E521" t="s">
        <v>6</v>
      </c>
    </row>
    <row r="522" spans="2:5" x14ac:dyDescent="0.45">
      <c r="B522" t="s">
        <v>598</v>
      </c>
      <c r="C522" t="s">
        <v>15</v>
      </c>
      <c r="D522">
        <v>1.4091539340408599E-2</v>
      </c>
      <c r="E522" t="s">
        <v>6</v>
      </c>
    </row>
    <row r="523" spans="2:5" x14ac:dyDescent="0.45">
      <c r="B523" t="s">
        <v>598</v>
      </c>
      <c r="C523" t="s">
        <v>16</v>
      </c>
      <c r="D523">
        <v>8.2246942380312799E-2</v>
      </c>
      <c r="E523" t="s">
        <v>6</v>
      </c>
    </row>
    <row r="524" spans="2:5" x14ac:dyDescent="0.45">
      <c r="B524" t="s">
        <v>598</v>
      </c>
      <c r="C524" t="s">
        <v>17</v>
      </c>
      <c r="D524">
        <v>0.10788682226555267</v>
      </c>
      <c r="E524" t="s">
        <v>6</v>
      </c>
    </row>
    <row r="525" spans="2:5" x14ac:dyDescent="0.45">
      <c r="B525" t="s">
        <v>598</v>
      </c>
      <c r="C525" t="s">
        <v>18</v>
      </c>
      <c r="D525">
        <v>6.6432181096312298E-2</v>
      </c>
      <c r="E525" t="s">
        <v>6</v>
      </c>
    </row>
    <row r="526" spans="2:5" x14ac:dyDescent="0.45">
      <c r="B526" t="s">
        <v>598</v>
      </c>
      <c r="C526" t="s">
        <v>19</v>
      </c>
      <c r="D526">
        <v>6.7031189679160018E-3</v>
      </c>
      <c r="E526" t="s">
        <v>6</v>
      </c>
    </row>
    <row r="527" spans="2:5" x14ac:dyDescent="0.45">
      <c r="B527" t="s">
        <v>598</v>
      </c>
      <c r="C527" t="s">
        <v>20</v>
      </c>
      <c r="D527">
        <v>0</v>
      </c>
      <c r="E527" t="s">
        <v>6</v>
      </c>
    </row>
    <row r="528" spans="2:5" x14ac:dyDescent="0.45">
      <c r="B528" t="s">
        <v>598</v>
      </c>
      <c r="C528" t="s">
        <v>21</v>
      </c>
      <c r="D528">
        <v>2.2818619601931538E-2</v>
      </c>
      <c r="E528" t="s">
        <v>6</v>
      </c>
    </row>
    <row r="529" spans="2:5" x14ac:dyDescent="0.45">
      <c r="B529" t="s">
        <v>598</v>
      </c>
      <c r="C529" t="s">
        <v>22</v>
      </c>
      <c r="D529">
        <v>0.10340847885273792</v>
      </c>
      <c r="E529" t="s">
        <v>6</v>
      </c>
    </row>
    <row r="530" spans="2:5" x14ac:dyDescent="0.45">
      <c r="B530" t="s">
        <v>598</v>
      </c>
      <c r="C530" t="s">
        <v>23</v>
      </c>
      <c r="D530">
        <v>0.12887801414748651</v>
      </c>
      <c r="E530" t="s">
        <v>6</v>
      </c>
    </row>
    <row r="531" spans="2:5" x14ac:dyDescent="0.45">
      <c r="B531" t="s">
        <v>598</v>
      </c>
      <c r="C531" t="s">
        <v>24</v>
      </c>
      <c r="D531">
        <v>8.2080629966604243E-2</v>
      </c>
      <c r="E531" t="s">
        <v>6</v>
      </c>
    </row>
    <row r="532" spans="2:5" x14ac:dyDescent="0.45">
      <c r="B532" t="s">
        <v>598</v>
      </c>
      <c r="C532" t="s">
        <v>25</v>
      </c>
      <c r="D532">
        <v>1.1744678622973811E-2</v>
      </c>
      <c r="E532" t="s">
        <v>6</v>
      </c>
    </row>
    <row r="533" spans="2:5" x14ac:dyDescent="0.45">
      <c r="B533" t="s">
        <v>598</v>
      </c>
      <c r="C533" t="s">
        <v>26</v>
      </c>
      <c r="D533">
        <v>0</v>
      </c>
      <c r="E533" t="s">
        <v>6</v>
      </c>
    </row>
    <row r="534" spans="2:5" x14ac:dyDescent="0.45">
      <c r="B534" t="s">
        <v>598</v>
      </c>
      <c r="C534" t="s">
        <v>27</v>
      </c>
      <c r="D534">
        <v>6.6916274511975866E-3</v>
      </c>
      <c r="E534" t="s">
        <v>6</v>
      </c>
    </row>
    <row r="535" spans="2:5" x14ac:dyDescent="0.45">
      <c r="B535" t="s">
        <v>598</v>
      </c>
      <c r="C535" t="s">
        <v>28</v>
      </c>
      <c r="D535">
        <v>6.6066460032015592E-2</v>
      </c>
      <c r="E535" t="s">
        <v>6</v>
      </c>
    </row>
    <row r="536" spans="2:5" x14ac:dyDescent="0.45">
      <c r="B536" t="s">
        <v>598</v>
      </c>
      <c r="C536" t="s">
        <v>29</v>
      </c>
      <c r="D536">
        <v>9.0476233187964217E-2</v>
      </c>
      <c r="E536" t="s">
        <v>6</v>
      </c>
    </row>
    <row r="537" spans="2:5" x14ac:dyDescent="0.45">
      <c r="B537" t="s">
        <v>598</v>
      </c>
      <c r="C537" t="s">
        <v>30</v>
      </c>
      <c r="D537">
        <v>4.485555493768998E-2</v>
      </c>
      <c r="E537" t="s">
        <v>6</v>
      </c>
    </row>
    <row r="538" spans="2:5" x14ac:dyDescent="0.45">
      <c r="B538" t="s">
        <v>598</v>
      </c>
      <c r="C538" t="s">
        <v>31</v>
      </c>
      <c r="D538">
        <v>1.2868739423178043E-3</v>
      </c>
      <c r="E538" t="s">
        <v>6</v>
      </c>
    </row>
    <row r="539" spans="2:5" x14ac:dyDescent="0.45">
      <c r="B539" t="s">
        <v>599</v>
      </c>
      <c r="C539" t="s">
        <v>5</v>
      </c>
      <c r="D539">
        <v>0</v>
      </c>
      <c r="E539" t="s">
        <v>6</v>
      </c>
    </row>
    <row r="540" spans="2:5" x14ac:dyDescent="0.45">
      <c r="B540" t="s">
        <v>599</v>
      </c>
      <c r="C540" t="s">
        <v>9</v>
      </c>
      <c r="D540">
        <v>5.0852740910130344E-4</v>
      </c>
      <c r="E540" t="s">
        <v>6</v>
      </c>
    </row>
    <row r="541" spans="2:5" x14ac:dyDescent="0.45">
      <c r="B541" t="s">
        <v>599</v>
      </c>
      <c r="C541" t="s">
        <v>10</v>
      </c>
      <c r="D541">
        <v>4.5456655419263067E-2</v>
      </c>
      <c r="E541" t="s">
        <v>6</v>
      </c>
    </row>
    <row r="542" spans="2:5" x14ac:dyDescent="0.45">
      <c r="B542" t="s">
        <v>599</v>
      </c>
      <c r="C542" t="s">
        <v>11</v>
      </c>
      <c r="D542">
        <v>8.3322511721177467E-2</v>
      </c>
      <c r="E542" t="s">
        <v>6</v>
      </c>
    </row>
    <row r="543" spans="2:5" x14ac:dyDescent="0.45">
      <c r="B543" t="s">
        <v>599</v>
      </c>
      <c r="C543" t="s">
        <v>12</v>
      </c>
      <c r="D543">
        <v>4.1311859447132518E-2</v>
      </c>
      <c r="E543" t="s">
        <v>6</v>
      </c>
    </row>
    <row r="544" spans="2:5" x14ac:dyDescent="0.45">
      <c r="B544" t="s">
        <v>599</v>
      </c>
      <c r="C544" t="s">
        <v>13</v>
      </c>
      <c r="D544">
        <v>5.9568439408367831E-4</v>
      </c>
      <c r="E544" t="s">
        <v>6</v>
      </c>
    </row>
    <row r="545" spans="2:5" x14ac:dyDescent="0.45">
      <c r="B545" t="s">
        <v>599</v>
      </c>
      <c r="C545" t="s">
        <v>14</v>
      </c>
      <c r="D545">
        <v>0</v>
      </c>
      <c r="E545" t="s">
        <v>6</v>
      </c>
    </row>
    <row r="546" spans="2:5" x14ac:dyDescent="0.45">
      <c r="B546" t="s">
        <v>599</v>
      </c>
      <c r="C546" t="s">
        <v>15</v>
      </c>
      <c r="D546">
        <v>1.2448369798991414E-2</v>
      </c>
      <c r="E546" t="s">
        <v>6</v>
      </c>
    </row>
    <row r="547" spans="2:5" x14ac:dyDescent="0.45">
      <c r="B547" t="s">
        <v>599</v>
      </c>
      <c r="C547" t="s">
        <v>16</v>
      </c>
      <c r="D547">
        <v>7.7168590421794581E-2</v>
      </c>
      <c r="E547" t="s">
        <v>6</v>
      </c>
    </row>
    <row r="548" spans="2:5" x14ac:dyDescent="0.45">
      <c r="B548" t="s">
        <v>599</v>
      </c>
      <c r="C548" t="s">
        <v>17</v>
      </c>
      <c r="D548">
        <v>0.10492852537706966</v>
      </c>
      <c r="E548" t="s">
        <v>6</v>
      </c>
    </row>
    <row r="549" spans="2:5" x14ac:dyDescent="0.45">
      <c r="B549" t="s">
        <v>599</v>
      </c>
      <c r="C549" t="s">
        <v>18</v>
      </c>
      <c r="D549">
        <v>6.9607275928899801E-2</v>
      </c>
      <c r="E549" t="s">
        <v>6</v>
      </c>
    </row>
    <row r="550" spans="2:5" x14ac:dyDescent="0.45">
      <c r="B550" t="s">
        <v>599</v>
      </c>
      <c r="C550" t="s">
        <v>19</v>
      </c>
      <c r="D550">
        <v>7.8913870333807527E-3</v>
      </c>
      <c r="E550" t="s">
        <v>6</v>
      </c>
    </row>
    <row r="551" spans="2:5" x14ac:dyDescent="0.45">
      <c r="B551" t="s">
        <v>599</v>
      </c>
      <c r="C551" t="s">
        <v>20</v>
      </c>
      <c r="D551">
        <v>0</v>
      </c>
      <c r="E551" t="s">
        <v>6</v>
      </c>
    </row>
    <row r="552" spans="2:5" x14ac:dyDescent="0.45">
      <c r="B552" t="s">
        <v>599</v>
      </c>
      <c r="C552" t="s">
        <v>21</v>
      </c>
      <c r="D552">
        <v>2.0526733106899994E-2</v>
      </c>
      <c r="E552" t="s">
        <v>6</v>
      </c>
    </row>
    <row r="553" spans="2:5" x14ac:dyDescent="0.45">
      <c r="B553" t="s">
        <v>599</v>
      </c>
      <c r="C553" t="s">
        <v>22</v>
      </c>
      <c r="D553">
        <v>0.10192397787395638</v>
      </c>
      <c r="E553" t="s">
        <v>6</v>
      </c>
    </row>
    <row r="554" spans="2:5" x14ac:dyDescent="0.45">
      <c r="B554" t="s">
        <v>599</v>
      </c>
      <c r="C554" t="s">
        <v>23</v>
      </c>
      <c r="D554">
        <v>0.13145836058485427</v>
      </c>
      <c r="E554" t="s">
        <v>6</v>
      </c>
    </row>
    <row r="555" spans="2:5" x14ac:dyDescent="0.45">
      <c r="B555" t="s">
        <v>599</v>
      </c>
      <c r="C555" t="s">
        <v>24</v>
      </c>
      <c r="D555">
        <v>8.6707876591039845E-2</v>
      </c>
      <c r="E555" t="s">
        <v>6</v>
      </c>
    </row>
    <row r="556" spans="2:5" x14ac:dyDescent="0.45">
      <c r="B556" t="s">
        <v>599</v>
      </c>
      <c r="C556" t="s">
        <v>25</v>
      </c>
      <c r="D556">
        <v>1.3663684714757039E-2</v>
      </c>
      <c r="E556" t="s">
        <v>6</v>
      </c>
    </row>
    <row r="557" spans="2:5" x14ac:dyDescent="0.45">
      <c r="B557" t="s">
        <v>599</v>
      </c>
      <c r="C557" t="s">
        <v>26</v>
      </c>
      <c r="D557">
        <v>0</v>
      </c>
      <c r="E557" t="s">
        <v>6</v>
      </c>
    </row>
    <row r="558" spans="2:5" x14ac:dyDescent="0.45">
      <c r="B558" t="s">
        <v>599</v>
      </c>
      <c r="C558" t="s">
        <v>27</v>
      </c>
      <c r="D558">
        <v>5.447927179104496E-3</v>
      </c>
      <c r="E558" t="s">
        <v>6</v>
      </c>
    </row>
    <row r="559" spans="2:5" x14ac:dyDescent="0.45">
      <c r="B559" t="s">
        <v>599</v>
      </c>
      <c r="C559" t="s">
        <v>28</v>
      </c>
      <c r="D559">
        <v>6.0404370039406893E-2</v>
      </c>
      <c r="E559" t="s">
        <v>6</v>
      </c>
    </row>
    <row r="560" spans="2:5" x14ac:dyDescent="0.45">
      <c r="B560" t="s">
        <v>599</v>
      </c>
      <c r="C560" t="s">
        <v>29</v>
      </c>
      <c r="D560">
        <v>8.8583404375796079E-2</v>
      </c>
      <c r="E560" t="s">
        <v>6</v>
      </c>
    </row>
    <row r="561" spans="2:5" x14ac:dyDescent="0.45">
      <c r="B561" t="s">
        <v>599</v>
      </c>
      <c r="C561" t="s">
        <v>30</v>
      </c>
      <c r="D561">
        <v>4.6398592849231701E-2</v>
      </c>
      <c r="E561" t="s">
        <v>6</v>
      </c>
    </row>
    <row r="562" spans="2:5" x14ac:dyDescent="0.45">
      <c r="B562" t="s">
        <v>599</v>
      </c>
      <c r="C562" t="s">
        <v>31</v>
      </c>
      <c r="D562">
        <v>1.6456857340560887E-3</v>
      </c>
      <c r="E562" t="s">
        <v>6</v>
      </c>
    </row>
    <row r="563" spans="2:5" x14ac:dyDescent="0.45">
      <c r="B563" t="s">
        <v>600</v>
      </c>
      <c r="C563" t="s">
        <v>5</v>
      </c>
      <c r="D563">
        <v>0</v>
      </c>
      <c r="E563" t="s">
        <v>6</v>
      </c>
    </row>
    <row r="564" spans="2:5" x14ac:dyDescent="0.45">
      <c r="B564" t="s">
        <v>600</v>
      </c>
      <c r="C564" t="s">
        <v>9</v>
      </c>
      <c r="D564">
        <v>6.2556978205478646E-4</v>
      </c>
      <c r="E564" t="s">
        <v>6</v>
      </c>
    </row>
    <row r="565" spans="2:5" x14ac:dyDescent="0.45">
      <c r="B565" t="s">
        <v>600</v>
      </c>
      <c r="C565" t="s">
        <v>10</v>
      </c>
      <c r="D565">
        <v>4.6219945869252307E-2</v>
      </c>
      <c r="E565" t="s">
        <v>6</v>
      </c>
    </row>
    <row r="566" spans="2:5" x14ac:dyDescent="0.45">
      <c r="B566" t="s">
        <v>600</v>
      </c>
      <c r="C566" t="s">
        <v>11</v>
      </c>
      <c r="D566">
        <v>8.3090139559651818E-2</v>
      </c>
      <c r="E566" t="s">
        <v>6</v>
      </c>
    </row>
    <row r="567" spans="2:5" x14ac:dyDescent="0.45">
      <c r="B567" t="s">
        <v>600</v>
      </c>
      <c r="C567" t="s">
        <v>12</v>
      </c>
      <c r="D567">
        <v>4.1876851012891077E-2</v>
      </c>
      <c r="E567" t="s">
        <v>6</v>
      </c>
    </row>
    <row r="568" spans="2:5" x14ac:dyDescent="0.45">
      <c r="B568" t="s">
        <v>600</v>
      </c>
      <c r="C568" t="s">
        <v>13</v>
      </c>
      <c r="D568">
        <v>6.3485979203011455E-4</v>
      </c>
      <c r="E568" t="s">
        <v>6</v>
      </c>
    </row>
    <row r="569" spans="2:5" x14ac:dyDescent="0.45">
      <c r="B569" t="s">
        <v>600</v>
      </c>
      <c r="C569" t="s">
        <v>14</v>
      </c>
      <c r="D569">
        <v>0</v>
      </c>
      <c r="E569" t="s">
        <v>6</v>
      </c>
    </row>
    <row r="570" spans="2:5" x14ac:dyDescent="0.45">
      <c r="B570" t="s">
        <v>600</v>
      </c>
      <c r="C570" t="s">
        <v>15</v>
      </c>
      <c r="D570">
        <v>1.3060887446440178E-2</v>
      </c>
      <c r="E570" t="s">
        <v>6</v>
      </c>
    </row>
    <row r="571" spans="2:5" x14ac:dyDescent="0.45">
      <c r="B571" t="s">
        <v>600</v>
      </c>
      <c r="C571" t="s">
        <v>16</v>
      </c>
      <c r="D571">
        <v>7.929778475860208E-2</v>
      </c>
      <c r="E571" t="s">
        <v>6</v>
      </c>
    </row>
    <row r="572" spans="2:5" x14ac:dyDescent="0.45">
      <c r="B572" t="s">
        <v>600</v>
      </c>
      <c r="C572" t="s">
        <v>17</v>
      </c>
      <c r="D572">
        <v>0.10839010722345523</v>
      </c>
      <c r="E572" t="s">
        <v>6</v>
      </c>
    </row>
    <row r="573" spans="2:5" x14ac:dyDescent="0.45">
      <c r="B573" t="s">
        <v>600</v>
      </c>
      <c r="C573" t="s">
        <v>18</v>
      </c>
      <c r="D573">
        <v>7.1257631667644761E-2</v>
      </c>
      <c r="E573" t="s">
        <v>6</v>
      </c>
    </row>
    <row r="574" spans="2:5" x14ac:dyDescent="0.45">
      <c r="B574" t="s">
        <v>600</v>
      </c>
      <c r="C574" t="s">
        <v>19</v>
      </c>
      <c r="D574">
        <v>7.6130180759853639E-3</v>
      </c>
      <c r="E574" t="s">
        <v>6</v>
      </c>
    </row>
    <row r="575" spans="2:5" x14ac:dyDescent="0.45">
      <c r="B575" t="s">
        <v>600</v>
      </c>
      <c r="C575" t="s">
        <v>20</v>
      </c>
      <c r="D575">
        <v>0</v>
      </c>
      <c r="E575" t="s">
        <v>6</v>
      </c>
    </row>
    <row r="576" spans="2:5" x14ac:dyDescent="0.45">
      <c r="B576" t="s">
        <v>600</v>
      </c>
      <c r="C576" t="s">
        <v>21</v>
      </c>
      <c r="D576">
        <v>2.003050862889352E-2</v>
      </c>
      <c r="E576" t="s">
        <v>6</v>
      </c>
    </row>
    <row r="577" spans="2:5" x14ac:dyDescent="0.45">
      <c r="B577" t="s">
        <v>600</v>
      </c>
      <c r="C577" t="s">
        <v>22</v>
      </c>
      <c r="D577">
        <v>9.7168257887539675E-2</v>
      </c>
      <c r="E577" t="s">
        <v>6</v>
      </c>
    </row>
    <row r="578" spans="2:5" x14ac:dyDescent="0.45">
      <c r="B578" t="s">
        <v>600</v>
      </c>
      <c r="C578" t="s">
        <v>23</v>
      </c>
      <c r="D578">
        <v>0.12481217491621731</v>
      </c>
      <c r="E578" t="s">
        <v>6</v>
      </c>
    </row>
    <row r="579" spans="2:5" x14ac:dyDescent="0.45">
      <c r="B579" t="s">
        <v>600</v>
      </c>
      <c r="C579" t="s">
        <v>24</v>
      </c>
      <c r="D579">
        <v>8.3184759472616179E-2</v>
      </c>
      <c r="E579" t="s">
        <v>6</v>
      </c>
    </row>
    <row r="580" spans="2:5" x14ac:dyDescent="0.45">
      <c r="B580" t="s">
        <v>600</v>
      </c>
      <c r="C580" t="s">
        <v>25</v>
      </c>
      <c r="D580">
        <v>1.2596880483826046E-2</v>
      </c>
      <c r="E580" t="s">
        <v>6</v>
      </c>
    </row>
    <row r="581" spans="2:5" x14ac:dyDescent="0.45">
      <c r="B581" t="s">
        <v>600</v>
      </c>
      <c r="C581" t="s">
        <v>26</v>
      </c>
      <c r="D581">
        <v>0</v>
      </c>
      <c r="E581" t="s">
        <v>6</v>
      </c>
    </row>
    <row r="582" spans="2:5" x14ac:dyDescent="0.45">
      <c r="B582" t="s">
        <v>600</v>
      </c>
      <c r="C582" t="s">
        <v>27</v>
      </c>
      <c r="D582">
        <v>6.1021171934212354E-3</v>
      </c>
      <c r="E582" t="s">
        <v>6</v>
      </c>
    </row>
    <row r="583" spans="2:5" x14ac:dyDescent="0.45">
      <c r="B583" t="s">
        <v>600</v>
      </c>
      <c r="C583" t="s">
        <v>28</v>
      </c>
      <c r="D583">
        <v>6.4478458233002758E-2</v>
      </c>
      <c r="E583" t="s">
        <v>6</v>
      </c>
    </row>
    <row r="584" spans="2:5" x14ac:dyDescent="0.45">
      <c r="B584" t="s">
        <v>600</v>
      </c>
      <c r="C584" t="s">
        <v>29</v>
      </c>
      <c r="D584">
        <v>9.0862771901800032E-2</v>
      </c>
      <c r="E584" t="s">
        <v>6</v>
      </c>
    </row>
    <row r="585" spans="2:5" x14ac:dyDescent="0.45">
      <c r="B585" t="s">
        <v>600</v>
      </c>
      <c r="C585" t="s">
        <v>30</v>
      </c>
      <c r="D585">
        <v>4.712703518633593E-2</v>
      </c>
      <c r="E585" t="s">
        <v>6</v>
      </c>
    </row>
    <row r="586" spans="2:5" x14ac:dyDescent="0.45">
      <c r="B586" t="s">
        <v>600</v>
      </c>
      <c r="C586" t="s">
        <v>31</v>
      </c>
      <c r="D586">
        <v>1.5702409083353812E-3</v>
      </c>
      <c r="E586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2D1F7-F043-4341-B820-A762242F2682}">
  <dimension ref="B9:DH73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other_indexes=ACT; region=ITA")</f>
        <v>~TFM_DINS-TSL: attribute=FLO_EMIS; other_indexes=ACT; region=ITA</v>
      </c>
      <c r="AC9" t="str">
        <f>IF(A11="x","DeActivated","~TFM_INS-TSL: attribute=FLO_SHAR; limtype=FX; region=ITA")</f>
        <v>~TFM_INS-TSL: attribute=FLO_SHAR; limtype=FX; region=ITA</v>
      </c>
      <c r="BD9" t="str">
        <f>IF(A11="x","DeActivated","~TFM_INS-TSL: attribute=FLO_SHAR; limtype=FX; region=ITA")</f>
        <v>~TFM_INS-TSL: attribute=FLO_SHAR; limtype=FX; region=ITA</v>
      </c>
      <c r="CE9" t="str">
        <f>IF(A11="x","DeActivated","~TFM_DINS-TSL: attribute=NCAP_PKCNT; region=ITA")</f>
        <v>~TFM_DINS-TSL: attribute=NCAP_PKCNT; region=ITA</v>
      </c>
      <c r="DE9" t="str">
        <f>IF(A11="x","DeActivated","~TFM_DINS-AT: region=ITA")</f>
        <v>~TFM_DINS-AT: region=ITA</v>
      </c>
    </row>
    <row r="10" spans="2:112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C10" t="s">
        <v>3</v>
      </c>
      <c r="AD10" t="s">
        <v>0</v>
      </c>
      <c r="AE10" t="s">
        <v>5</v>
      </c>
      <c r="AF10" t="s">
        <v>9</v>
      </c>
      <c r="AG10" t="s">
        <v>10</v>
      </c>
      <c r="AH10" t="s">
        <v>11</v>
      </c>
      <c r="AI10" t="s">
        <v>12</v>
      </c>
      <c r="AJ10" t="s">
        <v>13</v>
      </c>
      <c r="AK10" t="s">
        <v>14</v>
      </c>
      <c r="AL10" t="s">
        <v>15</v>
      </c>
      <c r="AM10" t="s">
        <v>16</v>
      </c>
      <c r="AN10" t="s">
        <v>17</v>
      </c>
      <c r="AO10" t="s">
        <v>18</v>
      </c>
      <c r="AP10" t="s">
        <v>19</v>
      </c>
      <c r="AQ10" t="s">
        <v>20</v>
      </c>
      <c r="AR10" t="s">
        <v>21</v>
      </c>
      <c r="AS10" t="s">
        <v>22</v>
      </c>
      <c r="AT10" t="s">
        <v>23</v>
      </c>
      <c r="AU10" t="s">
        <v>24</v>
      </c>
      <c r="AV10" t="s">
        <v>25</v>
      </c>
      <c r="AW10" t="s">
        <v>26</v>
      </c>
      <c r="AX10" t="s">
        <v>27</v>
      </c>
      <c r="AY10" t="s">
        <v>28</v>
      </c>
      <c r="AZ10" t="s">
        <v>29</v>
      </c>
      <c r="BA10" t="s">
        <v>30</v>
      </c>
      <c r="BB10" t="s">
        <v>31</v>
      </c>
      <c r="BD10" t="s">
        <v>3</v>
      </c>
      <c r="BE10" t="s">
        <v>0</v>
      </c>
      <c r="BF10" t="s">
        <v>5</v>
      </c>
      <c r="BG10" t="s">
        <v>9</v>
      </c>
      <c r="BH10" t="s">
        <v>10</v>
      </c>
      <c r="BI10" t="s">
        <v>11</v>
      </c>
      <c r="BJ10" t="s">
        <v>12</v>
      </c>
      <c r="BK10" t="s">
        <v>13</v>
      </c>
      <c r="BL10" t="s">
        <v>14</v>
      </c>
      <c r="BM10" t="s">
        <v>15</v>
      </c>
      <c r="BN10" t="s">
        <v>16</v>
      </c>
      <c r="BO10" t="s">
        <v>17</v>
      </c>
      <c r="BP10" t="s">
        <v>18</v>
      </c>
      <c r="BQ10" t="s">
        <v>19</v>
      </c>
      <c r="BR10" t="s">
        <v>20</v>
      </c>
      <c r="BS10" t="s">
        <v>21</v>
      </c>
      <c r="BT10" t="s">
        <v>22</v>
      </c>
      <c r="BU10" t="s">
        <v>23</v>
      </c>
      <c r="BV10" t="s">
        <v>24</v>
      </c>
      <c r="BW10" t="s">
        <v>25</v>
      </c>
      <c r="BX10" t="s">
        <v>26</v>
      </c>
      <c r="BY10" t="s">
        <v>27</v>
      </c>
      <c r="BZ10" t="s">
        <v>28</v>
      </c>
      <c r="CA10" t="s">
        <v>29</v>
      </c>
      <c r="CB10" t="s">
        <v>30</v>
      </c>
      <c r="CC10" t="s">
        <v>31</v>
      </c>
      <c r="CE10" t="s">
        <v>3</v>
      </c>
      <c r="CF10" t="s">
        <v>5</v>
      </c>
      <c r="CG10" t="s">
        <v>9</v>
      </c>
      <c r="CH10" t="s">
        <v>10</v>
      </c>
      <c r="CI10" t="s">
        <v>11</v>
      </c>
      <c r="CJ10" t="s">
        <v>12</v>
      </c>
      <c r="CK10" t="s">
        <v>13</v>
      </c>
      <c r="CL10" t="s">
        <v>14</v>
      </c>
      <c r="CM10" t="s">
        <v>15</v>
      </c>
      <c r="CN10" t="s">
        <v>16</v>
      </c>
      <c r="CO10" t="s">
        <v>17</v>
      </c>
      <c r="CP10" t="s">
        <v>18</v>
      </c>
      <c r="CQ10" t="s">
        <v>19</v>
      </c>
      <c r="CR10" t="s">
        <v>20</v>
      </c>
      <c r="CS10" t="s">
        <v>21</v>
      </c>
      <c r="CT10" t="s">
        <v>22</v>
      </c>
      <c r="CU10" t="s">
        <v>23</v>
      </c>
      <c r="CV10" t="s">
        <v>24</v>
      </c>
      <c r="CW10" t="s">
        <v>25</v>
      </c>
      <c r="CX10" t="s">
        <v>26</v>
      </c>
      <c r="CY10" t="s">
        <v>27</v>
      </c>
      <c r="CZ10" t="s">
        <v>28</v>
      </c>
      <c r="DA10" t="s">
        <v>29</v>
      </c>
      <c r="DB10" t="s">
        <v>30</v>
      </c>
      <c r="DC10" t="s">
        <v>31</v>
      </c>
      <c r="DE10" t="s">
        <v>3</v>
      </c>
      <c r="DF10" t="s">
        <v>0</v>
      </c>
      <c r="DG10" t="s">
        <v>104</v>
      </c>
      <c r="DH10" t="s">
        <v>105</v>
      </c>
    </row>
    <row r="11" spans="2:112" x14ac:dyDescent="0.45">
      <c r="B11" t="s">
        <v>601</v>
      </c>
      <c r="C11" t="s">
        <v>107</v>
      </c>
      <c r="D11">
        <v>0</v>
      </c>
      <c r="E11">
        <v>0.94466778961327469</v>
      </c>
      <c r="F11">
        <v>0.23960237012918414</v>
      </c>
      <c r="G11">
        <v>0.12011372396595472</v>
      </c>
      <c r="H11">
        <v>0.23835253438497875</v>
      </c>
      <c r="I11">
        <v>0.87604854240096874</v>
      </c>
      <c r="J11">
        <v>0</v>
      </c>
      <c r="K11">
        <v>0.62026255829113153</v>
      </c>
      <c r="L11">
        <v>0.15711785322842067</v>
      </c>
      <c r="M11">
        <v>9.0849010585982631E-2</v>
      </c>
      <c r="N11">
        <v>0.14402562019837239</v>
      </c>
      <c r="O11">
        <v>0.56763049419315914</v>
      </c>
      <c r="P11">
        <v>0</v>
      </c>
      <c r="Q11">
        <v>0.53870115131102037</v>
      </c>
      <c r="R11">
        <v>9.9686871862036244E-2</v>
      </c>
      <c r="S11">
        <v>3.7262513097961539E-2</v>
      </c>
      <c r="T11">
        <v>0.10443786537742825</v>
      </c>
      <c r="U11">
        <v>0.46023925749008437</v>
      </c>
      <c r="V11">
        <v>0</v>
      </c>
      <c r="W11">
        <v>0.71328198225180661</v>
      </c>
      <c r="X11">
        <v>0.1537162878109723</v>
      </c>
      <c r="Y11">
        <v>8.8357229626413403E-2</v>
      </c>
      <c r="Z11">
        <v>0.216162318999578</v>
      </c>
      <c r="AA11">
        <v>0.80610961878639353</v>
      </c>
      <c r="AC11" t="s">
        <v>108</v>
      </c>
      <c r="AD11" t="s">
        <v>109</v>
      </c>
      <c r="AE11">
        <v>0</v>
      </c>
      <c r="AF11">
        <v>0.59943078053162735</v>
      </c>
      <c r="AG11">
        <v>0.13271785662271654</v>
      </c>
      <c r="AH11">
        <v>6.0567466817645736E-2</v>
      </c>
      <c r="AI11">
        <v>1.6612729068344958E-2</v>
      </c>
      <c r="AJ11">
        <v>0.64495436769794467</v>
      </c>
      <c r="AK11">
        <v>0</v>
      </c>
      <c r="AL11">
        <v>0.39540618812476025</v>
      </c>
      <c r="AM11">
        <v>8.3298707999032273E-2</v>
      </c>
      <c r="AN11">
        <v>2.8078262788934973E-2</v>
      </c>
      <c r="AO11">
        <v>1.2224981814697056E-2</v>
      </c>
      <c r="AP11">
        <v>0.40037875645225868</v>
      </c>
      <c r="AQ11">
        <v>0</v>
      </c>
      <c r="AR11">
        <v>0.33471101182754953</v>
      </c>
      <c r="AS11">
        <v>4.369355189555045E-2</v>
      </c>
      <c r="AT11">
        <v>1.5608350822932141E-2</v>
      </c>
      <c r="AU11">
        <v>3.1684820556327861E-2</v>
      </c>
      <c r="AV11">
        <v>0.30736046084658292</v>
      </c>
      <c r="AW11">
        <v>0</v>
      </c>
      <c r="AX11">
        <v>0.50212808524956076</v>
      </c>
      <c r="AY11">
        <v>0.1056711181530708</v>
      </c>
      <c r="AZ11">
        <v>2.7828342249139455E-2</v>
      </c>
      <c r="BA11">
        <v>1.7584975681402323E-2</v>
      </c>
      <c r="BB11">
        <v>0.4145425747551067</v>
      </c>
      <c r="BD11" t="s">
        <v>108</v>
      </c>
      <c r="BE11" t="s">
        <v>110</v>
      </c>
      <c r="BF11">
        <v>0</v>
      </c>
      <c r="BG11">
        <v>0</v>
      </c>
      <c r="BH11">
        <v>0</v>
      </c>
      <c r="BI11">
        <v>3.1025890228436664E-3</v>
      </c>
      <c r="BJ11">
        <v>0.15454606884039809</v>
      </c>
      <c r="BK11">
        <v>8.0503753529987968E-2</v>
      </c>
      <c r="BL11">
        <v>0</v>
      </c>
      <c r="BM11">
        <v>0</v>
      </c>
      <c r="BN11">
        <v>0</v>
      </c>
      <c r="BO11">
        <v>2.9501837137226258E-2</v>
      </c>
      <c r="BP11">
        <v>8.4488587081177638E-2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2.9247843078664484E-2</v>
      </c>
      <c r="BW11">
        <v>0</v>
      </c>
      <c r="BX11">
        <v>0</v>
      </c>
      <c r="BY11">
        <v>0</v>
      </c>
      <c r="BZ11">
        <v>0</v>
      </c>
      <c r="CA11">
        <v>4.63275702491786E-2</v>
      </c>
      <c r="CB11">
        <v>0.14145962072975901</v>
      </c>
      <c r="CC11">
        <v>3.1072364342943189E-2</v>
      </c>
      <c r="CE11" t="s">
        <v>601</v>
      </c>
      <c r="CF11">
        <v>0</v>
      </c>
      <c r="CG11">
        <v>1.6321843855624889E-3</v>
      </c>
      <c r="CH11">
        <v>0.26127043700098174</v>
      </c>
      <c r="CI11">
        <v>0.47561865492268762</v>
      </c>
      <c r="CJ11">
        <v>0.25710487854821629</v>
      </c>
      <c r="CK11">
        <v>6.1317451410547764E-3</v>
      </c>
      <c r="CL11">
        <v>0</v>
      </c>
      <c r="CM11">
        <v>4.5821036292150306E-2</v>
      </c>
      <c r="CN11">
        <v>0.43060328606375331</v>
      </c>
      <c r="CO11">
        <v>0.61255151238617389</v>
      </c>
      <c r="CP11">
        <v>0.42451353843837952</v>
      </c>
      <c r="CQ11">
        <v>5.1248214123079491E-2</v>
      </c>
      <c r="CR11">
        <v>0</v>
      </c>
      <c r="CS11">
        <v>6.4845761011010056E-2</v>
      </c>
      <c r="CT11">
        <v>0.48840099609897147</v>
      </c>
      <c r="CU11">
        <v>0.65732491096005485</v>
      </c>
      <c r="CV11">
        <v>0.46645359498290545</v>
      </c>
      <c r="CW11">
        <v>7.7567338060769958E-2</v>
      </c>
      <c r="CX11">
        <v>0</v>
      </c>
      <c r="CY11">
        <v>2.3719601030782373E-2</v>
      </c>
      <c r="CZ11">
        <v>0.3914414005131352</v>
      </c>
      <c r="DA11">
        <v>0.55817779001473722</v>
      </c>
      <c r="DB11">
        <v>0.30385662800859864</v>
      </c>
      <c r="DC11">
        <v>1.211227116426793E-2</v>
      </c>
      <c r="DE11" t="s">
        <v>601</v>
      </c>
      <c r="DF11" t="s">
        <v>111</v>
      </c>
      <c r="DG11" t="s">
        <v>112</v>
      </c>
      <c r="DH11">
        <v>0.56073074969857695</v>
      </c>
    </row>
    <row r="12" spans="2:112" x14ac:dyDescent="0.45">
      <c r="B12" t="s">
        <v>602</v>
      </c>
      <c r="C12" t="s">
        <v>107</v>
      </c>
      <c r="D12">
        <v>0</v>
      </c>
      <c r="E12">
        <v>0.94880585563577557</v>
      </c>
      <c r="F12">
        <v>0.25082122126191209</v>
      </c>
      <c r="G12">
        <v>0.11945467197501501</v>
      </c>
      <c r="H12">
        <v>0.24189818102517513</v>
      </c>
      <c r="I12">
        <v>0.88489297459875016</v>
      </c>
      <c r="J12">
        <v>0</v>
      </c>
      <c r="K12">
        <v>0.61679287467525934</v>
      </c>
      <c r="L12">
        <v>0.16858082342437525</v>
      </c>
      <c r="M12">
        <v>9.6404603940394046E-2</v>
      </c>
      <c r="N12">
        <v>0.15103110736872616</v>
      </c>
      <c r="O12">
        <v>0.56537181639106782</v>
      </c>
      <c r="P12">
        <v>0</v>
      </c>
      <c r="Q12">
        <v>0.53026807008971522</v>
      </c>
      <c r="R12">
        <v>9.5978826185349309E-2</v>
      </c>
      <c r="S12">
        <v>3.1697233383101757E-2</v>
      </c>
      <c r="T12">
        <v>0.1033348133090812</v>
      </c>
      <c r="U12">
        <v>0.45319773506663408</v>
      </c>
      <c r="V12">
        <v>0</v>
      </c>
      <c r="W12">
        <v>0.72074944223493742</v>
      </c>
      <c r="X12">
        <v>0.16152601433970429</v>
      </c>
      <c r="Y12">
        <v>9.6228860207821912E-2</v>
      </c>
      <c r="Z12">
        <v>0.23089438084583191</v>
      </c>
      <c r="AA12">
        <v>0.8094872516561864</v>
      </c>
      <c r="AC12" t="s">
        <v>114</v>
      </c>
      <c r="AD12" t="s">
        <v>109</v>
      </c>
      <c r="AE12">
        <v>5.1750239044525477E-4</v>
      </c>
      <c r="AF12">
        <v>2.9341289551648277E-3</v>
      </c>
      <c r="AG12">
        <v>3.0765100525863768E-3</v>
      </c>
      <c r="AH12">
        <v>4.2679088459087865E-3</v>
      </c>
      <c r="AI12">
        <v>1.4856157662308245E-3</v>
      </c>
      <c r="AJ12">
        <v>3.1364343060122E-4</v>
      </c>
      <c r="AK12">
        <v>6.9977626736766809E-4</v>
      </c>
      <c r="AL12">
        <v>6.6165789254746359E-3</v>
      </c>
      <c r="AM12">
        <v>3.3397861679983171E-3</v>
      </c>
      <c r="AN12">
        <v>4.6324208031754592E-3</v>
      </c>
      <c r="AO12">
        <v>8.9297135653386374E-4</v>
      </c>
      <c r="AP12">
        <v>1.6759912219618014E-4</v>
      </c>
      <c r="AQ12">
        <v>1.5064913673732343E-3</v>
      </c>
      <c r="AR12">
        <v>2.8480126910584573E-4</v>
      </c>
      <c r="AS12">
        <v>1.0198178252008461E-3</v>
      </c>
      <c r="AT12">
        <v>5.5733719527892361E-3</v>
      </c>
      <c r="AU12">
        <v>1.3556260755349231E-3</v>
      </c>
      <c r="AV12">
        <v>5.8562732229857056E-4</v>
      </c>
      <c r="AW12">
        <v>2.7961167809893474E-3</v>
      </c>
      <c r="AX12">
        <v>1.979689946089548E-3</v>
      </c>
      <c r="AY12">
        <v>2.8601866417213154E-4</v>
      </c>
      <c r="AZ12">
        <v>1.525574786745421E-3</v>
      </c>
      <c r="BA12">
        <v>9.4783555024689013E-5</v>
      </c>
      <c r="BB12">
        <v>7.9125018707452456E-3</v>
      </c>
      <c r="BD12" t="s">
        <v>114</v>
      </c>
      <c r="BE12" t="s">
        <v>110</v>
      </c>
      <c r="BF12">
        <v>7.3362813631591859E-3</v>
      </c>
      <c r="BG12">
        <v>6.5549619849352017E-3</v>
      </c>
      <c r="BH12">
        <v>2.1438013630316523E-2</v>
      </c>
      <c r="BI12">
        <v>1.9649976861292683E-2</v>
      </c>
      <c r="BJ12">
        <v>2.1055928464082774E-2</v>
      </c>
      <c r="BK12">
        <v>1.1525601917662236E-2</v>
      </c>
      <c r="BL12">
        <v>5.3356647359664479E-3</v>
      </c>
      <c r="BM12">
        <v>1.1619655257506672E-2</v>
      </c>
      <c r="BN12">
        <v>1.8517957953276869E-2</v>
      </c>
      <c r="BO12">
        <v>2.4439014667180955E-2</v>
      </c>
      <c r="BP12">
        <v>1.9765626178162715E-2</v>
      </c>
      <c r="BQ12">
        <v>1.61013792582884E-2</v>
      </c>
      <c r="BR12">
        <v>4.8801554111994258E-3</v>
      </c>
      <c r="BS12">
        <v>5.8364146719337446E-3</v>
      </c>
      <c r="BT12">
        <v>2.0077779046927019E-3</v>
      </c>
      <c r="BU12">
        <v>3.1454503191980809E-3</v>
      </c>
      <c r="BV12">
        <v>1.1418020059222949E-2</v>
      </c>
      <c r="BW12">
        <v>1.280031585003316E-2</v>
      </c>
      <c r="BX12">
        <v>7.9988890085457894E-3</v>
      </c>
      <c r="BY12">
        <v>1.5764478847748346E-2</v>
      </c>
      <c r="BZ12">
        <v>1.3555368379602624E-2</v>
      </c>
      <c r="CA12">
        <v>7.1825830908847105E-3</v>
      </c>
      <c r="CB12">
        <v>6.3425513677266071E-3</v>
      </c>
      <c r="CC12">
        <v>4.03092665408429E-3</v>
      </c>
      <c r="CE12" t="s">
        <v>602</v>
      </c>
      <c r="CF12">
        <v>0</v>
      </c>
      <c r="CG12">
        <v>1.6789131346611915E-3</v>
      </c>
      <c r="CH12">
        <v>0.253124924249304</v>
      </c>
      <c r="CI12">
        <v>0.47490703164161191</v>
      </c>
      <c r="CJ12">
        <v>0.25365698574453005</v>
      </c>
      <c r="CK12">
        <v>5.709688790224E-3</v>
      </c>
      <c r="CL12">
        <v>0</v>
      </c>
      <c r="CM12">
        <v>4.3576491215371251E-2</v>
      </c>
      <c r="CN12">
        <v>0.4101774306509392</v>
      </c>
      <c r="CO12">
        <v>0.59670100491651734</v>
      </c>
      <c r="CP12">
        <v>0.41412987964142001</v>
      </c>
      <c r="CQ12">
        <v>4.9166033923421879E-2</v>
      </c>
      <c r="CR12">
        <v>0</v>
      </c>
      <c r="CS12">
        <v>6.6106560596227007E-2</v>
      </c>
      <c r="CT12">
        <v>0.49608263390860635</v>
      </c>
      <c r="CU12">
        <v>0.66661861924948673</v>
      </c>
      <c r="CV12">
        <v>0.46568776461613443</v>
      </c>
      <c r="CW12">
        <v>7.8280793617820962E-2</v>
      </c>
      <c r="CX12">
        <v>0</v>
      </c>
      <c r="CY12">
        <v>2.2490264610041083E-2</v>
      </c>
      <c r="CZ12">
        <v>0.37705338705399533</v>
      </c>
      <c r="DA12">
        <v>0.54353229734623487</v>
      </c>
      <c r="DB12">
        <v>0.29310634587888862</v>
      </c>
      <c r="DC12">
        <v>1.2164770035862908E-2</v>
      </c>
      <c r="DE12" t="s">
        <v>602</v>
      </c>
      <c r="DF12" t="s">
        <v>111</v>
      </c>
      <c r="DG12" t="s">
        <v>112</v>
      </c>
      <c r="DH12">
        <v>0.50948656092451972</v>
      </c>
    </row>
    <row r="13" spans="2:112" x14ac:dyDescent="0.45">
      <c r="B13" t="s">
        <v>603</v>
      </c>
      <c r="C13" t="s">
        <v>107</v>
      </c>
      <c r="D13">
        <v>0</v>
      </c>
      <c r="E13">
        <v>0.78706056260786883</v>
      </c>
      <c r="F13">
        <v>0.19683877066571442</v>
      </c>
      <c r="G13">
        <v>0.10130505335839733</v>
      </c>
      <c r="H13">
        <v>0.24844565738048024</v>
      </c>
      <c r="I13">
        <v>0.88785054250446915</v>
      </c>
      <c r="J13">
        <v>0</v>
      </c>
      <c r="K13">
        <v>0.57750504042739392</v>
      </c>
      <c r="L13">
        <v>0.12298277535533587</v>
      </c>
      <c r="M13">
        <v>6.9858821972855895E-2</v>
      </c>
      <c r="N13">
        <v>0.14810483505892447</v>
      </c>
      <c r="O13">
        <v>0.60039299748428143</v>
      </c>
      <c r="P13">
        <v>0</v>
      </c>
      <c r="Q13">
        <v>0.5021504470295356</v>
      </c>
      <c r="R13">
        <v>8.3342230899524208E-2</v>
      </c>
      <c r="S13">
        <v>2.3857829636315775E-2</v>
      </c>
      <c r="T13">
        <v>0.11113467133122398</v>
      </c>
      <c r="U13">
        <v>0.52997390000704969</v>
      </c>
      <c r="V13">
        <v>0</v>
      </c>
      <c r="W13">
        <v>0.65310558719096112</v>
      </c>
      <c r="X13">
        <v>0.13462793217250479</v>
      </c>
      <c r="Y13">
        <v>7.5744751471426161E-2</v>
      </c>
      <c r="Z13">
        <v>0.22547280547231241</v>
      </c>
      <c r="AA13">
        <v>0.83945743406366258</v>
      </c>
      <c r="AC13" t="s">
        <v>116</v>
      </c>
      <c r="AD13" t="s">
        <v>109</v>
      </c>
      <c r="AE13">
        <v>0</v>
      </c>
      <c r="AF13">
        <v>1.5442037586735032E-3</v>
      </c>
      <c r="AG13">
        <v>9.9092470754718037E-4</v>
      </c>
      <c r="AH13">
        <v>1.8582453112335295E-3</v>
      </c>
      <c r="AI13">
        <v>2.0889050822738738E-3</v>
      </c>
      <c r="AJ13">
        <v>6.964541534008504E-5</v>
      </c>
      <c r="AK13">
        <v>1.0880356011447104E-3</v>
      </c>
      <c r="AL13">
        <v>6.3340204243173784E-4</v>
      </c>
      <c r="AM13">
        <v>3.1533825205366235E-3</v>
      </c>
      <c r="AN13">
        <v>4.4930833785933513E-3</v>
      </c>
      <c r="AO13">
        <v>7.1598441849039088E-5</v>
      </c>
      <c r="AP13">
        <v>3.3986901258134259E-3</v>
      </c>
      <c r="AQ13">
        <v>5.7940020412151644E-3</v>
      </c>
      <c r="AR13">
        <v>4.3452962540188851E-3</v>
      </c>
      <c r="AS13">
        <v>1.1704733742085871E-3</v>
      </c>
      <c r="AT13">
        <v>2.0236142480689178E-3</v>
      </c>
      <c r="AU13">
        <v>1.9063338103094403E-3</v>
      </c>
      <c r="AV13">
        <v>2.4782544503797899E-3</v>
      </c>
      <c r="AW13">
        <v>2.7636680935131156E-3</v>
      </c>
      <c r="AX13">
        <v>2.1362359787438861E-3</v>
      </c>
      <c r="AY13">
        <v>1.3069463854223037E-3</v>
      </c>
      <c r="AZ13">
        <v>0</v>
      </c>
      <c r="BA13">
        <v>0</v>
      </c>
      <c r="BB13">
        <v>0</v>
      </c>
      <c r="BD13" t="s">
        <v>116</v>
      </c>
      <c r="BE13" t="s">
        <v>110</v>
      </c>
      <c r="BF13">
        <v>1.8045334244244217E-3</v>
      </c>
      <c r="BG13">
        <v>3.3892871373209336E-3</v>
      </c>
      <c r="BH13">
        <v>1.4182681197986812E-2</v>
      </c>
      <c r="BI13">
        <v>7.4463781571747767E-3</v>
      </c>
      <c r="BJ13">
        <v>7.5188582677524624E-3</v>
      </c>
      <c r="BK13">
        <v>1.6452476529736876E-2</v>
      </c>
      <c r="BL13">
        <v>7.6496584430644863E-3</v>
      </c>
      <c r="BM13">
        <v>1.2129021993887861E-2</v>
      </c>
      <c r="BN13">
        <v>5.3628513404075165E-3</v>
      </c>
      <c r="BO13">
        <v>1.6324950999726119E-2</v>
      </c>
      <c r="BP13">
        <v>1.4578523325701776E-2</v>
      </c>
      <c r="BQ13">
        <v>6.6704527650904575E-3</v>
      </c>
      <c r="BR13">
        <v>5.9470012870040233E-3</v>
      </c>
      <c r="BS13">
        <v>1.5670503234965355E-2</v>
      </c>
      <c r="BT13">
        <v>1.6906751671519685E-2</v>
      </c>
      <c r="BU13">
        <v>7.9905899664551687E-3</v>
      </c>
      <c r="BV13">
        <v>6.175496854808434E-3</v>
      </c>
      <c r="BW13">
        <v>3.6159805438194369E-3</v>
      </c>
      <c r="BX13">
        <v>4.1353720145405658E-3</v>
      </c>
      <c r="BY13">
        <v>1.2200730387938168E-2</v>
      </c>
      <c r="BZ13">
        <v>1.1170269938523944E-2</v>
      </c>
      <c r="CA13">
        <v>4.4134659192013037E-3</v>
      </c>
      <c r="CB13">
        <v>6.3029813145524028E-5</v>
      </c>
      <c r="CC13">
        <v>7.4353469820512752E-4</v>
      </c>
      <c r="CE13" t="s">
        <v>603</v>
      </c>
      <c r="CF13">
        <v>0</v>
      </c>
      <c r="CG13">
        <v>8.1381905057270974E-3</v>
      </c>
      <c r="CH13">
        <v>0.30278341424580574</v>
      </c>
      <c r="CI13">
        <v>0.48243227734798366</v>
      </c>
      <c r="CJ13">
        <v>0.23927119617653717</v>
      </c>
      <c r="CK13">
        <v>3.3230717662217839E-3</v>
      </c>
      <c r="CL13">
        <v>0</v>
      </c>
      <c r="CM13">
        <v>6.4084544379827871E-2</v>
      </c>
      <c r="CN13">
        <v>0.49089040716854798</v>
      </c>
      <c r="CO13">
        <v>0.65310023177119403</v>
      </c>
      <c r="CP13">
        <v>0.41595282435848235</v>
      </c>
      <c r="CQ13">
        <v>3.7110442123535869E-2</v>
      </c>
      <c r="CR13">
        <v>0</v>
      </c>
      <c r="CS13">
        <v>8.3393677635870939E-2</v>
      </c>
      <c r="CT13">
        <v>0.52838359916744415</v>
      </c>
      <c r="CU13">
        <v>0.67973642032617543</v>
      </c>
      <c r="CV13">
        <v>0.45236855843564677</v>
      </c>
      <c r="CW13">
        <v>5.6746526131578504E-2</v>
      </c>
      <c r="CX13">
        <v>0</v>
      </c>
      <c r="CY13">
        <v>3.5938357480301795E-2</v>
      </c>
      <c r="CZ13">
        <v>0.41154918909817345</v>
      </c>
      <c r="DA13">
        <v>0.54863673521454803</v>
      </c>
      <c r="DB13">
        <v>0.27341668743522118</v>
      </c>
      <c r="DC13">
        <v>6.5323867756009145E-3</v>
      </c>
      <c r="DE13" t="s">
        <v>603</v>
      </c>
      <c r="DF13" t="s">
        <v>111</v>
      </c>
      <c r="DG13" t="s">
        <v>112</v>
      </c>
      <c r="DH13">
        <v>0.39609185603166691</v>
      </c>
    </row>
    <row r="14" spans="2:112" x14ac:dyDescent="0.45">
      <c r="B14" t="s">
        <v>604</v>
      </c>
      <c r="C14" t="s">
        <v>107</v>
      </c>
      <c r="D14">
        <v>0</v>
      </c>
      <c r="E14">
        <v>0.75524804732406481</v>
      </c>
      <c r="F14">
        <v>0.18416079928317736</v>
      </c>
      <c r="G14">
        <v>0.11445446657645167</v>
      </c>
      <c r="H14">
        <v>0.26966833693635589</v>
      </c>
      <c r="I14">
        <v>0.93260223546118248</v>
      </c>
      <c r="J14">
        <v>0</v>
      </c>
      <c r="K14">
        <v>0.55840634640548736</v>
      </c>
      <c r="L14">
        <v>0.11264920222753877</v>
      </c>
      <c r="M14">
        <v>8.2027137235443748E-2</v>
      </c>
      <c r="N14">
        <v>0.16002413797727408</v>
      </c>
      <c r="O14">
        <v>0.61709763817098251</v>
      </c>
      <c r="P14">
        <v>0</v>
      </c>
      <c r="Q14">
        <v>0.48321540156592002</v>
      </c>
      <c r="R14">
        <v>7.4213769823076883E-2</v>
      </c>
      <c r="S14">
        <v>3.7092977488111946E-2</v>
      </c>
      <c r="T14">
        <v>0.12400873042892972</v>
      </c>
      <c r="U14">
        <v>0.54456831325468125</v>
      </c>
      <c r="V14">
        <v>0</v>
      </c>
      <c r="W14">
        <v>0.6340856123926436</v>
      </c>
      <c r="X14">
        <v>0.13560429642339425</v>
      </c>
      <c r="Y14">
        <v>9.0541175071124094E-2</v>
      </c>
      <c r="Z14">
        <v>0.25229956355241323</v>
      </c>
      <c r="AA14">
        <v>0.87543535457772637</v>
      </c>
      <c r="CE14" t="s">
        <v>604</v>
      </c>
      <c r="CF14">
        <v>0</v>
      </c>
      <c r="CG14">
        <v>1.5795074997212818E-2</v>
      </c>
      <c r="CH14">
        <v>0.34902060325513046</v>
      </c>
      <c r="CI14">
        <v>0.49687626274256202</v>
      </c>
      <c r="CJ14">
        <v>0.22956252886018397</v>
      </c>
      <c r="CK14">
        <v>1.6497141800382333E-3</v>
      </c>
      <c r="CL14">
        <v>0</v>
      </c>
      <c r="CM14">
        <v>7.7343153835333855E-2</v>
      </c>
      <c r="CN14">
        <v>0.5242701860764315</v>
      </c>
      <c r="CO14">
        <v>0.64200147001073637</v>
      </c>
      <c r="CP14">
        <v>0.39064857151440541</v>
      </c>
      <c r="CQ14">
        <v>2.9419404962022378E-2</v>
      </c>
      <c r="CR14">
        <v>0</v>
      </c>
      <c r="CS14">
        <v>9.755996063978753E-2</v>
      </c>
      <c r="CT14">
        <v>0.54886169854219191</v>
      </c>
      <c r="CU14">
        <v>0.65392196094653821</v>
      </c>
      <c r="CV14">
        <v>0.40560627520355508</v>
      </c>
      <c r="CW14">
        <v>4.5871368395167096E-2</v>
      </c>
      <c r="CX14">
        <v>0</v>
      </c>
      <c r="CY14">
        <v>4.4774077404516797E-2</v>
      </c>
      <c r="CZ14">
        <v>0.43668685568566984</v>
      </c>
      <c r="DA14">
        <v>0.54566770725446345</v>
      </c>
      <c r="DB14">
        <v>0.25356581408924173</v>
      </c>
      <c r="DC14">
        <v>4.407982503172714E-3</v>
      </c>
      <c r="DE14" t="s">
        <v>604</v>
      </c>
      <c r="DF14" t="s">
        <v>111</v>
      </c>
      <c r="DG14" t="s">
        <v>112</v>
      </c>
      <c r="DH14">
        <v>0.54988721096269977</v>
      </c>
    </row>
    <row r="15" spans="2:112" x14ac:dyDescent="0.45">
      <c r="B15" t="s">
        <v>605</v>
      </c>
      <c r="C15" t="s">
        <v>107</v>
      </c>
      <c r="D15">
        <v>0</v>
      </c>
      <c r="E15">
        <v>0.75823859549021944</v>
      </c>
      <c r="F15">
        <v>0.18837419764768826</v>
      </c>
      <c r="G15">
        <v>0.12135710401838463</v>
      </c>
      <c r="H15">
        <v>0.30645523904404015</v>
      </c>
      <c r="I15">
        <v>0.96288087979204051</v>
      </c>
      <c r="J15">
        <v>0</v>
      </c>
      <c r="K15">
        <v>0.54511303332540917</v>
      </c>
      <c r="L15">
        <v>0.11003782046321728</v>
      </c>
      <c r="M15">
        <v>8.0448888209404129E-2</v>
      </c>
      <c r="N15">
        <v>0.18330558080543632</v>
      </c>
      <c r="O15">
        <v>0.62989530381424153</v>
      </c>
      <c r="P15">
        <v>0</v>
      </c>
      <c r="Q15">
        <v>0.46668269431355114</v>
      </c>
      <c r="R15">
        <v>7.0230088599318605E-2</v>
      </c>
      <c r="S15">
        <v>3.3248402194183346E-2</v>
      </c>
      <c r="T15">
        <v>0.12591095881451903</v>
      </c>
      <c r="U15">
        <v>0.54749884150442596</v>
      </c>
      <c r="V15">
        <v>0</v>
      </c>
      <c r="W15">
        <v>0.61391361394535049</v>
      </c>
      <c r="X15">
        <v>0.1387461510326761</v>
      </c>
      <c r="Y15">
        <v>0.11315204152004973</v>
      </c>
      <c r="Z15">
        <v>0.28311673409512195</v>
      </c>
      <c r="AA15">
        <v>0.88956359993918166</v>
      </c>
      <c r="CE15" t="s">
        <v>605</v>
      </c>
      <c r="CF15">
        <v>0</v>
      </c>
      <c r="CG15">
        <v>1.6419680375515576E-2</v>
      </c>
      <c r="CH15">
        <v>0.33623055246959604</v>
      </c>
      <c r="CI15">
        <v>0.46525543971101324</v>
      </c>
      <c r="CJ15">
        <v>0.19457358571276065</v>
      </c>
      <c r="CK15">
        <v>6.7710401912352653E-4</v>
      </c>
      <c r="CL15">
        <v>0</v>
      </c>
      <c r="CM15">
        <v>8.4374017072907675E-2</v>
      </c>
      <c r="CN15">
        <v>0.51717226528298865</v>
      </c>
      <c r="CO15">
        <v>0.62981011238184281</v>
      </c>
      <c r="CP15">
        <v>0.36045294480450901</v>
      </c>
      <c r="CQ15">
        <v>2.2815564741865788E-2</v>
      </c>
      <c r="CR15">
        <v>0</v>
      </c>
      <c r="CS15">
        <v>0.10696485414743638</v>
      </c>
      <c r="CT15">
        <v>0.55031674947663511</v>
      </c>
      <c r="CU15">
        <v>0.64629321570164777</v>
      </c>
      <c r="CV15">
        <v>0.39113799406044086</v>
      </c>
      <c r="CW15">
        <v>3.9549769238404892E-2</v>
      </c>
      <c r="CX15">
        <v>0</v>
      </c>
      <c r="CY15">
        <v>5.1790878880310254E-2</v>
      </c>
      <c r="CZ15">
        <v>0.43385467312776804</v>
      </c>
      <c r="DA15">
        <v>0.51452280050932064</v>
      </c>
      <c r="DB15">
        <v>0.2216678273827962</v>
      </c>
      <c r="DC15">
        <v>2.830884011591807E-3</v>
      </c>
      <c r="DE15" t="s">
        <v>605</v>
      </c>
      <c r="DF15" t="s">
        <v>111</v>
      </c>
      <c r="DG15" t="s">
        <v>112</v>
      </c>
      <c r="DH15">
        <v>0.55110739225133709</v>
      </c>
    </row>
    <row r="16" spans="2:112" x14ac:dyDescent="0.45">
      <c r="B16" t="s">
        <v>606</v>
      </c>
      <c r="C16" t="s">
        <v>107</v>
      </c>
      <c r="D16">
        <v>0</v>
      </c>
      <c r="E16">
        <v>0.82344040711406252</v>
      </c>
      <c r="F16">
        <v>0.22207257131051159</v>
      </c>
      <c r="G16">
        <v>0.14393700265873097</v>
      </c>
      <c r="H16">
        <v>0.31442864402960896</v>
      </c>
      <c r="I16">
        <v>0.95112383040969095</v>
      </c>
      <c r="J16">
        <v>0</v>
      </c>
      <c r="K16">
        <v>0.56123403914761272</v>
      </c>
      <c r="L16">
        <v>0.13764646629128094</v>
      </c>
      <c r="M16">
        <v>9.9203061023326905E-2</v>
      </c>
      <c r="N16">
        <v>0.19103489227176712</v>
      </c>
      <c r="O16">
        <v>0.61943489581891531</v>
      </c>
      <c r="P16">
        <v>0</v>
      </c>
      <c r="Q16">
        <v>0.47166133985861891</v>
      </c>
      <c r="R16">
        <v>8.1495044784579765E-2</v>
      </c>
      <c r="S16">
        <v>4.2359719249253948E-2</v>
      </c>
      <c r="T16">
        <v>0.13198875927942622</v>
      </c>
      <c r="U16">
        <v>0.5183470616298691</v>
      </c>
      <c r="V16">
        <v>0</v>
      </c>
      <c r="W16">
        <v>0.65014441219348906</v>
      </c>
      <c r="X16">
        <v>0.18372494168145698</v>
      </c>
      <c r="Y16">
        <v>0.13639946394737312</v>
      </c>
      <c r="Z16">
        <v>0.28492015179487618</v>
      </c>
      <c r="AA16">
        <v>0.87671694422238111</v>
      </c>
      <c r="CE16" t="s">
        <v>606</v>
      </c>
      <c r="CF16">
        <v>0</v>
      </c>
      <c r="CG16">
        <v>6.5384080435167448E-3</v>
      </c>
      <c r="CH16">
        <v>0.27586906467961958</v>
      </c>
      <c r="CI16">
        <v>0.42615960883729992</v>
      </c>
      <c r="CJ16">
        <v>0.18742957135690083</v>
      </c>
      <c r="CK16">
        <v>1.0693804029925523E-3</v>
      </c>
      <c r="CL16">
        <v>0</v>
      </c>
      <c r="CM16">
        <v>6.6566113484008357E-2</v>
      </c>
      <c r="CN16">
        <v>0.462724383156353</v>
      </c>
      <c r="CO16">
        <v>0.58558669361317117</v>
      </c>
      <c r="CP16">
        <v>0.34368054787604974</v>
      </c>
      <c r="CQ16">
        <v>2.6894279625206918E-2</v>
      </c>
      <c r="CR16">
        <v>0</v>
      </c>
      <c r="CS16">
        <v>9.512446410631506E-2</v>
      </c>
      <c r="CT16">
        <v>0.52676552153675227</v>
      </c>
      <c r="CU16">
        <v>0.62625794294514825</v>
      </c>
      <c r="CV16">
        <v>0.37840370617358532</v>
      </c>
      <c r="CW16">
        <v>4.5011752686411027E-2</v>
      </c>
      <c r="CX16">
        <v>0</v>
      </c>
      <c r="CY16">
        <v>3.6674602738187408E-2</v>
      </c>
      <c r="CZ16">
        <v>0.37720795450923844</v>
      </c>
      <c r="DA16">
        <v>0.48935819459890434</v>
      </c>
      <c r="DB16">
        <v>0.22430161260306244</v>
      </c>
      <c r="DC16">
        <v>4.3561447416061274E-3</v>
      </c>
      <c r="DE16" t="s">
        <v>606</v>
      </c>
      <c r="DF16" t="s">
        <v>111</v>
      </c>
      <c r="DG16" t="s">
        <v>112</v>
      </c>
      <c r="DH16">
        <v>0.4853359847153691</v>
      </c>
    </row>
    <row r="17" spans="2:112" x14ac:dyDescent="0.45">
      <c r="B17" t="s">
        <v>607</v>
      </c>
      <c r="C17" t="s">
        <v>107</v>
      </c>
      <c r="D17">
        <v>0</v>
      </c>
      <c r="E17">
        <v>0.7622525710032596</v>
      </c>
      <c r="F17">
        <v>0.19938416545047305</v>
      </c>
      <c r="G17">
        <v>0.12727747008924367</v>
      </c>
      <c r="H17">
        <v>0.33319981767345119</v>
      </c>
      <c r="I17">
        <v>0.9733822640256099</v>
      </c>
      <c r="J17">
        <v>0</v>
      </c>
      <c r="K17">
        <v>0.54119492644153322</v>
      </c>
      <c r="L17">
        <v>0.11930395653496037</v>
      </c>
      <c r="M17">
        <v>8.7051421538502136E-2</v>
      </c>
      <c r="N17">
        <v>0.1828936188055576</v>
      </c>
      <c r="O17">
        <v>0.62612818335886622</v>
      </c>
      <c r="P17">
        <v>0</v>
      </c>
      <c r="Q17">
        <v>0.45911602703315252</v>
      </c>
      <c r="R17">
        <v>7.4383177162627878E-2</v>
      </c>
      <c r="S17">
        <v>3.9759727137654008E-2</v>
      </c>
      <c r="T17">
        <v>0.13878329406743667</v>
      </c>
      <c r="U17">
        <v>0.53651549366779683</v>
      </c>
      <c r="V17">
        <v>0</v>
      </c>
      <c r="W17">
        <v>0.6270337276827016</v>
      </c>
      <c r="X17">
        <v>0.15581530091454668</v>
      </c>
      <c r="Y17">
        <v>0.13519972438122135</v>
      </c>
      <c r="Z17">
        <v>0.29655122638470183</v>
      </c>
      <c r="AA17">
        <v>0.89572497216778146</v>
      </c>
      <c r="CE17" t="s">
        <v>607</v>
      </c>
      <c r="CF17">
        <v>0</v>
      </c>
      <c r="CG17">
        <v>1.4113086633127919E-2</v>
      </c>
      <c r="CH17">
        <v>0.31390236687158024</v>
      </c>
      <c r="CI17">
        <v>0.44642040858947546</v>
      </c>
      <c r="CJ17">
        <v>0.17128420646264772</v>
      </c>
      <c r="CK17">
        <v>2.7543051896796751E-4</v>
      </c>
      <c r="CL17">
        <v>0</v>
      </c>
      <c r="CM17">
        <v>8.525889668713621E-2</v>
      </c>
      <c r="CN17">
        <v>0.51131005168820209</v>
      </c>
      <c r="CO17">
        <v>0.6156079202878324</v>
      </c>
      <c r="CP17">
        <v>0.34705618883565481</v>
      </c>
      <c r="CQ17">
        <v>2.1919095687908247E-2</v>
      </c>
      <c r="CR17">
        <v>0</v>
      </c>
      <c r="CS17">
        <v>0.11006124947173977</v>
      </c>
      <c r="CT17">
        <v>0.54567271981729304</v>
      </c>
      <c r="CU17">
        <v>0.63570497446527241</v>
      </c>
      <c r="CV17">
        <v>0.37716452004478107</v>
      </c>
      <c r="CW17">
        <v>3.8247426332061803E-2</v>
      </c>
      <c r="CX17">
        <v>0</v>
      </c>
      <c r="CY17">
        <v>4.98738398857256E-2</v>
      </c>
      <c r="CZ17">
        <v>0.41783143383690213</v>
      </c>
      <c r="DA17">
        <v>0.50000518982345588</v>
      </c>
      <c r="DB17">
        <v>0.21599602719159858</v>
      </c>
      <c r="DC17">
        <v>2.8445577840160159E-3</v>
      </c>
      <c r="DE17" t="s">
        <v>607</v>
      </c>
      <c r="DF17" t="s">
        <v>111</v>
      </c>
      <c r="DG17" t="s">
        <v>112</v>
      </c>
      <c r="DH17">
        <v>0.5034124556452948</v>
      </c>
    </row>
    <row r="18" spans="2:112" x14ac:dyDescent="0.45">
      <c r="B18" t="s">
        <v>608</v>
      </c>
      <c r="C18" t="s">
        <v>107</v>
      </c>
      <c r="D18">
        <v>0</v>
      </c>
      <c r="E18">
        <v>0.90098307439321434</v>
      </c>
      <c r="F18">
        <v>0.24680261961033384</v>
      </c>
      <c r="G18">
        <v>0.16756546007605597</v>
      </c>
      <c r="H18">
        <v>0.31534943840043878</v>
      </c>
      <c r="I18">
        <v>0.93682906322731097</v>
      </c>
      <c r="J18">
        <v>0</v>
      </c>
      <c r="K18">
        <v>0.57447666924830521</v>
      </c>
      <c r="L18">
        <v>0.15004184484468081</v>
      </c>
      <c r="M18">
        <v>0.10435346784707757</v>
      </c>
      <c r="N18">
        <v>0.18459914962786048</v>
      </c>
      <c r="O18">
        <v>0.59902293312190213</v>
      </c>
      <c r="P18">
        <v>0</v>
      </c>
      <c r="Q18">
        <v>0.48354030282024235</v>
      </c>
      <c r="R18">
        <v>8.839455534213661E-2</v>
      </c>
      <c r="S18">
        <v>4.2366818923487065E-2</v>
      </c>
      <c r="T18">
        <v>0.12776248450974892</v>
      </c>
      <c r="U18">
        <v>0.50092035643772981</v>
      </c>
      <c r="V18">
        <v>0</v>
      </c>
      <c r="W18">
        <v>0.66942500395350024</v>
      </c>
      <c r="X18">
        <v>0.17509262893314992</v>
      </c>
      <c r="Y18">
        <v>0.13151963164580402</v>
      </c>
      <c r="Z18">
        <v>0.26593514983249095</v>
      </c>
      <c r="AA18">
        <v>0.86277675163779943</v>
      </c>
      <c r="CE18" t="s">
        <v>608</v>
      </c>
      <c r="CF18">
        <v>0</v>
      </c>
      <c r="CG18">
        <v>3.8614423048465487E-3</v>
      </c>
      <c r="CH18">
        <v>0.28091156321813182</v>
      </c>
      <c r="CI18">
        <v>0.45714259898566617</v>
      </c>
      <c r="CJ18">
        <v>0.21248125828426909</v>
      </c>
      <c r="CK18">
        <v>2.0173788332337947E-3</v>
      </c>
      <c r="CL18">
        <v>0</v>
      </c>
      <c r="CM18">
        <v>5.80800486673042E-2</v>
      </c>
      <c r="CN18">
        <v>0.43670424284482651</v>
      </c>
      <c r="CO18">
        <v>0.57332566979043187</v>
      </c>
      <c r="CP18">
        <v>0.34793023825446168</v>
      </c>
      <c r="CQ18">
        <v>3.2300407953784228E-2</v>
      </c>
      <c r="CR18">
        <v>0</v>
      </c>
      <c r="CS18">
        <v>8.7392431884665361E-2</v>
      </c>
      <c r="CT18">
        <v>0.51763720629945553</v>
      </c>
      <c r="CU18">
        <v>0.63252069328167737</v>
      </c>
      <c r="CV18">
        <v>0.3974680544063719</v>
      </c>
      <c r="CW18">
        <v>5.4219584573924597E-2</v>
      </c>
      <c r="CX18">
        <v>0</v>
      </c>
      <c r="CY18">
        <v>3.2370017835866974E-2</v>
      </c>
      <c r="CZ18">
        <v>0.37716293622837288</v>
      </c>
      <c r="DA18">
        <v>0.49437726353376893</v>
      </c>
      <c r="DB18">
        <v>0.23704051391459113</v>
      </c>
      <c r="DC18">
        <v>6.0935532704981385E-3</v>
      </c>
      <c r="DE18" t="s">
        <v>608</v>
      </c>
      <c r="DF18" t="s">
        <v>111</v>
      </c>
      <c r="DG18" t="s">
        <v>112</v>
      </c>
      <c r="DH18">
        <v>0.51752383258604351</v>
      </c>
    </row>
    <row r="19" spans="2:112" x14ac:dyDescent="0.45">
      <c r="B19" t="s">
        <v>609</v>
      </c>
      <c r="C19" t="s">
        <v>107</v>
      </c>
      <c r="D19">
        <v>0</v>
      </c>
      <c r="E19">
        <v>0.91843059915749781</v>
      </c>
      <c r="F19">
        <v>0.26953292157655873</v>
      </c>
      <c r="G19">
        <v>0.18817688937828211</v>
      </c>
      <c r="H19">
        <v>0.35836965685213967</v>
      </c>
      <c r="I19">
        <v>0.95698287139191851</v>
      </c>
      <c r="J19">
        <v>0</v>
      </c>
      <c r="K19">
        <v>0.57487635039213003</v>
      </c>
      <c r="L19">
        <v>0.15857958190524449</v>
      </c>
      <c r="M19">
        <v>0.11795299178529661</v>
      </c>
      <c r="N19">
        <v>0.19477776640205333</v>
      </c>
      <c r="O19">
        <v>0.59187410919111472</v>
      </c>
      <c r="P19">
        <v>0</v>
      </c>
      <c r="Q19">
        <v>0.47915397120302244</v>
      </c>
      <c r="R19">
        <v>9.3151973188715459E-2</v>
      </c>
      <c r="S19">
        <v>4.6800227266493424E-2</v>
      </c>
      <c r="T19">
        <v>0.12897566920594317</v>
      </c>
      <c r="U19">
        <v>0.49818934359594846</v>
      </c>
      <c r="V19">
        <v>0</v>
      </c>
      <c r="W19">
        <v>0.68248419382175596</v>
      </c>
      <c r="X19">
        <v>0.20480257883820732</v>
      </c>
      <c r="Y19">
        <v>0.15922710847564364</v>
      </c>
      <c r="Z19">
        <v>0.3012539914952671</v>
      </c>
      <c r="AA19">
        <v>0.8738560808717073</v>
      </c>
      <c r="CE19" t="s">
        <v>609</v>
      </c>
      <c r="CF19">
        <v>0</v>
      </c>
      <c r="CG19">
        <v>2.7413263376457899E-3</v>
      </c>
      <c r="CH19">
        <v>0.24411280047534539</v>
      </c>
      <c r="CI19">
        <v>0.40693645264347772</v>
      </c>
      <c r="CJ19">
        <v>0.17327980432089568</v>
      </c>
      <c r="CK19">
        <v>1.0995147795274671E-3</v>
      </c>
      <c r="CL19">
        <v>0</v>
      </c>
      <c r="CM19">
        <v>6.1352466583521566E-2</v>
      </c>
      <c r="CN19">
        <v>0.44230846943357843</v>
      </c>
      <c r="CO19">
        <v>0.56100458448919421</v>
      </c>
      <c r="CP19">
        <v>0.32570760167137225</v>
      </c>
      <c r="CQ19">
        <v>2.9688991497994643E-2</v>
      </c>
      <c r="CR19">
        <v>0</v>
      </c>
      <c r="CS19">
        <v>8.9578766954978434E-2</v>
      </c>
      <c r="CT19">
        <v>0.51161012584141718</v>
      </c>
      <c r="CU19">
        <v>0.63664309818528431</v>
      </c>
      <c r="CV19">
        <v>0.40715035264552868</v>
      </c>
      <c r="CW19">
        <v>5.3838151650004842E-2</v>
      </c>
      <c r="CX19">
        <v>0</v>
      </c>
      <c r="CY19">
        <v>3.2058262200095299E-2</v>
      </c>
      <c r="CZ19">
        <v>0.35958715604604397</v>
      </c>
      <c r="DA19">
        <v>0.46913423152373468</v>
      </c>
      <c r="DB19">
        <v>0.22100188782175328</v>
      </c>
      <c r="DC19">
        <v>5.5266690107895955E-3</v>
      </c>
      <c r="DE19" t="s">
        <v>609</v>
      </c>
      <c r="DF19" t="s">
        <v>111</v>
      </c>
      <c r="DG19" t="s">
        <v>112</v>
      </c>
      <c r="DH19">
        <v>0.48959250195757487</v>
      </c>
    </row>
    <row r="20" spans="2:112" x14ac:dyDescent="0.45">
      <c r="B20" t="s">
        <v>610</v>
      </c>
      <c r="C20" t="s">
        <v>107</v>
      </c>
      <c r="D20">
        <v>0</v>
      </c>
      <c r="E20">
        <v>0.85579216373797251</v>
      </c>
      <c r="F20">
        <v>0.23807028557274179</v>
      </c>
      <c r="G20">
        <v>0.15429599546767986</v>
      </c>
      <c r="H20">
        <v>0.32783458534899984</v>
      </c>
      <c r="I20">
        <v>0.9560317085395974</v>
      </c>
      <c r="J20">
        <v>0</v>
      </c>
      <c r="K20">
        <v>0.55861613158748435</v>
      </c>
      <c r="L20">
        <v>0.13656470084604971</v>
      </c>
      <c r="M20">
        <v>9.3756385980049567E-2</v>
      </c>
      <c r="N20">
        <v>0.18100370674089528</v>
      </c>
      <c r="O20">
        <v>0.60561343207286511</v>
      </c>
      <c r="P20">
        <v>0</v>
      </c>
      <c r="Q20">
        <v>0.46881815254435827</v>
      </c>
      <c r="R20">
        <v>8.7774735998886244E-2</v>
      </c>
      <c r="S20">
        <v>4.8561114624664212E-2</v>
      </c>
      <c r="T20">
        <v>0.13544930227710644</v>
      </c>
      <c r="U20">
        <v>0.51171722335494663</v>
      </c>
      <c r="V20">
        <v>0</v>
      </c>
      <c r="W20">
        <v>0.65440287999362512</v>
      </c>
      <c r="X20">
        <v>0.17952558902513735</v>
      </c>
      <c r="Y20">
        <v>0.1359065095162712</v>
      </c>
      <c r="Z20">
        <v>0.29448226096705132</v>
      </c>
      <c r="AA20">
        <v>0.87758344370398367</v>
      </c>
      <c r="CE20" t="s">
        <v>610</v>
      </c>
      <c r="CF20">
        <v>0</v>
      </c>
      <c r="CG20">
        <v>5.9549109960914748E-3</v>
      </c>
      <c r="CH20">
        <v>0.27652866280967103</v>
      </c>
      <c r="CI20">
        <v>0.43303374938578448</v>
      </c>
      <c r="CJ20">
        <v>0.18305663301781694</v>
      </c>
      <c r="CK20">
        <v>8.2149534339223294E-4</v>
      </c>
      <c r="CL20">
        <v>0</v>
      </c>
      <c r="CM20">
        <v>6.9961491911948823E-2</v>
      </c>
      <c r="CN20">
        <v>0.4800013023077348</v>
      </c>
      <c r="CO20">
        <v>0.59787084469603158</v>
      </c>
      <c r="CP20">
        <v>0.34689865376087375</v>
      </c>
      <c r="CQ20">
        <v>2.6984140834463224E-2</v>
      </c>
      <c r="CR20">
        <v>0</v>
      </c>
      <c r="CS20">
        <v>9.5659942705666343E-2</v>
      </c>
      <c r="CT20">
        <v>0.51881440176331506</v>
      </c>
      <c r="CU20">
        <v>0.62264841792396619</v>
      </c>
      <c r="CV20">
        <v>0.38109016954549862</v>
      </c>
      <c r="CW20">
        <v>4.6194640882688237E-2</v>
      </c>
      <c r="CX20">
        <v>0</v>
      </c>
      <c r="CY20">
        <v>3.8444059351825946E-2</v>
      </c>
      <c r="CZ20">
        <v>0.39225665603812365</v>
      </c>
      <c r="DA20">
        <v>0.50157829265330189</v>
      </c>
      <c r="DB20">
        <v>0.22515949793770754</v>
      </c>
      <c r="DC20">
        <v>4.3352473668887767E-3</v>
      </c>
      <c r="DE20" t="s">
        <v>610</v>
      </c>
      <c r="DF20" t="s">
        <v>111</v>
      </c>
      <c r="DG20" t="s">
        <v>112</v>
      </c>
      <c r="DH20">
        <v>0.48827766521514809</v>
      </c>
    </row>
    <row r="21" spans="2:112" x14ac:dyDescent="0.45">
      <c r="B21" t="s">
        <v>611</v>
      </c>
      <c r="C21" t="s">
        <v>107</v>
      </c>
      <c r="D21">
        <v>0</v>
      </c>
      <c r="E21">
        <v>0.98333333333333339</v>
      </c>
      <c r="F21">
        <v>0.29251139919029068</v>
      </c>
      <c r="G21">
        <v>0.13413785149984322</v>
      </c>
      <c r="H21">
        <v>0.25654807902767091</v>
      </c>
      <c r="I21">
        <v>0.90187860771825268</v>
      </c>
      <c r="J21">
        <v>0</v>
      </c>
      <c r="K21">
        <v>0.61992399477191396</v>
      </c>
      <c r="L21">
        <v>0.18969753626935545</v>
      </c>
      <c r="M21">
        <v>0.13561268149347069</v>
      </c>
      <c r="N21">
        <v>0.16606421337215238</v>
      </c>
      <c r="O21">
        <v>0.50265798895639013</v>
      </c>
      <c r="P21">
        <v>0</v>
      </c>
      <c r="Q21">
        <v>0.52593253241718729</v>
      </c>
      <c r="R21">
        <v>0.11955726636642094</v>
      </c>
      <c r="S21">
        <v>7.482212450160057E-2</v>
      </c>
      <c r="T21">
        <v>0.12335676272713615</v>
      </c>
      <c r="U21">
        <v>0.38393743623189802</v>
      </c>
      <c r="V21">
        <v>0</v>
      </c>
      <c r="W21">
        <v>0.78663214511807311</v>
      </c>
      <c r="X21">
        <v>0.23419313453137164</v>
      </c>
      <c r="Y21">
        <v>0.17058253738400009</v>
      </c>
      <c r="Z21">
        <v>0.26750568918792955</v>
      </c>
      <c r="AA21">
        <v>0.80326393769924609</v>
      </c>
      <c r="CE21" t="s">
        <v>611</v>
      </c>
      <c r="CF21">
        <v>0</v>
      </c>
      <c r="CG21">
        <v>4.5117883134974138E-4</v>
      </c>
      <c r="CH21">
        <v>0.27558715956607088</v>
      </c>
      <c r="CI21">
        <v>0.5651839687009127</v>
      </c>
      <c r="CJ21">
        <v>0.31332546152738655</v>
      </c>
      <c r="CK21">
        <v>7.2247113699399883E-3</v>
      </c>
      <c r="CL21">
        <v>0</v>
      </c>
      <c r="CM21">
        <v>4.2838463470275534E-2</v>
      </c>
      <c r="CN21">
        <v>0.43186318327520934</v>
      </c>
      <c r="CO21">
        <v>0.632285519101486</v>
      </c>
      <c r="CP21">
        <v>0.44279969145160986</v>
      </c>
      <c r="CQ21">
        <v>6.5334452184927061E-2</v>
      </c>
      <c r="CR21">
        <v>0</v>
      </c>
      <c r="CS21">
        <v>6.0695365290257194E-2</v>
      </c>
      <c r="CT21">
        <v>0.4669591539603688</v>
      </c>
      <c r="CU21">
        <v>0.60985710626038525</v>
      </c>
      <c r="CV21">
        <v>0.41441874832910536</v>
      </c>
      <c r="CW21">
        <v>8.6436506170883318E-2</v>
      </c>
      <c r="CX21">
        <v>0</v>
      </c>
      <c r="CY21">
        <v>1.4056939743942287E-2</v>
      </c>
      <c r="CZ21">
        <v>0.31345116291382075</v>
      </c>
      <c r="DA21">
        <v>0.49120437722768112</v>
      </c>
      <c r="DB21">
        <v>0.27145278628631742</v>
      </c>
      <c r="DC21">
        <v>1.3041668690269317E-2</v>
      </c>
      <c r="DE21" t="s">
        <v>611</v>
      </c>
      <c r="DF21" t="s">
        <v>111</v>
      </c>
      <c r="DG21" t="s">
        <v>112</v>
      </c>
      <c r="DH21">
        <v>0.50672918355165331</v>
      </c>
    </row>
    <row r="22" spans="2:112" x14ac:dyDescent="0.45">
      <c r="B22" t="s">
        <v>612</v>
      </c>
      <c r="C22" t="s">
        <v>107</v>
      </c>
      <c r="D22">
        <v>0</v>
      </c>
      <c r="E22">
        <v>0.96944444444444466</v>
      </c>
      <c r="F22">
        <v>0.3217415168821196</v>
      </c>
      <c r="G22">
        <v>0.18349667933189484</v>
      </c>
      <c r="H22">
        <v>0.30999482848310878</v>
      </c>
      <c r="I22">
        <v>0.92033760173879564</v>
      </c>
      <c r="J22">
        <v>0</v>
      </c>
      <c r="K22">
        <v>0.62849617204876795</v>
      </c>
      <c r="L22">
        <v>0.23616547202687602</v>
      </c>
      <c r="M22">
        <v>0.19893191821136483</v>
      </c>
      <c r="N22">
        <v>0.23174225129216852</v>
      </c>
      <c r="O22">
        <v>0.55787586859284033</v>
      </c>
      <c r="P22">
        <v>0</v>
      </c>
      <c r="Q22">
        <v>0.50526330355991655</v>
      </c>
      <c r="R22">
        <v>0.1274377265945921</v>
      </c>
      <c r="S22">
        <v>7.1820193534477814E-2</v>
      </c>
      <c r="T22">
        <v>0.12624156834981481</v>
      </c>
      <c r="U22">
        <v>0.40971902747192379</v>
      </c>
      <c r="V22">
        <v>0</v>
      </c>
      <c r="W22">
        <v>0.7662721842509147</v>
      </c>
      <c r="X22">
        <v>0.31409955866744088</v>
      </c>
      <c r="Y22">
        <v>0.25639639415755922</v>
      </c>
      <c r="Z22">
        <v>0.33751533132080214</v>
      </c>
      <c r="AA22">
        <v>0.8307168762068774</v>
      </c>
      <c r="CE22" t="s">
        <v>612</v>
      </c>
      <c r="CF22">
        <v>0</v>
      </c>
      <c r="CG22">
        <v>7.3921587178142579E-4</v>
      </c>
      <c r="CH22">
        <v>0.21759073165859552</v>
      </c>
      <c r="CI22">
        <v>0.43416067729293145</v>
      </c>
      <c r="CJ22">
        <v>0.23020689210882975</v>
      </c>
      <c r="CK22">
        <v>3.907491926157621E-3</v>
      </c>
      <c r="CL22">
        <v>0</v>
      </c>
      <c r="CM22">
        <v>3.854688402944486E-2</v>
      </c>
      <c r="CN22">
        <v>0.34566837790703758</v>
      </c>
      <c r="CO22">
        <v>0.47937150543218621</v>
      </c>
      <c r="CP22">
        <v>0.31167822257034045</v>
      </c>
      <c r="CQ22">
        <v>4.0964873459568292E-2</v>
      </c>
      <c r="CR22">
        <v>0</v>
      </c>
      <c r="CS22">
        <v>6.3636683778998962E-2</v>
      </c>
      <c r="CT22">
        <v>0.43159472523267384</v>
      </c>
      <c r="CU22">
        <v>0.57896540134956254</v>
      </c>
      <c r="CV22">
        <v>0.40014833805818451</v>
      </c>
      <c r="CW22">
        <v>7.1843349844228313E-2</v>
      </c>
      <c r="CX22">
        <v>0</v>
      </c>
      <c r="CY22">
        <v>1.4452750431069656E-2</v>
      </c>
      <c r="CZ22">
        <v>0.25461997715589924</v>
      </c>
      <c r="DA22">
        <v>0.39323089885424917</v>
      </c>
      <c r="DB22">
        <v>0.21257940123274424</v>
      </c>
      <c r="DC22">
        <v>9.4851414306494318E-3</v>
      </c>
      <c r="DE22" t="s">
        <v>612</v>
      </c>
      <c r="DF22" t="s">
        <v>111</v>
      </c>
      <c r="DG22" t="s">
        <v>112</v>
      </c>
      <c r="DH22">
        <v>0.50466557011714719</v>
      </c>
    </row>
    <row r="23" spans="2:112" x14ac:dyDescent="0.45">
      <c r="B23" t="s">
        <v>613</v>
      </c>
      <c r="C23" t="s">
        <v>107</v>
      </c>
      <c r="D23">
        <v>0</v>
      </c>
      <c r="E23">
        <v>0.96643194226821161</v>
      </c>
      <c r="F23">
        <v>0.33976317547751017</v>
      </c>
      <c r="G23">
        <v>0.22899630872245696</v>
      </c>
      <c r="H23">
        <v>0.32825875497223039</v>
      </c>
      <c r="I23">
        <v>0.91535541861027814</v>
      </c>
      <c r="J23">
        <v>0</v>
      </c>
      <c r="K23">
        <v>0.63116255486880268</v>
      </c>
      <c r="L23">
        <v>0.23795210264518393</v>
      </c>
      <c r="M23">
        <v>0.20746594707777785</v>
      </c>
      <c r="N23">
        <v>0.23444910639732514</v>
      </c>
      <c r="O23">
        <v>0.56218693434426237</v>
      </c>
      <c r="P23">
        <v>0</v>
      </c>
      <c r="Q23">
        <v>0.50862719136350076</v>
      </c>
      <c r="R23">
        <v>0.11402459822964854</v>
      </c>
      <c r="S23">
        <v>5.9000686492692675E-2</v>
      </c>
      <c r="T23">
        <v>0.11829584787043139</v>
      </c>
      <c r="U23">
        <v>0.42005489062855911</v>
      </c>
      <c r="V23">
        <v>0</v>
      </c>
      <c r="W23">
        <v>0.75968076898625492</v>
      </c>
      <c r="X23">
        <v>0.30215574362957198</v>
      </c>
      <c r="Y23">
        <v>0.23993451857354017</v>
      </c>
      <c r="Z23">
        <v>0.32835208018636364</v>
      </c>
      <c r="AA23">
        <v>0.82927316929442452</v>
      </c>
      <c r="CE23" t="s">
        <v>613</v>
      </c>
      <c r="CF23">
        <v>0</v>
      </c>
      <c r="CG23">
        <v>6.6393307841554263E-4</v>
      </c>
      <c r="CH23">
        <v>0.1928047002104071</v>
      </c>
      <c r="CI23">
        <v>0.38894229482200815</v>
      </c>
      <c r="CJ23">
        <v>0.20974411736805729</v>
      </c>
      <c r="CK23">
        <v>3.5908667380563255E-3</v>
      </c>
      <c r="CL23">
        <v>0</v>
      </c>
      <c r="CM23">
        <v>3.7782495696548547E-2</v>
      </c>
      <c r="CN23">
        <v>0.33973382423008752</v>
      </c>
      <c r="CO23">
        <v>0.46476366621017307</v>
      </c>
      <c r="CP23">
        <v>0.30688075662038472</v>
      </c>
      <c r="CQ23">
        <v>3.9433877753255006E-2</v>
      </c>
      <c r="CR23">
        <v>0</v>
      </c>
      <c r="CS23">
        <v>6.4720769212418622E-2</v>
      </c>
      <c r="CT23">
        <v>0.44468332744881744</v>
      </c>
      <c r="CU23">
        <v>0.60054696015451436</v>
      </c>
      <c r="CV23">
        <v>0.41865881654502074</v>
      </c>
      <c r="CW23">
        <v>7.3223943732019611E-2</v>
      </c>
      <c r="CX23">
        <v>0</v>
      </c>
      <c r="CY23">
        <v>1.4931902789486983E-2</v>
      </c>
      <c r="CZ23">
        <v>0.25719197500965763</v>
      </c>
      <c r="DA23">
        <v>0.38811204388463727</v>
      </c>
      <c r="DB23">
        <v>0.21173056247870178</v>
      </c>
      <c r="DC23">
        <v>9.855007162124417E-3</v>
      </c>
      <c r="DE23" t="s">
        <v>613</v>
      </c>
      <c r="DF23" t="s">
        <v>111</v>
      </c>
      <c r="DG23" t="s">
        <v>112</v>
      </c>
      <c r="DH23">
        <v>0.44335542686185725</v>
      </c>
    </row>
    <row r="24" spans="2:112" x14ac:dyDescent="0.45">
      <c r="B24" t="s">
        <v>614</v>
      </c>
      <c r="C24" t="s">
        <v>107</v>
      </c>
      <c r="D24">
        <v>0</v>
      </c>
      <c r="E24">
        <v>0.97694579303993601</v>
      </c>
      <c r="F24">
        <v>0.3207729557752067</v>
      </c>
      <c r="G24">
        <v>0.18932586644614113</v>
      </c>
      <c r="H24">
        <v>0.29205724715469156</v>
      </c>
      <c r="I24">
        <v>0.90549885076410852</v>
      </c>
      <c r="J24">
        <v>0</v>
      </c>
      <c r="K24">
        <v>0.64867282124649495</v>
      </c>
      <c r="L24">
        <v>0.25191998711639541</v>
      </c>
      <c r="M24">
        <v>0.2051977017684205</v>
      </c>
      <c r="N24">
        <v>0.2294389499358972</v>
      </c>
      <c r="O24">
        <v>0.54801177306967119</v>
      </c>
      <c r="P24">
        <v>0</v>
      </c>
      <c r="Q24">
        <v>0.52516048763559497</v>
      </c>
      <c r="R24">
        <v>0.1254061502213403</v>
      </c>
      <c r="S24">
        <v>6.5258221279041517E-2</v>
      </c>
      <c r="T24">
        <v>0.11718051440383172</v>
      </c>
      <c r="U24">
        <v>0.39981525743871521</v>
      </c>
      <c r="V24">
        <v>0</v>
      </c>
      <c r="W24">
        <v>0.77554280352682847</v>
      </c>
      <c r="X24">
        <v>0.30190210935655065</v>
      </c>
      <c r="Y24">
        <v>0.24979718819791252</v>
      </c>
      <c r="Z24">
        <v>0.32967886779202532</v>
      </c>
      <c r="AA24">
        <v>0.80940356492056176</v>
      </c>
      <c r="CE24" t="s">
        <v>614</v>
      </c>
      <c r="CF24">
        <v>0</v>
      </c>
      <c r="CG24">
        <v>3.6544717618575725E-4</v>
      </c>
      <c r="CH24">
        <v>0.22306551121021714</v>
      </c>
      <c r="CI24">
        <v>0.45084521181208181</v>
      </c>
      <c r="CJ24">
        <v>0.25259326729208192</v>
      </c>
      <c r="CK24">
        <v>5.0350465714837436E-3</v>
      </c>
      <c r="CL24">
        <v>0</v>
      </c>
      <c r="CM24">
        <v>3.3393164031228821E-2</v>
      </c>
      <c r="CN24">
        <v>0.33311570035192301</v>
      </c>
      <c r="CO24">
        <v>0.47738337951697207</v>
      </c>
      <c r="CP24">
        <v>0.33197396029046977</v>
      </c>
      <c r="CQ24">
        <v>4.5121743060742091E-2</v>
      </c>
      <c r="CR24">
        <v>0</v>
      </c>
      <c r="CS24">
        <v>5.8434475539548086E-2</v>
      </c>
      <c r="CT24">
        <v>0.4308003829873282</v>
      </c>
      <c r="CU24">
        <v>0.58844257310877979</v>
      </c>
      <c r="CV24">
        <v>0.41027620966152067</v>
      </c>
      <c r="CW24">
        <v>7.8388437077865705E-2</v>
      </c>
      <c r="CX24">
        <v>0</v>
      </c>
      <c r="CY24">
        <v>1.3875929404071384E-2</v>
      </c>
      <c r="CZ24">
        <v>0.25744672862614482</v>
      </c>
      <c r="DA24">
        <v>0.38821085970913227</v>
      </c>
      <c r="DB24">
        <v>0.21740505853133868</v>
      </c>
      <c r="DC24">
        <v>1.1246488956532789E-2</v>
      </c>
      <c r="DE24" t="s">
        <v>614</v>
      </c>
      <c r="DF24" t="s">
        <v>111</v>
      </c>
      <c r="DG24" t="s">
        <v>112</v>
      </c>
      <c r="DH24">
        <v>0.44609272593914162</v>
      </c>
    </row>
    <row r="25" spans="2:112" x14ac:dyDescent="0.45">
      <c r="B25" t="s">
        <v>615</v>
      </c>
      <c r="C25" t="s">
        <v>107</v>
      </c>
      <c r="D25">
        <v>0</v>
      </c>
      <c r="E25">
        <v>0.97222222222222221</v>
      </c>
      <c r="F25">
        <v>0.29099648000943934</v>
      </c>
      <c r="G25">
        <v>0.15259002529778135</v>
      </c>
      <c r="H25">
        <v>0.26425362793678842</v>
      </c>
      <c r="I25">
        <v>0.89815642247961347</v>
      </c>
      <c r="J25">
        <v>0</v>
      </c>
      <c r="K25">
        <v>0.63536891125458028</v>
      </c>
      <c r="L25">
        <v>0.19743599564289485</v>
      </c>
      <c r="M25">
        <v>0.15057726630911814</v>
      </c>
      <c r="N25">
        <v>0.17607859718495425</v>
      </c>
      <c r="O25">
        <v>0.53204707573602139</v>
      </c>
      <c r="P25">
        <v>0</v>
      </c>
      <c r="Q25">
        <v>0.53077813627470438</v>
      </c>
      <c r="R25">
        <v>0.10933516981098376</v>
      </c>
      <c r="S25">
        <v>5.1089015142922627E-2</v>
      </c>
      <c r="T25">
        <v>0.11084741919096611</v>
      </c>
      <c r="U25">
        <v>0.39388426794601233</v>
      </c>
      <c r="V25">
        <v>0</v>
      </c>
      <c r="W25">
        <v>0.76320054299237305</v>
      </c>
      <c r="X25">
        <v>0.21776419147606324</v>
      </c>
      <c r="Y25">
        <v>0.14275074193878723</v>
      </c>
      <c r="Z25">
        <v>0.24324951994450986</v>
      </c>
      <c r="AA25">
        <v>0.79366711019777525</v>
      </c>
      <c r="CE25" t="s">
        <v>615</v>
      </c>
      <c r="CF25">
        <v>0</v>
      </c>
      <c r="CG25">
        <v>4.1800090627300881E-4</v>
      </c>
      <c r="CH25">
        <v>0.25396861889653854</v>
      </c>
      <c r="CI25">
        <v>0.49965043660136033</v>
      </c>
      <c r="CJ25">
        <v>0.28171553129835841</v>
      </c>
      <c r="CK25">
        <v>6.4855789387747243E-3</v>
      </c>
      <c r="CL25">
        <v>0</v>
      </c>
      <c r="CM25">
        <v>3.9947718292836207E-2</v>
      </c>
      <c r="CN25">
        <v>0.39373004802984851</v>
      </c>
      <c r="CO25">
        <v>0.56117902643419326</v>
      </c>
      <c r="CP25">
        <v>0.39230408305170361</v>
      </c>
      <c r="CQ25">
        <v>5.4434838586322122E-2</v>
      </c>
      <c r="CR25">
        <v>0</v>
      </c>
      <c r="CS25">
        <v>6.0539630770934369E-2</v>
      </c>
      <c r="CT25">
        <v>0.4630229980449011</v>
      </c>
      <c r="CU25">
        <v>0.61694879881220988</v>
      </c>
      <c r="CV25">
        <v>0.4235363097820945</v>
      </c>
      <c r="CW25">
        <v>8.2936096028965997E-2</v>
      </c>
      <c r="CX25">
        <v>0</v>
      </c>
      <c r="CY25">
        <v>1.6281987042797656E-2</v>
      </c>
      <c r="CZ25">
        <v>0.31504170558568145</v>
      </c>
      <c r="DA25">
        <v>0.48024635904251822</v>
      </c>
      <c r="DB25">
        <v>0.26693336141100127</v>
      </c>
      <c r="DC25">
        <v>1.3064179524724089E-2</v>
      </c>
      <c r="DE25" t="s">
        <v>615</v>
      </c>
      <c r="DF25" t="s">
        <v>111</v>
      </c>
      <c r="DG25" t="s">
        <v>112</v>
      </c>
      <c r="DH25">
        <v>0.47139103400472626</v>
      </c>
    </row>
    <row r="26" spans="2:112" x14ac:dyDescent="0.45">
      <c r="B26" t="s">
        <v>616</v>
      </c>
      <c r="C26" t="s">
        <v>107</v>
      </c>
      <c r="D26">
        <v>0</v>
      </c>
      <c r="E26">
        <v>0.96301816955739916</v>
      </c>
      <c r="F26">
        <v>0.31461608666926355</v>
      </c>
      <c r="G26">
        <v>0.19742234614200527</v>
      </c>
      <c r="H26">
        <v>0.33796478192873303</v>
      </c>
      <c r="I26">
        <v>0.93333333333333335</v>
      </c>
      <c r="J26">
        <v>0</v>
      </c>
      <c r="K26">
        <v>0.6183345057071824</v>
      </c>
      <c r="L26">
        <v>0.21923033202029182</v>
      </c>
      <c r="M26">
        <v>0.18391292431504541</v>
      </c>
      <c r="N26">
        <v>0.22453362423029807</v>
      </c>
      <c r="O26">
        <v>0.56619171585699668</v>
      </c>
      <c r="P26">
        <v>0</v>
      </c>
      <c r="Q26">
        <v>0.49365187285452089</v>
      </c>
      <c r="R26">
        <v>0.10953943870959904</v>
      </c>
      <c r="S26">
        <v>7.3355839770534767E-2</v>
      </c>
      <c r="T26">
        <v>0.12946071795885106</v>
      </c>
      <c r="U26">
        <v>0.41629145368168496</v>
      </c>
      <c r="V26">
        <v>0</v>
      </c>
      <c r="W26">
        <v>0.7557794635688202</v>
      </c>
      <c r="X26">
        <v>0.29435533969457423</v>
      </c>
      <c r="Y26">
        <v>0.24117997840886976</v>
      </c>
      <c r="Z26">
        <v>0.32867416931735299</v>
      </c>
      <c r="AA26">
        <v>0.84642167823989145</v>
      </c>
      <c r="CE26" t="s">
        <v>616</v>
      </c>
      <c r="CF26">
        <v>0</v>
      </c>
      <c r="CG26">
        <v>1.274694541082647E-3</v>
      </c>
      <c r="CH26">
        <v>0.24119075881570706</v>
      </c>
      <c r="CI26">
        <v>0.43995716595772671</v>
      </c>
      <c r="CJ26">
        <v>0.21313877292366762</v>
      </c>
      <c r="CK26">
        <v>2.6310130096337007E-3</v>
      </c>
      <c r="CL26">
        <v>0</v>
      </c>
      <c r="CM26">
        <v>4.4252556819654128E-2</v>
      </c>
      <c r="CN26">
        <v>0.36959030913266144</v>
      </c>
      <c r="CO26">
        <v>0.4720157493044202</v>
      </c>
      <c r="CP26">
        <v>0.28434526568741492</v>
      </c>
      <c r="CQ26">
        <v>3.4970705226533755E-2</v>
      </c>
      <c r="CR26">
        <v>0</v>
      </c>
      <c r="CS26">
        <v>7.19945596208552E-2</v>
      </c>
      <c r="CT26">
        <v>0.44838890485553234</v>
      </c>
      <c r="CU26">
        <v>0.55568691816707405</v>
      </c>
      <c r="CV26">
        <v>0.36568043301644343</v>
      </c>
      <c r="CW26">
        <v>6.2880849523830148E-2</v>
      </c>
      <c r="CX26">
        <v>0</v>
      </c>
      <c r="CY26">
        <v>1.8391304841421291E-2</v>
      </c>
      <c r="CZ26">
        <v>0.28685050652842342</v>
      </c>
      <c r="DA26">
        <v>0.4083005559351946</v>
      </c>
      <c r="DB26">
        <v>0.20547075770348944</v>
      </c>
      <c r="DC26">
        <v>7.7751029067407952E-3</v>
      </c>
      <c r="DE26" t="s">
        <v>616</v>
      </c>
      <c r="DF26" t="s">
        <v>111</v>
      </c>
      <c r="DG26" t="s">
        <v>112</v>
      </c>
      <c r="DH26">
        <v>0.42960789382514736</v>
      </c>
    </row>
    <row r="27" spans="2:112" x14ac:dyDescent="0.45">
      <c r="B27" t="s">
        <v>617</v>
      </c>
      <c r="C27" t="s">
        <v>107</v>
      </c>
      <c r="D27">
        <v>0</v>
      </c>
      <c r="E27">
        <v>0.95450813091683129</v>
      </c>
      <c r="F27">
        <v>0.28444141147915553</v>
      </c>
      <c r="G27">
        <v>0.15926533034732315</v>
      </c>
      <c r="H27">
        <v>0.31957014217228669</v>
      </c>
      <c r="I27">
        <v>0.93463512245696045</v>
      </c>
      <c r="J27">
        <v>0</v>
      </c>
      <c r="K27">
        <v>0.57068633455389528</v>
      </c>
      <c r="L27">
        <v>0.17705194873244007</v>
      </c>
      <c r="M27">
        <v>0.13611197541875694</v>
      </c>
      <c r="N27">
        <v>0.18548277905620211</v>
      </c>
      <c r="O27">
        <v>0.54381382269168843</v>
      </c>
      <c r="P27">
        <v>0</v>
      </c>
      <c r="Q27">
        <v>0.4804897103529116</v>
      </c>
      <c r="R27">
        <v>0.10816030048205766</v>
      </c>
      <c r="S27">
        <v>7.3709899267199563E-2</v>
      </c>
      <c r="T27">
        <v>0.14580143111529045</v>
      </c>
      <c r="U27">
        <v>0.42441345298334099</v>
      </c>
      <c r="V27">
        <v>0</v>
      </c>
      <c r="W27">
        <v>0.73081132219421518</v>
      </c>
      <c r="X27">
        <v>0.25240026905381757</v>
      </c>
      <c r="Y27">
        <v>0.18217034053756215</v>
      </c>
      <c r="Z27">
        <v>0.30388940465103181</v>
      </c>
      <c r="AA27">
        <v>0.85065680901680596</v>
      </c>
      <c r="CE27" t="s">
        <v>617</v>
      </c>
      <c r="CF27">
        <v>0</v>
      </c>
      <c r="CG27">
        <v>1.622660270840877E-3</v>
      </c>
      <c r="CH27">
        <v>0.26759029496330444</v>
      </c>
      <c r="CI27">
        <v>0.49100591072773458</v>
      </c>
      <c r="CJ27">
        <v>0.2204929245215439</v>
      </c>
      <c r="CK27">
        <v>2.1263196805659762E-3</v>
      </c>
      <c r="CL27">
        <v>0</v>
      </c>
      <c r="CM27">
        <v>5.2333357930009441E-2</v>
      </c>
      <c r="CN27">
        <v>0.43101126822692604</v>
      </c>
      <c r="CO27">
        <v>0.56767229005696074</v>
      </c>
      <c r="CP27">
        <v>0.34432620765128263</v>
      </c>
      <c r="CQ27">
        <v>3.8431750574508199E-2</v>
      </c>
      <c r="CR27">
        <v>0</v>
      </c>
      <c r="CS27">
        <v>7.9560753064222084E-2</v>
      </c>
      <c r="CT27">
        <v>0.47991847965440887</v>
      </c>
      <c r="CU27">
        <v>0.57837860877386349</v>
      </c>
      <c r="CV27">
        <v>0.35849855552277993</v>
      </c>
      <c r="CW27">
        <v>6.0607775113591271E-2</v>
      </c>
      <c r="CX27">
        <v>0</v>
      </c>
      <c r="CY27">
        <v>1.8862867425489895E-2</v>
      </c>
      <c r="CZ27">
        <v>0.30727107847530272</v>
      </c>
      <c r="DA27">
        <v>0.45555853577898875</v>
      </c>
      <c r="DB27">
        <v>0.22196452911248815</v>
      </c>
      <c r="DC27">
        <v>6.9958484691552076E-3</v>
      </c>
      <c r="DE27" t="s">
        <v>617</v>
      </c>
      <c r="DF27" t="s">
        <v>111</v>
      </c>
      <c r="DG27" t="s">
        <v>112</v>
      </c>
      <c r="DH27">
        <v>0.44349611410028184</v>
      </c>
    </row>
    <row r="28" spans="2:112" x14ac:dyDescent="0.45">
      <c r="B28" t="s">
        <v>618</v>
      </c>
      <c r="C28" t="s">
        <v>107</v>
      </c>
      <c r="D28">
        <v>0</v>
      </c>
      <c r="E28">
        <v>0.93969014911294557</v>
      </c>
      <c r="F28">
        <v>0.30756220586810323</v>
      </c>
      <c r="G28">
        <v>0.24202150241135015</v>
      </c>
      <c r="H28">
        <v>0.38197801617748928</v>
      </c>
      <c r="I28">
        <v>0.96666666666666679</v>
      </c>
      <c r="J28">
        <v>0</v>
      </c>
      <c r="K28">
        <v>0.58228422153473758</v>
      </c>
      <c r="L28">
        <v>0.21304785321450725</v>
      </c>
      <c r="M28">
        <v>0.18606858587809283</v>
      </c>
      <c r="N28">
        <v>0.22483805085390038</v>
      </c>
      <c r="O28">
        <v>0.58969783244521323</v>
      </c>
      <c r="P28">
        <v>0</v>
      </c>
      <c r="Q28">
        <v>0.47114562197483612</v>
      </c>
      <c r="R28">
        <v>0.10392037008392863</v>
      </c>
      <c r="S28">
        <v>5.8956821342192323E-2</v>
      </c>
      <c r="T28">
        <v>0.12928978971297631</v>
      </c>
      <c r="U28">
        <v>0.47268423853140518</v>
      </c>
      <c r="V28">
        <v>0</v>
      </c>
      <c r="W28">
        <v>0.72154431115162709</v>
      </c>
      <c r="X28">
        <v>0.27751405972093052</v>
      </c>
      <c r="Y28">
        <v>0.22282552561590277</v>
      </c>
      <c r="Z28">
        <v>0.33281411066170519</v>
      </c>
      <c r="AA28">
        <v>0.87621826415465143</v>
      </c>
      <c r="CE28" t="s">
        <v>618</v>
      </c>
      <c r="CF28">
        <v>0</v>
      </c>
      <c r="CG28">
        <v>2.3461998896579252E-3</v>
      </c>
      <c r="CH28">
        <v>0.21726021716449948</v>
      </c>
      <c r="CI28">
        <v>0.36362287201494692</v>
      </c>
      <c r="CJ28">
        <v>0.15725670529894897</v>
      </c>
      <c r="CK28">
        <v>7.3104394434827646E-4</v>
      </c>
      <c r="CL28">
        <v>0</v>
      </c>
      <c r="CM28">
        <v>4.9989748353449104E-2</v>
      </c>
      <c r="CN28">
        <v>0.3629789875190837</v>
      </c>
      <c r="CO28">
        <v>0.46815335777290246</v>
      </c>
      <c r="CP28">
        <v>0.28716691832772995</v>
      </c>
      <c r="CQ28">
        <v>2.6278315352295818E-2</v>
      </c>
      <c r="CR28">
        <v>0</v>
      </c>
      <c r="CS28">
        <v>8.7553573030226067E-2</v>
      </c>
      <c r="CT28">
        <v>0.48508493945470793</v>
      </c>
      <c r="CU28">
        <v>0.59661414066480722</v>
      </c>
      <c r="CV28">
        <v>0.37529732842490288</v>
      </c>
      <c r="CW28">
        <v>5.407979289609624E-2</v>
      </c>
      <c r="CX28">
        <v>0</v>
      </c>
      <c r="CY28">
        <v>2.1147720970034162E-2</v>
      </c>
      <c r="CZ28">
        <v>0.27589013666579232</v>
      </c>
      <c r="DA28">
        <v>0.38851474525778978</v>
      </c>
      <c r="DB28">
        <v>0.17816629098289333</v>
      </c>
      <c r="DC28">
        <v>4.6923878901082459E-3</v>
      </c>
      <c r="DE28" t="s">
        <v>618</v>
      </c>
      <c r="DF28" t="s">
        <v>111</v>
      </c>
      <c r="DG28" t="s">
        <v>112</v>
      </c>
      <c r="DH28">
        <v>0.52073349167520111</v>
      </c>
    </row>
    <row r="29" spans="2:112" x14ac:dyDescent="0.45">
      <c r="B29" t="s">
        <v>619</v>
      </c>
      <c r="C29" t="s">
        <v>107</v>
      </c>
      <c r="D29">
        <v>0</v>
      </c>
      <c r="E29">
        <v>0.94929300701152175</v>
      </c>
      <c r="F29">
        <v>0.30670790100825335</v>
      </c>
      <c r="G29">
        <v>0.21474396765089279</v>
      </c>
      <c r="H29">
        <v>0.35661768673664757</v>
      </c>
      <c r="I29">
        <v>0.941641921907868</v>
      </c>
      <c r="J29">
        <v>0</v>
      </c>
      <c r="K29">
        <v>0.59259461248516854</v>
      </c>
      <c r="L29">
        <v>0.20874633491225064</v>
      </c>
      <c r="M29">
        <v>0.1718015999664313</v>
      </c>
      <c r="N29">
        <v>0.2207534853586425</v>
      </c>
      <c r="O29">
        <v>0.5779477060937912</v>
      </c>
      <c r="P29">
        <v>0</v>
      </c>
      <c r="Q29">
        <v>0.481809896483475</v>
      </c>
      <c r="R29">
        <v>0.10127781273134048</v>
      </c>
      <c r="S29">
        <v>5.3333761417292049E-2</v>
      </c>
      <c r="T29">
        <v>0.1236585615355366</v>
      </c>
      <c r="U29">
        <v>0.45675670303703853</v>
      </c>
      <c r="V29">
        <v>0</v>
      </c>
      <c r="W29">
        <v>0.72395111477955676</v>
      </c>
      <c r="X29">
        <v>0.25453541205225633</v>
      </c>
      <c r="Y29">
        <v>0.19624600361372391</v>
      </c>
      <c r="Z29">
        <v>0.32300924885963767</v>
      </c>
      <c r="AA29">
        <v>0.866291744563493</v>
      </c>
      <c r="CE29" t="s">
        <v>619</v>
      </c>
      <c r="CF29">
        <v>0</v>
      </c>
      <c r="CG29">
        <v>1.9385650382852172E-3</v>
      </c>
      <c r="CH29">
        <v>0.22060758233643715</v>
      </c>
      <c r="CI29">
        <v>0.3960597041314069</v>
      </c>
      <c r="CJ29">
        <v>0.17812412007059716</v>
      </c>
      <c r="CK29">
        <v>1.4048327720894015E-3</v>
      </c>
      <c r="CL29">
        <v>0</v>
      </c>
      <c r="CM29">
        <v>4.6934277866913759E-2</v>
      </c>
      <c r="CN29">
        <v>0.35909113478434912</v>
      </c>
      <c r="CO29">
        <v>0.46130829579715305</v>
      </c>
      <c r="CP29">
        <v>0.27966420434674755</v>
      </c>
      <c r="CQ29">
        <v>3.0058844216883273E-2</v>
      </c>
      <c r="CR29">
        <v>0</v>
      </c>
      <c r="CS29">
        <v>8.0086936006234385E-2</v>
      </c>
      <c r="CT29">
        <v>0.47429436849249057</v>
      </c>
      <c r="CU29">
        <v>0.59058190648789199</v>
      </c>
      <c r="CV29">
        <v>0.386292193086889</v>
      </c>
      <c r="CW29">
        <v>5.9074478886103565E-2</v>
      </c>
      <c r="CX29">
        <v>0</v>
      </c>
      <c r="CY29">
        <v>2.0299718657790112E-2</v>
      </c>
      <c r="CZ29">
        <v>0.28420202243431514</v>
      </c>
      <c r="DA29">
        <v>0.39689013007578133</v>
      </c>
      <c r="DB29">
        <v>0.18926274192599615</v>
      </c>
      <c r="DC29">
        <v>5.9238245509175549E-3</v>
      </c>
      <c r="DE29" t="s">
        <v>619</v>
      </c>
      <c r="DF29" t="s">
        <v>111</v>
      </c>
      <c r="DG29" t="s">
        <v>112</v>
      </c>
      <c r="DH29">
        <v>0.49292730975666543</v>
      </c>
    </row>
    <row r="30" spans="2:112" x14ac:dyDescent="0.45">
      <c r="B30" t="s">
        <v>620</v>
      </c>
      <c r="C30" t="s">
        <v>107</v>
      </c>
      <c r="D30">
        <v>0</v>
      </c>
      <c r="E30">
        <v>0.94812588514429841</v>
      </c>
      <c r="F30">
        <v>0.30353192448200539</v>
      </c>
      <c r="G30">
        <v>0.20490768120034214</v>
      </c>
      <c r="H30">
        <v>0.35607150917318386</v>
      </c>
      <c r="I30">
        <v>0.95071734955254572</v>
      </c>
      <c r="J30">
        <v>0</v>
      </c>
      <c r="K30">
        <v>0.58901685107931379</v>
      </c>
      <c r="L30">
        <v>0.18909108508585645</v>
      </c>
      <c r="M30">
        <v>0.15514939125541027</v>
      </c>
      <c r="N30">
        <v>0.20967123836849685</v>
      </c>
      <c r="O30">
        <v>0.58497524685447122</v>
      </c>
      <c r="P30">
        <v>0</v>
      </c>
      <c r="Q30">
        <v>0.48038653371350465</v>
      </c>
      <c r="R30">
        <v>0.10627537247367078</v>
      </c>
      <c r="S30">
        <v>4.7904046029203028E-2</v>
      </c>
      <c r="T30">
        <v>0.12247610316583375</v>
      </c>
      <c r="U30">
        <v>0.47137021926907319</v>
      </c>
      <c r="V30">
        <v>0</v>
      </c>
      <c r="W30">
        <v>0.71441737598635424</v>
      </c>
      <c r="X30">
        <v>0.23590016784095882</v>
      </c>
      <c r="Y30">
        <v>0.18248034489786161</v>
      </c>
      <c r="Z30">
        <v>0.31556240550387255</v>
      </c>
      <c r="AA30">
        <v>0.86822306217652867</v>
      </c>
      <c r="CE30" t="s">
        <v>620</v>
      </c>
      <c r="CF30">
        <v>0</v>
      </c>
      <c r="CG30">
        <v>2.1828805018915438E-3</v>
      </c>
      <c r="CH30">
        <v>0.20694476513150459</v>
      </c>
      <c r="CI30">
        <v>0.38303435233213012</v>
      </c>
      <c r="CJ30">
        <v>0.18012829489517854</v>
      </c>
      <c r="CK30">
        <v>1.5743198822707174E-3</v>
      </c>
      <c r="CL30">
        <v>0</v>
      </c>
      <c r="CM30">
        <v>5.0109107528175309E-2</v>
      </c>
      <c r="CN30">
        <v>0.38283067109556973</v>
      </c>
      <c r="CO30">
        <v>0.50842444931021424</v>
      </c>
      <c r="CP30">
        <v>0.31411742166129147</v>
      </c>
      <c r="CQ30">
        <v>3.227071109847636E-2</v>
      </c>
      <c r="CR30">
        <v>0</v>
      </c>
      <c r="CS30">
        <v>8.1379898972358117E-2</v>
      </c>
      <c r="CT30">
        <v>0.47760004228902259</v>
      </c>
      <c r="CU30">
        <v>0.6189433242702792</v>
      </c>
      <c r="CV30">
        <v>0.41594541108978733</v>
      </c>
      <c r="CW30">
        <v>6.0119923031587447E-2</v>
      </c>
      <c r="CX30">
        <v>0</v>
      </c>
      <c r="CY30">
        <v>2.2600687118655351E-2</v>
      </c>
      <c r="CZ30">
        <v>0.30166537298988139</v>
      </c>
      <c r="DA30">
        <v>0.41968111505287142</v>
      </c>
      <c r="DB30">
        <v>0.20451894362922277</v>
      </c>
      <c r="DC30">
        <v>6.0793565186444427E-3</v>
      </c>
      <c r="DE30" t="s">
        <v>620</v>
      </c>
      <c r="DF30" t="s">
        <v>111</v>
      </c>
      <c r="DG30" t="s">
        <v>112</v>
      </c>
      <c r="DH30">
        <v>0.45051062170106027</v>
      </c>
    </row>
    <row r="31" spans="2:112" x14ac:dyDescent="0.45">
      <c r="B31" t="s">
        <v>621</v>
      </c>
      <c r="C31" t="s">
        <v>107</v>
      </c>
      <c r="D31">
        <v>0</v>
      </c>
      <c r="E31">
        <v>0.95277777777777772</v>
      </c>
      <c r="F31">
        <v>0.30906949091070718</v>
      </c>
      <c r="G31">
        <v>0.21969199095241648</v>
      </c>
      <c r="H31">
        <v>0.35789583353644711</v>
      </c>
      <c r="I31">
        <v>0.93070793635109661</v>
      </c>
      <c r="J31">
        <v>0</v>
      </c>
      <c r="K31">
        <v>0.6115162752202209</v>
      </c>
      <c r="L31">
        <v>0.21554102679328072</v>
      </c>
      <c r="M31">
        <v>0.18599685114994483</v>
      </c>
      <c r="N31">
        <v>0.21999904492616471</v>
      </c>
      <c r="O31">
        <v>0.577222808670664</v>
      </c>
      <c r="P31">
        <v>0</v>
      </c>
      <c r="Q31">
        <v>0.49756203890674172</v>
      </c>
      <c r="R31">
        <v>0.10458634494617537</v>
      </c>
      <c r="S31">
        <v>4.5237139298936947E-2</v>
      </c>
      <c r="T31">
        <v>0.11822563007555545</v>
      </c>
      <c r="U31">
        <v>0.44732230249710603</v>
      </c>
      <c r="V31">
        <v>0</v>
      </c>
      <c r="W31">
        <v>0.72320538359435982</v>
      </c>
      <c r="X31">
        <v>0.25889990069319463</v>
      </c>
      <c r="Y31">
        <v>0.2162930972431733</v>
      </c>
      <c r="Z31">
        <v>0.31559162191017892</v>
      </c>
      <c r="AA31">
        <v>0.84761826669079976</v>
      </c>
      <c r="CE31" t="s">
        <v>621</v>
      </c>
      <c r="CF31">
        <v>0</v>
      </c>
      <c r="CG31">
        <v>1.4053386579837687E-3</v>
      </c>
      <c r="CH31">
        <v>0.21037153467479439</v>
      </c>
      <c r="CI31">
        <v>0.38900776800496523</v>
      </c>
      <c r="CJ31">
        <v>0.18460704912239392</v>
      </c>
      <c r="CK31">
        <v>2.4011161833604588E-3</v>
      </c>
      <c r="CL31">
        <v>0</v>
      </c>
      <c r="CM31">
        <v>4.5095259635873929E-2</v>
      </c>
      <c r="CN31">
        <v>0.36596032600646183</v>
      </c>
      <c r="CO31">
        <v>0.47315481697450656</v>
      </c>
      <c r="CP31">
        <v>0.29721230957028255</v>
      </c>
      <c r="CQ31">
        <v>3.4720692902990617E-2</v>
      </c>
      <c r="CR31">
        <v>0</v>
      </c>
      <c r="CS31">
        <v>7.4079188336269128E-2</v>
      </c>
      <c r="CT31">
        <v>0.47050471471403704</v>
      </c>
      <c r="CU31">
        <v>0.6107304990092709</v>
      </c>
      <c r="CV31">
        <v>0.41049315660275021</v>
      </c>
      <c r="CW31">
        <v>6.4597013310479581E-2</v>
      </c>
      <c r="CX31">
        <v>0</v>
      </c>
      <c r="CY31">
        <v>1.9318994441912509E-2</v>
      </c>
      <c r="CZ31">
        <v>0.28059539026508595</v>
      </c>
      <c r="DA31">
        <v>0.40000338872026991</v>
      </c>
      <c r="DB31">
        <v>0.20261282647895001</v>
      </c>
      <c r="DC31">
        <v>7.616120774295498E-3</v>
      </c>
      <c r="DE31" t="s">
        <v>621</v>
      </c>
      <c r="DF31" t="s">
        <v>111</v>
      </c>
      <c r="DG31" t="s">
        <v>112</v>
      </c>
      <c r="DH31">
        <v>0.44982499266637166</v>
      </c>
    </row>
    <row r="32" spans="2:112" x14ac:dyDescent="0.45">
      <c r="B32" t="s">
        <v>622</v>
      </c>
      <c r="C32" t="s">
        <v>107</v>
      </c>
      <c r="D32">
        <v>0</v>
      </c>
      <c r="E32">
        <v>0.93813921190218341</v>
      </c>
      <c r="F32">
        <v>0.28188860029038387</v>
      </c>
      <c r="G32">
        <v>0.19266735381126301</v>
      </c>
      <c r="H32">
        <v>0.33517173379583898</v>
      </c>
      <c r="I32">
        <v>0.9348572895431837</v>
      </c>
      <c r="J32">
        <v>0</v>
      </c>
      <c r="K32">
        <v>0.58406982534997165</v>
      </c>
      <c r="L32">
        <v>0.16343912065450364</v>
      </c>
      <c r="M32">
        <v>0.12232264488732042</v>
      </c>
      <c r="N32">
        <v>0.18699841340539242</v>
      </c>
      <c r="O32">
        <v>0.5801747288869803</v>
      </c>
      <c r="P32">
        <v>0</v>
      </c>
      <c r="Q32">
        <v>0.48580083482488468</v>
      </c>
      <c r="R32">
        <v>9.1751799842880163E-2</v>
      </c>
      <c r="S32">
        <v>4.4033278717993472E-2</v>
      </c>
      <c r="T32">
        <v>0.12370887628773045</v>
      </c>
      <c r="U32">
        <v>0.48280589522271633</v>
      </c>
      <c r="V32">
        <v>0</v>
      </c>
      <c r="W32">
        <v>0.69348834295985629</v>
      </c>
      <c r="X32">
        <v>0.20701275054095961</v>
      </c>
      <c r="Y32">
        <v>0.15423755303502193</v>
      </c>
      <c r="Z32">
        <v>0.2855466530442094</v>
      </c>
      <c r="AA32">
        <v>0.8604950505898874</v>
      </c>
      <c r="CE32" t="s">
        <v>622</v>
      </c>
      <c r="CF32">
        <v>0</v>
      </c>
      <c r="CG32">
        <v>2.4265191232308706E-3</v>
      </c>
      <c r="CH32">
        <v>0.22787051014770357</v>
      </c>
      <c r="CI32">
        <v>0.40629938951491157</v>
      </c>
      <c r="CJ32">
        <v>0.18941997336372279</v>
      </c>
      <c r="CK32">
        <v>1.9839790372610795E-3</v>
      </c>
      <c r="CL32">
        <v>0</v>
      </c>
      <c r="CM32">
        <v>5.2144224846781384E-2</v>
      </c>
      <c r="CN32">
        <v>0.40579461219836216</v>
      </c>
      <c r="CO32">
        <v>0.53229810051933346</v>
      </c>
      <c r="CP32">
        <v>0.32776684926249883</v>
      </c>
      <c r="CQ32">
        <v>3.3072227165931209E-2</v>
      </c>
      <c r="CR32">
        <v>0</v>
      </c>
      <c r="CS32">
        <v>8.443784617655474E-2</v>
      </c>
      <c r="CT32">
        <v>0.51020259671213963</v>
      </c>
      <c r="CU32">
        <v>0.63586562926614931</v>
      </c>
      <c r="CV32">
        <v>0.40497405061307462</v>
      </c>
      <c r="CW32">
        <v>5.794655909719091E-2</v>
      </c>
      <c r="CX32">
        <v>0</v>
      </c>
      <c r="CY32">
        <v>2.5033753267283746E-2</v>
      </c>
      <c r="CZ32">
        <v>0.32954443877741535</v>
      </c>
      <c r="DA32">
        <v>0.45130221104889717</v>
      </c>
      <c r="DB32">
        <v>0.22374285939987262</v>
      </c>
      <c r="DC32">
        <v>6.4190233727203184E-3</v>
      </c>
      <c r="DE32" t="s">
        <v>622</v>
      </c>
      <c r="DF32" t="s">
        <v>111</v>
      </c>
      <c r="DG32" t="s">
        <v>112</v>
      </c>
      <c r="DH32">
        <v>0.44406801135029472</v>
      </c>
    </row>
    <row r="33" spans="2:112" x14ac:dyDescent="0.45">
      <c r="B33" t="s">
        <v>623</v>
      </c>
      <c r="C33" t="s">
        <v>107</v>
      </c>
      <c r="D33">
        <v>0</v>
      </c>
      <c r="E33">
        <v>0.9527777777777775</v>
      </c>
      <c r="F33">
        <v>0.30025513240515483</v>
      </c>
      <c r="G33">
        <v>0.20106075797360728</v>
      </c>
      <c r="H33">
        <v>0.32163061534474724</v>
      </c>
      <c r="I33">
        <v>0.92326031159822175</v>
      </c>
      <c r="J33">
        <v>0</v>
      </c>
      <c r="K33">
        <v>0.60675064099033316</v>
      </c>
      <c r="L33">
        <v>0.19721426722906923</v>
      </c>
      <c r="M33">
        <v>0.14282582075952391</v>
      </c>
      <c r="N33">
        <v>0.18690034171151851</v>
      </c>
      <c r="O33">
        <v>0.57508502504276193</v>
      </c>
      <c r="P33">
        <v>0</v>
      </c>
      <c r="Q33">
        <v>0.49844173901797867</v>
      </c>
      <c r="R33">
        <v>9.3918869041074216E-2</v>
      </c>
      <c r="S33">
        <v>3.8725189185393714E-2</v>
      </c>
      <c r="T33">
        <v>0.11624750612492923</v>
      </c>
      <c r="U33">
        <v>0.46106843839075351</v>
      </c>
      <c r="V33">
        <v>0</v>
      </c>
      <c r="W33">
        <v>0.71950863446486502</v>
      </c>
      <c r="X33">
        <v>0.23872107245639235</v>
      </c>
      <c r="Y33">
        <v>0.17471509340456565</v>
      </c>
      <c r="Z33">
        <v>0.27444776454263264</v>
      </c>
      <c r="AA33">
        <v>0.84456845481158316</v>
      </c>
      <c r="CE33" t="s">
        <v>623</v>
      </c>
      <c r="CF33">
        <v>0</v>
      </c>
      <c r="CG33">
        <v>1.9082018903414004E-3</v>
      </c>
      <c r="CH33">
        <v>0.22742917227851511</v>
      </c>
      <c r="CI33">
        <v>0.41687998595875309</v>
      </c>
      <c r="CJ33">
        <v>0.20669188950857531</v>
      </c>
      <c r="CK33">
        <v>2.9803338463011819E-3</v>
      </c>
      <c r="CL33">
        <v>0</v>
      </c>
      <c r="CM33">
        <v>4.5695887775926571E-2</v>
      </c>
      <c r="CN33">
        <v>0.37769735364882584</v>
      </c>
      <c r="CO33">
        <v>0.51356680406591837</v>
      </c>
      <c r="CP33">
        <v>0.34068892238860821</v>
      </c>
      <c r="CQ33">
        <v>3.8623952865216214E-2</v>
      </c>
      <c r="CR33">
        <v>0</v>
      </c>
      <c r="CS33">
        <v>7.5350211120438895E-2</v>
      </c>
      <c r="CT33">
        <v>0.49886121420564822</v>
      </c>
      <c r="CU33">
        <v>0.64341560000673015</v>
      </c>
      <c r="CV33">
        <v>0.42438685675014465</v>
      </c>
      <c r="CW33">
        <v>6.6876141311479856E-2</v>
      </c>
      <c r="CX33">
        <v>0</v>
      </c>
      <c r="CY33">
        <v>2.0218194343500997E-2</v>
      </c>
      <c r="CZ33">
        <v>0.29889466886602145</v>
      </c>
      <c r="DA33">
        <v>0.43833098997067899</v>
      </c>
      <c r="DB33">
        <v>0.22959087291984004</v>
      </c>
      <c r="DC33">
        <v>8.1432302367747678E-3</v>
      </c>
      <c r="DE33" t="s">
        <v>623</v>
      </c>
      <c r="DF33" t="s">
        <v>111</v>
      </c>
      <c r="DG33" t="s">
        <v>112</v>
      </c>
      <c r="DH33">
        <v>0.46933233367438421</v>
      </c>
    </row>
    <row r="34" spans="2:112" x14ac:dyDescent="0.45">
      <c r="B34" t="s">
        <v>624</v>
      </c>
      <c r="C34" t="s">
        <v>107</v>
      </c>
      <c r="D34">
        <v>0</v>
      </c>
      <c r="E34">
        <v>0.9472222222222223</v>
      </c>
      <c r="F34">
        <v>0.27448350460478543</v>
      </c>
      <c r="G34">
        <v>0.17296211644929513</v>
      </c>
      <c r="H34">
        <v>0.29760028877079969</v>
      </c>
      <c r="I34">
        <v>0.92321891833010217</v>
      </c>
      <c r="J34">
        <v>0</v>
      </c>
      <c r="K34">
        <v>0.5948164334485293</v>
      </c>
      <c r="L34">
        <v>0.16569156047931133</v>
      </c>
      <c r="M34">
        <v>0.11917252007053726</v>
      </c>
      <c r="N34">
        <v>0.17233912789911066</v>
      </c>
      <c r="O34">
        <v>0.57785199434314016</v>
      </c>
      <c r="P34">
        <v>0</v>
      </c>
      <c r="Q34">
        <v>0.49703240867268</v>
      </c>
      <c r="R34">
        <v>8.957118621403351E-2</v>
      </c>
      <c r="S34">
        <v>3.412869533237485E-2</v>
      </c>
      <c r="T34">
        <v>0.11147104348258108</v>
      </c>
      <c r="U34">
        <v>0.47687152616415185</v>
      </c>
      <c r="V34">
        <v>0</v>
      </c>
      <c r="W34">
        <v>0.69406780099059295</v>
      </c>
      <c r="X34">
        <v>0.19600303061038063</v>
      </c>
      <c r="Y34">
        <v>0.13539785382079772</v>
      </c>
      <c r="Z34">
        <v>0.26118689418610497</v>
      </c>
      <c r="AA34">
        <v>0.84567493591542953</v>
      </c>
      <c r="CE34" t="s">
        <v>624</v>
      </c>
      <c r="CF34">
        <v>0</v>
      </c>
      <c r="CG34">
        <v>2.5110554407823875E-3</v>
      </c>
      <c r="CH34">
        <v>0.24737095658389507</v>
      </c>
      <c r="CI34">
        <v>0.4447016741149834</v>
      </c>
      <c r="CJ34">
        <v>0.22412654318298314</v>
      </c>
      <c r="CK34">
        <v>3.3977944174879804E-3</v>
      </c>
      <c r="CL34">
        <v>0</v>
      </c>
      <c r="CM34">
        <v>5.1287072310048323E-2</v>
      </c>
      <c r="CN34">
        <v>0.41517865077379501</v>
      </c>
      <c r="CO34">
        <v>0.56749704435317727</v>
      </c>
      <c r="CP34">
        <v>0.37308289838323011</v>
      </c>
      <c r="CQ34">
        <v>3.985940569116897E-2</v>
      </c>
      <c r="CR34">
        <v>0</v>
      </c>
      <c r="CS34">
        <v>7.865515637202028E-2</v>
      </c>
      <c r="CT34">
        <v>0.50874291546224615</v>
      </c>
      <c r="CU34">
        <v>0.65347790659734317</v>
      </c>
      <c r="CV34">
        <v>0.43552964698723168</v>
      </c>
      <c r="CW34">
        <v>6.5953366278196215E-2</v>
      </c>
      <c r="CX34">
        <v>0</v>
      </c>
      <c r="CY34">
        <v>2.4224911584773842E-2</v>
      </c>
      <c r="CZ34">
        <v>0.34129901700369814</v>
      </c>
      <c r="DA34">
        <v>0.480957137967711</v>
      </c>
      <c r="DB34">
        <v>0.24945402269501654</v>
      </c>
      <c r="DC34">
        <v>8.3116391607445834E-3</v>
      </c>
      <c r="DE34" t="s">
        <v>624</v>
      </c>
      <c r="DF34" t="s">
        <v>111</v>
      </c>
      <c r="DG34" t="s">
        <v>112</v>
      </c>
      <c r="DH34">
        <v>0.51984236162257025</v>
      </c>
    </row>
    <row r="35" spans="2:112" x14ac:dyDescent="0.45">
      <c r="B35" t="s">
        <v>625</v>
      </c>
      <c r="C35" t="s">
        <v>107</v>
      </c>
      <c r="D35">
        <v>0.38746893649392883</v>
      </c>
      <c r="E35">
        <v>0.39500327959881415</v>
      </c>
      <c r="F35">
        <v>0.38914793977010254</v>
      </c>
      <c r="G35">
        <v>0.36555570013501265</v>
      </c>
      <c r="H35">
        <v>0.36375217061191667</v>
      </c>
      <c r="I35">
        <v>0.36868214842761932</v>
      </c>
      <c r="J35">
        <v>0.34032946978076795</v>
      </c>
      <c r="K35">
        <v>0.35107236993207852</v>
      </c>
      <c r="L35">
        <v>0.35493272178222424</v>
      </c>
      <c r="M35">
        <v>0.33886239330252993</v>
      </c>
      <c r="N35">
        <v>0.31315118898209254</v>
      </c>
      <c r="O35">
        <v>0.31114475651337609</v>
      </c>
      <c r="P35">
        <v>0.29751192658004177</v>
      </c>
      <c r="Q35">
        <v>0.31358212329166474</v>
      </c>
      <c r="R35">
        <v>0.41368791151574191</v>
      </c>
      <c r="S35">
        <v>0.43247682919999458</v>
      </c>
      <c r="T35">
        <v>0.44545170145001461</v>
      </c>
      <c r="U35">
        <v>0.3690182698175386</v>
      </c>
      <c r="V35">
        <v>0.4035633360889388</v>
      </c>
      <c r="W35">
        <v>0.44926437635203331</v>
      </c>
      <c r="X35">
        <v>0.4555846571520199</v>
      </c>
      <c r="Y35">
        <v>0.43991262626208116</v>
      </c>
      <c r="Z35">
        <v>0.39130640179058829</v>
      </c>
      <c r="AA35">
        <v>0.38896276833815097</v>
      </c>
      <c r="CE35" t="s">
        <v>625</v>
      </c>
      <c r="CF35">
        <v>0.30391223686623586</v>
      </c>
      <c r="CG35">
        <v>0.30481213162664095</v>
      </c>
      <c r="CH35">
        <v>0.29216396377990439</v>
      </c>
      <c r="CI35">
        <v>0.32519036861530159</v>
      </c>
      <c r="CJ35">
        <v>0.34192296031223979</v>
      </c>
      <c r="CK35">
        <v>0.32896863654538439</v>
      </c>
      <c r="CL35">
        <v>0.29865042790610097</v>
      </c>
      <c r="CM35">
        <v>0.26574217830040092</v>
      </c>
      <c r="CN35">
        <v>0.2725367415760151</v>
      </c>
      <c r="CO35">
        <v>0.31204898495068162</v>
      </c>
      <c r="CP35">
        <v>0.32210760256412879</v>
      </c>
      <c r="CQ35">
        <v>0.31053851298143087</v>
      </c>
      <c r="CR35">
        <v>0.18368037193179881</v>
      </c>
      <c r="CS35">
        <v>0.17173498790116576</v>
      </c>
      <c r="CT35">
        <v>0.13438579300656553</v>
      </c>
      <c r="CU35">
        <v>0.12897690229738618</v>
      </c>
      <c r="CV35">
        <v>0.12206322485473459</v>
      </c>
      <c r="CW35">
        <v>0.14393532345756122</v>
      </c>
      <c r="CX35">
        <v>0.18870178098540322</v>
      </c>
      <c r="CY35">
        <v>0.16851992770415278</v>
      </c>
      <c r="CZ35">
        <v>0.18199064282225033</v>
      </c>
      <c r="DA35">
        <v>0.19340020989891765</v>
      </c>
      <c r="DB35">
        <v>0.20199224842051214</v>
      </c>
      <c r="DC35">
        <v>0.18926568026506607</v>
      </c>
      <c r="DE35" t="s">
        <v>626</v>
      </c>
      <c r="DF35" t="s">
        <v>111</v>
      </c>
      <c r="DG35" t="s">
        <v>112</v>
      </c>
      <c r="DH35">
        <v>0.13791522850630231</v>
      </c>
    </row>
    <row r="36" spans="2:112" x14ac:dyDescent="0.45">
      <c r="B36" t="s">
        <v>627</v>
      </c>
      <c r="C36" t="s">
        <v>107</v>
      </c>
      <c r="D36">
        <v>0.36851070098925409</v>
      </c>
      <c r="E36">
        <v>0.39380721546524594</v>
      </c>
      <c r="F36">
        <v>0.4106759251365793</v>
      </c>
      <c r="G36">
        <v>0.37578472262771989</v>
      </c>
      <c r="H36">
        <v>0.37819783538149854</v>
      </c>
      <c r="I36">
        <v>0.38238197012404634</v>
      </c>
      <c r="J36">
        <v>0.34314925692048653</v>
      </c>
      <c r="K36">
        <v>0.37010309142510267</v>
      </c>
      <c r="L36">
        <v>0.38661970341590252</v>
      </c>
      <c r="M36">
        <v>0.36746965387239117</v>
      </c>
      <c r="N36">
        <v>0.35742293474380826</v>
      </c>
      <c r="O36">
        <v>0.34223315054007991</v>
      </c>
      <c r="P36">
        <v>0.35093805289210123</v>
      </c>
      <c r="Q36">
        <v>0.3172046844920921</v>
      </c>
      <c r="R36">
        <v>0.34963460739218216</v>
      </c>
      <c r="S36">
        <v>0.33954152709075663</v>
      </c>
      <c r="T36">
        <v>0.315694193696755</v>
      </c>
      <c r="U36">
        <v>0.33871903909908441</v>
      </c>
      <c r="V36">
        <v>0.43696121273283761</v>
      </c>
      <c r="W36">
        <v>0.42570059217723566</v>
      </c>
      <c r="X36">
        <v>0.43671652954099288</v>
      </c>
      <c r="Y36">
        <v>0.43663367139433168</v>
      </c>
      <c r="Z36">
        <v>0.41934960479339506</v>
      </c>
      <c r="AA36">
        <v>0.43367243460136634</v>
      </c>
      <c r="CE36" t="s">
        <v>627</v>
      </c>
      <c r="CF36">
        <v>0.38590549945659314</v>
      </c>
      <c r="CG36">
        <v>0.35894429738595146</v>
      </c>
      <c r="CH36">
        <v>0.35008281189134033</v>
      </c>
      <c r="CI36">
        <v>0.36958828936349097</v>
      </c>
      <c r="CJ36">
        <v>0.37812897277887769</v>
      </c>
      <c r="CK36">
        <v>0.3936417183886034</v>
      </c>
      <c r="CL36">
        <v>0.38032679765424582</v>
      </c>
      <c r="CM36">
        <v>0.33870043070869177</v>
      </c>
      <c r="CN36">
        <v>0.31090102353709181</v>
      </c>
      <c r="CO36">
        <v>0.32207038734839905</v>
      </c>
      <c r="CP36">
        <v>0.34148649483020715</v>
      </c>
      <c r="CQ36">
        <v>0.36796997698496831</v>
      </c>
      <c r="CR36">
        <v>0.24859691851863649</v>
      </c>
      <c r="CS36">
        <v>0.2694391986070741</v>
      </c>
      <c r="CT36">
        <v>0.21641267787229601</v>
      </c>
      <c r="CU36">
        <v>0.19679215272467462</v>
      </c>
      <c r="CV36">
        <v>0.20455639172665255</v>
      </c>
      <c r="CW36">
        <v>0.22302436154180855</v>
      </c>
      <c r="CX36">
        <v>0.27378528578993366</v>
      </c>
      <c r="CY36">
        <v>0.25255362499803791</v>
      </c>
      <c r="CZ36">
        <v>0.24779757320397208</v>
      </c>
      <c r="DA36">
        <v>0.23930788271126105</v>
      </c>
      <c r="DB36">
        <v>0.25719398240984154</v>
      </c>
      <c r="DC36">
        <v>0.27934172975542815</v>
      </c>
      <c r="DE36" t="s">
        <v>628</v>
      </c>
      <c r="DF36" t="s">
        <v>111</v>
      </c>
      <c r="DG36" t="s">
        <v>112</v>
      </c>
      <c r="DH36">
        <v>0.15778714493814297</v>
      </c>
    </row>
    <row r="37" spans="2:112" x14ac:dyDescent="0.45">
      <c r="B37" t="s">
        <v>629</v>
      </c>
      <c r="C37" t="s">
        <v>107</v>
      </c>
      <c r="D37">
        <v>0.41813667007661159</v>
      </c>
      <c r="E37">
        <v>0.40642382385179626</v>
      </c>
      <c r="F37">
        <v>0.3910852897275427</v>
      </c>
      <c r="G37">
        <v>0.40724889106975792</v>
      </c>
      <c r="H37">
        <v>0.44045853011059527</v>
      </c>
      <c r="I37">
        <v>0.43870474606180154</v>
      </c>
      <c r="J37">
        <v>0.39274750028135647</v>
      </c>
      <c r="K37">
        <v>0.41743920930172884</v>
      </c>
      <c r="L37">
        <v>0.42669177417303522</v>
      </c>
      <c r="M37">
        <v>0.42743943230231973</v>
      </c>
      <c r="N37">
        <v>0.39088037448313978</v>
      </c>
      <c r="O37">
        <v>0.3860447972556118</v>
      </c>
      <c r="P37">
        <v>0.4246484983310711</v>
      </c>
      <c r="Q37">
        <v>0.3853688608635939</v>
      </c>
      <c r="R37">
        <v>0.40784447436003574</v>
      </c>
      <c r="S37">
        <v>0.36909084055946501</v>
      </c>
      <c r="T37">
        <v>0.38667213665156208</v>
      </c>
      <c r="U37">
        <v>0.4204626338628516</v>
      </c>
      <c r="V37">
        <v>0.40592437863925102</v>
      </c>
      <c r="W37">
        <v>0.40279254451927909</v>
      </c>
      <c r="X37">
        <v>0.41865952098661108</v>
      </c>
      <c r="Y37">
        <v>0.40666300498769786</v>
      </c>
      <c r="Z37">
        <v>0.41609471157141026</v>
      </c>
      <c r="AA37">
        <v>0.40103393349603028</v>
      </c>
      <c r="CE37" t="s">
        <v>629</v>
      </c>
      <c r="CF37">
        <v>0.29107940872365401</v>
      </c>
      <c r="CG37">
        <v>0.29293107664753931</v>
      </c>
      <c r="CH37">
        <v>0.29175113768239819</v>
      </c>
      <c r="CI37">
        <v>0.28892582326691524</v>
      </c>
      <c r="CJ37">
        <v>0.29397024519559778</v>
      </c>
      <c r="CK37">
        <v>0.2972801638909523</v>
      </c>
      <c r="CL37">
        <v>0.30398822807501963</v>
      </c>
      <c r="CM37">
        <v>0.2705362665112942</v>
      </c>
      <c r="CN37">
        <v>0.22934024949953938</v>
      </c>
      <c r="CO37">
        <v>0.2528603429131871</v>
      </c>
      <c r="CP37">
        <v>0.33040569779559348</v>
      </c>
      <c r="CQ37">
        <v>0.35218883674775159</v>
      </c>
      <c r="CR37">
        <v>0.19056970409251039</v>
      </c>
      <c r="CS37">
        <v>0.17117998087025138</v>
      </c>
      <c r="CT37">
        <v>0.15000159781017308</v>
      </c>
      <c r="CU37">
        <v>0.1662627446881168</v>
      </c>
      <c r="CV37">
        <v>0.21156751465092508</v>
      </c>
      <c r="CW37">
        <v>0.22493460848067223</v>
      </c>
      <c r="CX37">
        <v>0.24614432288722207</v>
      </c>
      <c r="CY37">
        <v>0.2250814602243221</v>
      </c>
      <c r="CZ37">
        <v>0.21465385231995171</v>
      </c>
      <c r="DA37">
        <v>0.22473972357537336</v>
      </c>
      <c r="DB37">
        <v>0.27035987069384748</v>
      </c>
      <c r="DC37">
        <v>0.29076004821304702</v>
      </c>
      <c r="DE37" t="s">
        <v>630</v>
      </c>
      <c r="DF37" t="s">
        <v>111</v>
      </c>
      <c r="DG37" t="s">
        <v>112</v>
      </c>
      <c r="DH37">
        <v>0.18794401295535723</v>
      </c>
    </row>
    <row r="38" spans="2:112" x14ac:dyDescent="0.45">
      <c r="B38" t="s">
        <v>631</v>
      </c>
      <c r="C38" t="s">
        <v>107</v>
      </c>
      <c r="D38">
        <v>0.37812238271837106</v>
      </c>
      <c r="E38">
        <v>0.38344752366638107</v>
      </c>
      <c r="F38">
        <v>0.39983438691425938</v>
      </c>
      <c r="G38">
        <v>0.39473309844858562</v>
      </c>
      <c r="H38">
        <v>0.39086996484023917</v>
      </c>
      <c r="I38">
        <v>0.37749549462937693</v>
      </c>
      <c r="J38">
        <v>0.33314898974699947</v>
      </c>
      <c r="K38">
        <v>0.33971832170350436</v>
      </c>
      <c r="L38">
        <v>0.35249315097819339</v>
      </c>
      <c r="M38">
        <v>0.35364614293590019</v>
      </c>
      <c r="N38">
        <v>0.34163510250011364</v>
      </c>
      <c r="O38">
        <v>0.32887781045480474</v>
      </c>
      <c r="P38">
        <v>0.34778243229975347</v>
      </c>
      <c r="Q38">
        <v>0.31241149206466673</v>
      </c>
      <c r="R38">
        <v>0.32966967412515358</v>
      </c>
      <c r="S38">
        <v>0.313747628935236</v>
      </c>
      <c r="T38">
        <v>0.33946819240739262</v>
      </c>
      <c r="U38">
        <v>0.3594888603527438</v>
      </c>
      <c r="V38">
        <v>0.37928139294092383</v>
      </c>
      <c r="W38">
        <v>0.36820571658462214</v>
      </c>
      <c r="X38">
        <v>0.39217024660864386</v>
      </c>
      <c r="Y38">
        <v>0.42451967677384062</v>
      </c>
      <c r="Z38">
        <v>0.40585019490567614</v>
      </c>
      <c r="AA38">
        <v>0.39848398941559143</v>
      </c>
      <c r="CE38" t="s">
        <v>631</v>
      </c>
      <c r="CF38">
        <v>0.34740366629115527</v>
      </c>
      <c r="CG38">
        <v>0.32755746107657363</v>
      </c>
      <c r="CH38">
        <v>0.32146319527047135</v>
      </c>
      <c r="CI38">
        <v>0.31773803734634226</v>
      </c>
      <c r="CJ38">
        <v>0.32974508284359272</v>
      </c>
      <c r="CK38">
        <v>0.34140178780838509</v>
      </c>
      <c r="CL38">
        <v>0.38623042426334309</v>
      </c>
      <c r="CM38">
        <v>0.34330301200040125</v>
      </c>
      <c r="CN38">
        <v>0.30603739273970271</v>
      </c>
      <c r="CO38">
        <v>0.30028122848365912</v>
      </c>
      <c r="CP38">
        <v>0.34483614389281275</v>
      </c>
      <c r="CQ38">
        <v>0.38375974921579209</v>
      </c>
      <c r="CR38">
        <v>0.25739505283042663</v>
      </c>
      <c r="CS38">
        <v>0.24062746573548399</v>
      </c>
      <c r="CT38">
        <v>0.19500416872480222</v>
      </c>
      <c r="CU38">
        <v>0.21761687669196161</v>
      </c>
      <c r="CV38">
        <v>0.27255372097077629</v>
      </c>
      <c r="CW38">
        <v>0.27072850602062654</v>
      </c>
      <c r="CX38">
        <v>0.28186282318609091</v>
      </c>
      <c r="CY38">
        <v>0.27060653965697007</v>
      </c>
      <c r="CZ38">
        <v>0.25785437358737473</v>
      </c>
      <c r="DA38">
        <v>0.25037777113935866</v>
      </c>
      <c r="DB38">
        <v>0.28608838205829534</v>
      </c>
      <c r="DC38">
        <v>0.29861156888082563</v>
      </c>
      <c r="DE38" t="s">
        <v>632</v>
      </c>
      <c r="DF38" t="s">
        <v>111</v>
      </c>
      <c r="DG38" t="s">
        <v>112</v>
      </c>
      <c r="DH38">
        <v>0.24868070808277104</v>
      </c>
    </row>
    <row r="39" spans="2:112" x14ac:dyDescent="0.45">
      <c r="B39" t="s">
        <v>633</v>
      </c>
      <c r="C39" t="s">
        <v>107</v>
      </c>
      <c r="D39">
        <v>0.39977293702801958</v>
      </c>
      <c r="E39">
        <v>0.3919471139611001</v>
      </c>
      <c r="F39">
        <v>0.39955845200236817</v>
      </c>
      <c r="G39">
        <v>0.40609575192769048</v>
      </c>
      <c r="H39">
        <v>0.40483276898617448</v>
      </c>
      <c r="I39">
        <v>0.40018698258640584</v>
      </c>
      <c r="J39">
        <v>0.41447025293790635</v>
      </c>
      <c r="K39">
        <v>0.43489802080504147</v>
      </c>
      <c r="L39">
        <v>0.44908284765593864</v>
      </c>
      <c r="M39">
        <v>0.46427524229062433</v>
      </c>
      <c r="N39">
        <v>0.40879760303629331</v>
      </c>
      <c r="O39">
        <v>0.39865827768111484</v>
      </c>
      <c r="P39">
        <v>0.38981430248666854</v>
      </c>
      <c r="Q39">
        <v>0.39603516497106733</v>
      </c>
      <c r="R39">
        <v>0.40612717433831708</v>
      </c>
      <c r="S39">
        <v>0.38788093347315139</v>
      </c>
      <c r="T39">
        <v>0.41292465078271412</v>
      </c>
      <c r="U39">
        <v>0.42803656856797784</v>
      </c>
      <c r="V39">
        <v>0.42972006867339496</v>
      </c>
      <c r="W39">
        <v>0.42119406068445026</v>
      </c>
      <c r="X39">
        <v>0.44132040483027407</v>
      </c>
      <c r="Y39">
        <v>0.45363208463420868</v>
      </c>
      <c r="Z39">
        <v>0.42879349529722938</v>
      </c>
      <c r="AA39">
        <v>0.40313534143776708</v>
      </c>
      <c r="CE39" t="s">
        <v>633</v>
      </c>
      <c r="CF39">
        <v>0.25287126970039164</v>
      </c>
      <c r="CG39">
        <v>0.25684450134422365</v>
      </c>
      <c r="CH39">
        <v>0.25321087954731153</v>
      </c>
      <c r="CI39">
        <v>0.23245474747782793</v>
      </c>
      <c r="CJ39">
        <v>0.24592056483722194</v>
      </c>
      <c r="CK39">
        <v>0.25822314340388702</v>
      </c>
      <c r="CL39">
        <v>0.25820591213387267</v>
      </c>
      <c r="CM39">
        <v>0.24650919914100367</v>
      </c>
      <c r="CN39">
        <v>0.22017835213494966</v>
      </c>
      <c r="CO39">
        <v>0.22560137481290249</v>
      </c>
      <c r="CP39">
        <v>0.26388604278288513</v>
      </c>
      <c r="CQ39">
        <v>0.27872879982936177</v>
      </c>
      <c r="CR39">
        <v>0.14997650348581451</v>
      </c>
      <c r="CS39">
        <v>0.14757315789807698</v>
      </c>
      <c r="CT39">
        <v>0.12522792794311699</v>
      </c>
      <c r="CU39">
        <v>0.11266854308926186</v>
      </c>
      <c r="CV39">
        <v>0.15083523808410856</v>
      </c>
      <c r="CW39">
        <v>0.16758365951645793</v>
      </c>
      <c r="CX39">
        <v>0.22891499722646369</v>
      </c>
      <c r="CY39">
        <v>0.2242382621167249</v>
      </c>
      <c r="CZ39">
        <v>0.22523378946342396</v>
      </c>
      <c r="DA39">
        <v>0.21454334842855519</v>
      </c>
      <c r="DB39">
        <v>0.22095349310051915</v>
      </c>
      <c r="DC39">
        <v>0.23845216278412082</v>
      </c>
      <c r="DE39" t="s">
        <v>634</v>
      </c>
      <c r="DF39" t="s">
        <v>111</v>
      </c>
      <c r="DG39" t="s">
        <v>112</v>
      </c>
      <c r="DH39">
        <v>0.15939474991697811</v>
      </c>
    </row>
    <row r="40" spans="2:112" x14ac:dyDescent="0.45">
      <c r="B40" t="s">
        <v>635</v>
      </c>
      <c r="C40" t="s">
        <v>107</v>
      </c>
      <c r="D40">
        <v>0.45666934864906267</v>
      </c>
      <c r="E40">
        <v>0.44214161841488181</v>
      </c>
      <c r="F40">
        <v>0.45321094131673811</v>
      </c>
      <c r="G40">
        <v>0.47173171849817058</v>
      </c>
      <c r="H40">
        <v>0.43827362950155524</v>
      </c>
      <c r="I40">
        <v>0.43910158627945406</v>
      </c>
      <c r="J40">
        <v>0.37729506713431793</v>
      </c>
      <c r="K40">
        <v>0.39978065993716522</v>
      </c>
      <c r="L40">
        <v>0.40819939204291056</v>
      </c>
      <c r="M40">
        <v>0.39167942159235752</v>
      </c>
      <c r="N40">
        <v>0.35643654875921355</v>
      </c>
      <c r="O40">
        <v>0.34723284240519625</v>
      </c>
      <c r="P40">
        <v>0.44311024636737484</v>
      </c>
      <c r="Q40">
        <v>0.45893836210669842</v>
      </c>
      <c r="R40">
        <v>0.47033469013451307</v>
      </c>
      <c r="S40">
        <v>0.40446546863620308</v>
      </c>
      <c r="T40">
        <v>0.383379046487408</v>
      </c>
      <c r="U40">
        <v>0.42137444584557615</v>
      </c>
      <c r="V40">
        <v>0.42762455370158714</v>
      </c>
      <c r="W40">
        <v>0.44313439109591285</v>
      </c>
      <c r="X40">
        <v>0.46134810832017831</v>
      </c>
      <c r="Y40">
        <v>0.4749988480678442</v>
      </c>
      <c r="Z40">
        <v>0.43765584570359911</v>
      </c>
      <c r="AA40">
        <v>0.41847991573365029</v>
      </c>
      <c r="CE40" t="s">
        <v>635</v>
      </c>
      <c r="CF40">
        <v>0.28210669824841678</v>
      </c>
      <c r="CG40">
        <v>0.2900807701299733</v>
      </c>
      <c r="CH40">
        <v>0.28579577763080866</v>
      </c>
      <c r="CI40">
        <v>0.26331958384723009</v>
      </c>
      <c r="CJ40">
        <v>0.26652279526064082</v>
      </c>
      <c r="CK40">
        <v>0.27689445877648272</v>
      </c>
      <c r="CL40">
        <v>0.25429870221225309</v>
      </c>
      <c r="CM40">
        <v>0.27613806780319666</v>
      </c>
      <c r="CN40">
        <v>0.2921198193036541</v>
      </c>
      <c r="CO40">
        <v>0.301852625153057</v>
      </c>
      <c r="CP40">
        <v>0.31524647806571232</v>
      </c>
      <c r="CQ40">
        <v>0.30324376502810391</v>
      </c>
      <c r="CR40">
        <v>0.11163627257469534</v>
      </c>
      <c r="CS40">
        <v>9.9938284716750939E-2</v>
      </c>
      <c r="CT40">
        <v>7.4397335371753429E-2</v>
      </c>
      <c r="CU40">
        <v>8.5125299208597918E-2</v>
      </c>
      <c r="CV40">
        <v>0.14037491137547656</v>
      </c>
      <c r="CW40">
        <v>0.14648090434431726</v>
      </c>
      <c r="CX40">
        <v>0.26638599177862438</v>
      </c>
      <c r="CY40">
        <v>0.25388324959824665</v>
      </c>
      <c r="CZ40">
        <v>0.25322293363125631</v>
      </c>
      <c r="DA40">
        <v>0.26398186858207134</v>
      </c>
      <c r="DB40">
        <v>0.2785810203397861</v>
      </c>
      <c r="DC40">
        <v>0.28317956041764053</v>
      </c>
      <c r="DE40" t="s">
        <v>636</v>
      </c>
      <c r="DF40" t="s">
        <v>111</v>
      </c>
      <c r="DG40" t="s">
        <v>112</v>
      </c>
      <c r="DH40">
        <v>0.16427570187686255</v>
      </c>
    </row>
    <row r="41" spans="2:112" x14ac:dyDescent="0.45">
      <c r="B41" t="s">
        <v>637</v>
      </c>
      <c r="C41" t="s">
        <v>107</v>
      </c>
      <c r="D41">
        <v>0.40367274771022782</v>
      </c>
      <c r="E41">
        <v>0.4122138177580868</v>
      </c>
      <c r="F41">
        <v>0.44239161425428397</v>
      </c>
      <c r="G41">
        <v>0.44246080835719626</v>
      </c>
      <c r="H41">
        <v>0.41574902729763757</v>
      </c>
      <c r="I41">
        <v>0.39822813136202484</v>
      </c>
      <c r="J41">
        <v>0.32404204155379351</v>
      </c>
      <c r="K41">
        <v>0.34067943312090687</v>
      </c>
      <c r="L41">
        <v>0.35577699960006165</v>
      </c>
      <c r="M41">
        <v>0.35786905140428515</v>
      </c>
      <c r="N41">
        <v>0.32960029441523647</v>
      </c>
      <c r="O41">
        <v>0.31256410815657781</v>
      </c>
      <c r="P41">
        <v>0.44630518310051193</v>
      </c>
      <c r="Q41">
        <v>0.47132450014972044</v>
      </c>
      <c r="R41">
        <v>0.46067860152209894</v>
      </c>
      <c r="S41">
        <v>0.40364756476145158</v>
      </c>
      <c r="T41">
        <v>0.36380102061862529</v>
      </c>
      <c r="U41">
        <v>0.42082062056126257</v>
      </c>
      <c r="V41">
        <v>0.41378495095364981</v>
      </c>
      <c r="W41">
        <v>0.41506587730352618</v>
      </c>
      <c r="X41">
        <v>0.44724443374144773</v>
      </c>
      <c r="Y41">
        <v>0.43634650206277237</v>
      </c>
      <c r="Z41">
        <v>0.41662151584706725</v>
      </c>
      <c r="AA41">
        <v>0.40577756833593209</v>
      </c>
      <c r="CE41" t="s">
        <v>637</v>
      </c>
      <c r="CF41">
        <v>0.33005499958965551</v>
      </c>
      <c r="CG41">
        <v>0.31524763736610201</v>
      </c>
      <c r="CH41">
        <v>0.31252643381429884</v>
      </c>
      <c r="CI41">
        <v>0.30415707916559059</v>
      </c>
      <c r="CJ41">
        <v>0.3174644357558824</v>
      </c>
      <c r="CK41">
        <v>0.33303277102652185</v>
      </c>
      <c r="CL41">
        <v>0.35812698448008518</v>
      </c>
      <c r="CM41">
        <v>0.35793723532216642</v>
      </c>
      <c r="CN41">
        <v>0.36619924655313796</v>
      </c>
      <c r="CO41">
        <v>0.36574880537012255</v>
      </c>
      <c r="CP41">
        <v>0.39243577875658481</v>
      </c>
      <c r="CQ41">
        <v>0.40356564097564407</v>
      </c>
      <c r="CR41">
        <v>0.1341828949355707</v>
      </c>
      <c r="CS41">
        <v>0.11250327718634898</v>
      </c>
      <c r="CT41">
        <v>8.7656726434973062E-2</v>
      </c>
      <c r="CU41">
        <v>0.10614744240325638</v>
      </c>
      <c r="CV41">
        <v>0.15432362040278252</v>
      </c>
      <c r="CW41">
        <v>0.15970987036409759</v>
      </c>
      <c r="CX41">
        <v>0.30609251559525025</v>
      </c>
      <c r="CY41">
        <v>0.28709751458067551</v>
      </c>
      <c r="CZ41">
        <v>0.28255537418612947</v>
      </c>
      <c r="DA41">
        <v>0.29485957837757659</v>
      </c>
      <c r="DB41">
        <v>0.31244672126577544</v>
      </c>
      <c r="DC41">
        <v>0.32028806080411221</v>
      </c>
      <c r="DE41" t="s">
        <v>638</v>
      </c>
      <c r="DF41" t="s">
        <v>111</v>
      </c>
      <c r="DG41" t="s">
        <v>112</v>
      </c>
      <c r="DH41">
        <v>0.17213936658845569</v>
      </c>
    </row>
    <row r="42" spans="2:112" x14ac:dyDescent="0.45">
      <c r="B42" t="s">
        <v>639</v>
      </c>
      <c r="C42" t="s">
        <v>107</v>
      </c>
      <c r="D42">
        <v>0.44417836660166665</v>
      </c>
      <c r="E42">
        <v>0.44658513961842727</v>
      </c>
      <c r="F42">
        <v>0.45716342699177709</v>
      </c>
      <c r="G42">
        <v>0.46789994123138973</v>
      </c>
      <c r="H42">
        <v>0.4783370054276691</v>
      </c>
      <c r="I42">
        <v>0.47192517702623987</v>
      </c>
      <c r="J42">
        <v>0.48624393640532537</v>
      </c>
      <c r="K42">
        <v>0.46516015971552876</v>
      </c>
      <c r="L42">
        <v>0.43495568937319129</v>
      </c>
      <c r="M42">
        <v>0.41915778931596992</v>
      </c>
      <c r="N42">
        <v>0.44479576011506133</v>
      </c>
      <c r="O42">
        <v>0.48211702212748925</v>
      </c>
      <c r="P42">
        <v>0.51708496792262326</v>
      </c>
      <c r="Q42">
        <v>0.54486453548929681</v>
      </c>
      <c r="R42">
        <v>0.53941657564225798</v>
      </c>
      <c r="S42">
        <v>0.49049892080882718</v>
      </c>
      <c r="T42">
        <v>0.4055817860143382</v>
      </c>
      <c r="U42">
        <v>0.38844102765711624</v>
      </c>
      <c r="V42">
        <v>0.43340698980379316</v>
      </c>
      <c r="W42">
        <v>0.42190721373868145</v>
      </c>
      <c r="X42">
        <v>0.43108613287469266</v>
      </c>
      <c r="Y42">
        <v>0.43618916915218925</v>
      </c>
      <c r="Z42">
        <v>0.42793786917492455</v>
      </c>
      <c r="AA42">
        <v>0.42916092099704289</v>
      </c>
      <c r="CE42" t="s">
        <v>639</v>
      </c>
      <c r="CF42">
        <v>0.2926080761933425</v>
      </c>
      <c r="CG42">
        <v>0.30049385317127875</v>
      </c>
      <c r="CH42">
        <v>0.30335267504729574</v>
      </c>
      <c r="CI42">
        <v>0.28301487681546722</v>
      </c>
      <c r="CJ42">
        <v>0.28063633544733801</v>
      </c>
      <c r="CK42">
        <v>0.29248333607871224</v>
      </c>
      <c r="CL42">
        <v>0.26682544194655849</v>
      </c>
      <c r="CM42">
        <v>0.26560086736037158</v>
      </c>
      <c r="CN42">
        <v>0.28288356803306269</v>
      </c>
      <c r="CO42">
        <v>0.2915816216115904</v>
      </c>
      <c r="CP42">
        <v>0.29635625725290521</v>
      </c>
      <c r="CQ42">
        <v>0.28749979604185544</v>
      </c>
      <c r="CR42">
        <v>8.0352382351002352E-2</v>
      </c>
      <c r="CS42">
        <v>0.11034793042475978</v>
      </c>
      <c r="CT42">
        <v>0.10863184541301189</v>
      </c>
      <c r="CU42">
        <v>9.7078327935748873E-2</v>
      </c>
      <c r="CV42">
        <v>7.8521691455050169E-2</v>
      </c>
      <c r="CW42">
        <v>6.385864711565678E-2</v>
      </c>
      <c r="CX42">
        <v>0.30513154936043019</v>
      </c>
      <c r="CY42">
        <v>0.28863105802565869</v>
      </c>
      <c r="CZ42">
        <v>0.29487916926834812</v>
      </c>
      <c r="DA42">
        <v>0.30309331810452222</v>
      </c>
      <c r="DB42">
        <v>0.31782851114542654</v>
      </c>
      <c r="DC42">
        <v>0.31701983883672957</v>
      </c>
      <c r="DE42" t="s">
        <v>640</v>
      </c>
      <c r="DF42" t="s">
        <v>111</v>
      </c>
      <c r="DG42" t="s">
        <v>112</v>
      </c>
      <c r="DH42">
        <v>0.12519271483113809</v>
      </c>
    </row>
    <row r="43" spans="2:112" x14ac:dyDescent="0.45">
      <c r="B43" t="s">
        <v>641</v>
      </c>
      <c r="C43" t="s">
        <v>107</v>
      </c>
      <c r="D43">
        <v>0.47095626335673096</v>
      </c>
      <c r="E43">
        <v>0.44303433131417369</v>
      </c>
      <c r="F43">
        <v>0.43048418195434551</v>
      </c>
      <c r="G43">
        <v>0.46966135890355165</v>
      </c>
      <c r="H43">
        <v>0.47776295204169245</v>
      </c>
      <c r="I43">
        <v>0.47792754786665465</v>
      </c>
      <c r="J43">
        <v>0.40418956520442073</v>
      </c>
      <c r="K43">
        <v>0.39776903783015616</v>
      </c>
      <c r="L43">
        <v>0.39967038630070967</v>
      </c>
      <c r="M43">
        <v>0.40260671267674503</v>
      </c>
      <c r="N43">
        <v>0.38374336241126455</v>
      </c>
      <c r="O43">
        <v>0.3864614887886475</v>
      </c>
      <c r="P43">
        <v>0.45050448862084486</v>
      </c>
      <c r="Q43">
        <v>0.46937890792593312</v>
      </c>
      <c r="R43">
        <v>0.49777017346676045</v>
      </c>
      <c r="S43">
        <v>0.46873073448507929</v>
      </c>
      <c r="T43">
        <v>0.41862316645343284</v>
      </c>
      <c r="U43">
        <v>0.41972024755529724</v>
      </c>
      <c r="V43">
        <v>0.426012809202581</v>
      </c>
      <c r="W43">
        <v>0.42089724046994437</v>
      </c>
      <c r="X43">
        <v>0.42195243038855029</v>
      </c>
      <c r="Y43">
        <v>0.4412643014877573</v>
      </c>
      <c r="Z43">
        <v>0.43542012184857615</v>
      </c>
      <c r="AA43">
        <v>0.41757615525946434</v>
      </c>
      <c r="CE43" t="s">
        <v>641</v>
      </c>
      <c r="CF43">
        <v>0.23158210181955521</v>
      </c>
      <c r="CG43">
        <v>0.24425408212021413</v>
      </c>
      <c r="CH43">
        <v>0.23966803702692085</v>
      </c>
      <c r="CI43">
        <v>0.23523047577648848</v>
      </c>
      <c r="CJ43">
        <v>0.23838010238534402</v>
      </c>
      <c r="CK43">
        <v>0.2396851524340694</v>
      </c>
      <c r="CL43">
        <v>0.28347740077954425</v>
      </c>
      <c r="CM43">
        <v>0.3081896395503006</v>
      </c>
      <c r="CN43">
        <v>0.30546939145182084</v>
      </c>
      <c r="CO43">
        <v>0.29751744348161174</v>
      </c>
      <c r="CP43">
        <v>0.29048514054684904</v>
      </c>
      <c r="CQ43">
        <v>0.2951455917292618</v>
      </c>
      <c r="CR43">
        <v>0.10110389825238769</v>
      </c>
      <c r="CS43">
        <v>9.2813239024749014E-2</v>
      </c>
      <c r="CT43">
        <v>7.4953635287342155E-2</v>
      </c>
      <c r="CU43">
        <v>8.3185627376471227E-2</v>
      </c>
      <c r="CV43">
        <v>0.12426733997266033</v>
      </c>
      <c r="CW43">
        <v>0.12454999068293618</v>
      </c>
      <c r="CX43">
        <v>0.30306566837370741</v>
      </c>
      <c r="CY43">
        <v>0.28660975486460732</v>
      </c>
      <c r="CZ43">
        <v>0.27382401641951981</v>
      </c>
      <c r="DA43">
        <v>0.26621947082196473</v>
      </c>
      <c r="DB43">
        <v>0.28433923201350964</v>
      </c>
      <c r="DC43">
        <v>0.30656908837555424</v>
      </c>
      <c r="DE43" t="s">
        <v>642</v>
      </c>
      <c r="DF43" t="s">
        <v>111</v>
      </c>
      <c r="DG43" t="s">
        <v>112</v>
      </c>
      <c r="DH43">
        <v>0.15982192057532738</v>
      </c>
    </row>
    <row r="44" spans="2:112" x14ac:dyDescent="0.45">
      <c r="B44" t="s">
        <v>643</v>
      </c>
      <c r="C44" t="s">
        <v>107</v>
      </c>
      <c r="D44">
        <v>0.4255759527018928</v>
      </c>
      <c r="E44">
        <v>0.40297732764875249</v>
      </c>
      <c r="F44">
        <v>0.42366438607987494</v>
      </c>
      <c r="G44">
        <v>0.41141913712243594</v>
      </c>
      <c r="H44">
        <v>0.38661306882847452</v>
      </c>
      <c r="I44">
        <v>0.41583484223086342</v>
      </c>
      <c r="J44">
        <v>0.35831619392782244</v>
      </c>
      <c r="K44">
        <v>0.30254193173609789</v>
      </c>
      <c r="L44">
        <v>0.34630972797520515</v>
      </c>
      <c r="M44">
        <v>0.36467224974755064</v>
      </c>
      <c r="N44">
        <v>0.35173083651893289</v>
      </c>
      <c r="O44">
        <v>0.35207256501841444</v>
      </c>
      <c r="P44">
        <v>0.47053636684173705</v>
      </c>
      <c r="Q44">
        <v>0.49319171842829107</v>
      </c>
      <c r="R44">
        <v>0.50764601219278938</v>
      </c>
      <c r="S44">
        <v>0.45516686258545724</v>
      </c>
      <c r="T44">
        <v>0.40821011593890527</v>
      </c>
      <c r="U44">
        <v>0.40591503656302058</v>
      </c>
      <c r="V44">
        <v>0.47860847172061344</v>
      </c>
      <c r="W44">
        <v>0.45187568380163123</v>
      </c>
      <c r="X44">
        <v>0.4569529243788587</v>
      </c>
      <c r="Y44">
        <v>0.44174274413190534</v>
      </c>
      <c r="Z44">
        <v>0.44076121725407486</v>
      </c>
      <c r="AA44">
        <v>0.48598942889981839</v>
      </c>
      <c r="CE44" t="s">
        <v>643</v>
      </c>
      <c r="CF44">
        <v>0.3425066631261991</v>
      </c>
      <c r="CG44">
        <v>0.37728845929816901</v>
      </c>
      <c r="CH44">
        <v>0.39923926537840093</v>
      </c>
      <c r="CI44">
        <v>0.40682771782066951</v>
      </c>
      <c r="CJ44">
        <v>0.38591290809689577</v>
      </c>
      <c r="CK44">
        <v>0.34921440178256652</v>
      </c>
      <c r="CL44">
        <v>0.43004571973382172</v>
      </c>
      <c r="CM44">
        <v>0.41894038980139903</v>
      </c>
      <c r="CN44">
        <v>0.38775767555939294</v>
      </c>
      <c r="CO44">
        <v>0.41606075313703583</v>
      </c>
      <c r="CP44">
        <v>0.44848377589407173</v>
      </c>
      <c r="CQ44">
        <v>0.43913056215632845</v>
      </c>
      <c r="CR44">
        <v>0.10008525430878981</v>
      </c>
      <c r="CS44">
        <v>0.10694873471253993</v>
      </c>
      <c r="CT44">
        <v>0.10433100702189352</v>
      </c>
      <c r="CU44">
        <v>0.12468482508603562</v>
      </c>
      <c r="CV44">
        <v>0.14004793359446649</v>
      </c>
      <c r="CW44">
        <v>0.12309701504763336</v>
      </c>
      <c r="CX44">
        <v>0.23099436496076817</v>
      </c>
      <c r="CY44">
        <v>0.24365554284503821</v>
      </c>
      <c r="CZ44">
        <v>0.23719999520541671</v>
      </c>
      <c r="DA44">
        <v>0.24789822601442257</v>
      </c>
      <c r="DB44">
        <v>0.25499643000441041</v>
      </c>
      <c r="DC44">
        <v>0.23379214082908822</v>
      </c>
      <c r="DE44" t="s">
        <v>644</v>
      </c>
      <c r="DF44" t="s">
        <v>111</v>
      </c>
      <c r="DG44" t="s">
        <v>112</v>
      </c>
      <c r="DH44">
        <v>0.25666043063608346</v>
      </c>
    </row>
    <row r="45" spans="2:112" x14ac:dyDescent="0.45">
      <c r="B45" t="s">
        <v>645</v>
      </c>
      <c r="C45" t="s">
        <v>107</v>
      </c>
      <c r="D45">
        <v>0.41933873411412748</v>
      </c>
      <c r="E45">
        <v>0.41648879321814758</v>
      </c>
      <c r="F45">
        <v>0.43284835980893149</v>
      </c>
      <c r="G45">
        <v>0.43967596119036001</v>
      </c>
      <c r="H45">
        <v>0.43279285198801526</v>
      </c>
      <c r="I45">
        <v>0.42571092917314163</v>
      </c>
      <c r="J45">
        <v>0.38331412978035045</v>
      </c>
      <c r="K45">
        <v>0.37875741922707129</v>
      </c>
      <c r="L45">
        <v>0.3976800720037873</v>
      </c>
      <c r="M45">
        <v>0.40370164507233341</v>
      </c>
      <c r="N45">
        <v>0.38468480904759711</v>
      </c>
      <c r="O45">
        <v>0.38001940859304628</v>
      </c>
      <c r="P45">
        <v>0.51570963139641113</v>
      </c>
      <c r="Q45">
        <v>0.51813373911175109</v>
      </c>
      <c r="R45">
        <v>0.53962970961164425</v>
      </c>
      <c r="S45">
        <v>0.46913470238076732</v>
      </c>
      <c r="T45">
        <v>0.43513404911612658</v>
      </c>
      <c r="U45">
        <v>0.44431528459507713</v>
      </c>
      <c r="V45">
        <v>0.51240921109363047</v>
      </c>
      <c r="W45">
        <v>0.54363723196339342</v>
      </c>
      <c r="X45">
        <v>0.53966801349828086</v>
      </c>
      <c r="Y45">
        <v>0.54413351949481903</v>
      </c>
      <c r="Z45">
        <v>0.50398014007015646</v>
      </c>
      <c r="AA45">
        <v>0.48539118265946329</v>
      </c>
      <c r="CE45" t="s">
        <v>645</v>
      </c>
      <c r="CF45">
        <v>0.29657238434674427</v>
      </c>
      <c r="CG45">
        <v>0.2766700009400534</v>
      </c>
      <c r="CH45">
        <v>0.27380569598659626</v>
      </c>
      <c r="CI45">
        <v>0.30252882958999416</v>
      </c>
      <c r="CJ45">
        <v>0.31467780328317696</v>
      </c>
      <c r="CK45">
        <v>0.30594219257292871</v>
      </c>
      <c r="CL45">
        <v>0.37616193748962562</v>
      </c>
      <c r="CM45">
        <v>0.36730405227982849</v>
      </c>
      <c r="CN45">
        <v>0.34777032327264162</v>
      </c>
      <c r="CO45">
        <v>0.34069009380578691</v>
      </c>
      <c r="CP45">
        <v>0.36741819907796314</v>
      </c>
      <c r="CQ45">
        <v>0.38498471778788218</v>
      </c>
      <c r="CR45">
        <v>6.8713302887347491E-2</v>
      </c>
      <c r="CS45">
        <v>6.6321280617883463E-2</v>
      </c>
      <c r="CT45">
        <v>6.295513327393161E-2</v>
      </c>
      <c r="CU45">
        <v>7.758341871982749E-2</v>
      </c>
      <c r="CV45">
        <v>0.10951884264627226</v>
      </c>
      <c r="CW45">
        <v>0.10419804006605242</v>
      </c>
      <c r="CX45">
        <v>0.16709319517352256</v>
      </c>
      <c r="CY45">
        <v>0.17668530451307315</v>
      </c>
      <c r="CZ45">
        <v>0.17322868833141591</v>
      </c>
      <c r="DA45">
        <v>0.18284166298813814</v>
      </c>
      <c r="DB45">
        <v>0.19499909955729403</v>
      </c>
      <c r="DC45">
        <v>0.18532464309705221</v>
      </c>
      <c r="DE45" t="s">
        <v>646</v>
      </c>
      <c r="DF45" t="s">
        <v>111</v>
      </c>
      <c r="DG45" t="s">
        <v>112</v>
      </c>
      <c r="DH45">
        <v>0.21473220099159951</v>
      </c>
    </row>
    <row r="46" spans="2:112" x14ac:dyDescent="0.45">
      <c r="B46" t="s">
        <v>647</v>
      </c>
      <c r="C46" t="s">
        <v>107</v>
      </c>
      <c r="D46">
        <v>0.45008671355531576</v>
      </c>
      <c r="E46">
        <v>0.47322844867171371</v>
      </c>
      <c r="F46">
        <v>0.51399809160892251</v>
      </c>
      <c r="G46">
        <v>0.50380043236550309</v>
      </c>
      <c r="H46">
        <v>0.47142010300102327</v>
      </c>
      <c r="I46">
        <v>0.43674408061736841</v>
      </c>
      <c r="J46">
        <v>0.39659222847711134</v>
      </c>
      <c r="K46">
        <v>0.39733843555818071</v>
      </c>
      <c r="L46">
        <v>0.41226821589774676</v>
      </c>
      <c r="M46">
        <v>0.38678168998757922</v>
      </c>
      <c r="N46">
        <v>0.37875510134114965</v>
      </c>
      <c r="O46">
        <v>0.38907107224305082</v>
      </c>
      <c r="P46">
        <v>0.43634481034743905</v>
      </c>
      <c r="Q46">
        <v>0.45873380701666083</v>
      </c>
      <c r="R46">
        <v>0.50213864935641817</v>
      </c>
      <c r="S46">
        <v>0.42988654248561803</v>
      </c>
      <c r="T46">
        <v>0.39371322301763445</v>
      </c>
      <c r="U46">
        <v>0.43140883253960022</v>
      </c>
      <c r="V46">
        <v>0.46179300321327954</v>
      </c>
      <c r="W46">
        <v>0.44736393295264781</v>
      </c>
      <c r="X46">
        <v>0.43723115428321646</v>
      </c>
      <c r="Y46">
        <v>0.44661718527972227</v>
      </c>
      <c r="Z46">
        <v>0.45243958794715627</v>
      </c>
      <c r="AA46">
        <v>0.47192134820842663</v>
      </c>
      <c r="CE46" t="s">
        <v>647</v>
      </c>
      <c r="CF46">
        <v>0.22792788017124832</v>
      </c>
      <c r="CG46">
        <v>0.20422205458258322</v>
      </c>
      <c r="CH46">
        <v>0.22822637210922236</v>
      </c>
      <c r="CI46">
        <v>0.25755580918705595</v>
      </c>
      <c r="CJ46">
        <v>0.26780431310066477</v>
      </c>
      <c r="CK46">
        <v>0.26003087127733493</v>
      </c>
      <c r="CL46">
        <v>0.32280368045461982</v>
      </c>
      <c r="CM46">
        <v>0.30877804027507738</v>
      </c>
      <c r="CN46">
        <v>0.33078275488684966</v>
      </c>
      <c r="CO46">
        <v>0.3295859487246241</v>
      </c>
      <c r="CP46">
        <v>0.35104334858998276</v>
      </c>
      <c r="CQ46">
        <v>0.35637589572547718</v>
      </c>
      <c r="CR46">
        <v>8.3034152740800074E-2</v>
      </c>
      <c r="CS46">
        <v>5.6100099357284508E-2</v>
      </c>
      <c r="CT46">
        <v>6.0299365026914131E-2</v>
      </c>
      <c r="CU46">
        <v>0.10305770219959039</v>
      </c>
      <c r="CV46">
        <v>0.14764761081245159</v>
      </c>
      <c r="CW46">
        <v>0.13610906534096134</v>
      </c>
      <c r="CX46">
        <v>0.1985059423980734</v>
      </c>
      <c r="CY46">
        <v>0.19071572378758359</v>
      </c>
      <c r="CZ46">
        <v>0.19934124393138511</v>
      </c>
      <c r="DA46">
        <v>0.20810818562077296</v>
      </c>
      <c r="DB46">
        <v>0.21796452234827282</v>
      </c>
      <c r="DC46">
        <v>0.21795120005681318</v>
      </c>
      <c r="DE46" t="s">
        <v>648</v>
      </c>
      <c r="DF46" t="s">
        <v>111</v>
      </c>
      <c r="DG46" t="s">
        <v>112</v>
      </c>
      <c r="DH46">
        <v>0.21914218702446067</v>
      </c>
    </row>
    <row r="47" spans="2:112" x14ac:dyDescent="0.45">
      <c r="B47" t="s">
        <v>649</v>
      </c>
      <c r="C47" t="s">
        <v>107</v>
      </c>
      <c r="D47">
        <v>0.44499978055035966</v>
      </c>
      <c r="E47">
        <v>0.47405637248301435</v>
      </c>
      <c r="F47">
        <v>0.49022380893516759</v>
      </c>
      <c r="G47">
        <v>0.48927736552671475</v>
      </c>
      <c r="H47">
        <v>0.47480025942387533</v>
      </c>
      <c r="I47">
        <v>0.46099807427033684</v>
      </c>
      <c r="J47">
        <v>0.40389286966285576</v>
      </c>
      <c r="K47">
        <v>0.41439855989579133</v>
      </c>
      <c r="L47">
        <v>0.42641245521076104</v>
      </c>
      <c r="M47">
        <v>0.41509680662766646</v>
      </c>
      <c r="N47">
        <v>0.39626357344010238</v>
      </c>
      <c r="O47">
        <v>0.38551246922671645</v>
      </c>
      <c r="P47">
        <v>0.44006164443339074</v>
      </c>
      <c r="Q47">
        <v>0.45213317290817873</v>
      </c>
      <c r="R47">
        <v>0.51278179200004148</v>
      </c>
      <c r="S47">
        <v>0.41021203729152289</v>
      </c>
      <c r="T47">
        <v>0.35857555761818827</v>
      </c>
      <c r="U47">
        <v>0.39551210656559377</v>
      </c>
      <c r="V47">
        <v>0.50648196160360359</v>
      </c>
      <c r="W47">
        <v>0.49180394717080173</v>
      </c>
      <c r="X47">
        <v>0.4791400048881852</v>
      </c>
      <c r="Y47">
        <v>0.50042767514161435</v>
      </c>
      <c r="Z47">
        <v>0.48645772856979175</v>
      </c>
      <c r="AA47">
        <v>0.4888544766451231</v>
      </c>
      <c r="CE47" t="s">
        <v>649</v>
      </c>
      <c r="CF47">
        <v>0.26220957248919546</v>
      </c>
      <c r="CG47">
        <v>0.22941680971651329</v>
      </c>
      <c r="CH47">
        <v>0.2390450402850216</v>
      </c>
      <c r="CI47">
        <v>0.27334914040980335</v>
      </c>
      <c r="CJ47">
        <v>0.27757577975653885</v>
      </c>
      <c r="CK47">
        <v>0.26627786749486465</v>
      </c>
      <c r="CL47">
        <v>0.33729935621495838</v>
      </c>
      <c r="CM47">
        <v>0.30829102203290148</v>
      </c>
      <c r="CN47">
        <v>0.30294074013379624</v>
      </c>
      <c r="CO47">
        <v>0.30902513509445206</v>
      </c>
      <c r="CP47">
        <v>0.34587709294727026</v>
      </c>
      <c r="CQ47">
        <v>0.36823179596884364</v>
      </c>
      <c r="CR47">
        <v>6.9117036211371066E-2</v>
      </c>
      <c r="CS47">
        <v>5.2081632618087591E-2</v>
      </c>
      <c r="CT47">
        <v>4.6565875383916565E-2</v>
      </c>
      <c r="CU47">
        <v>6.8983933814569021E-2</v>
      </c>
      <c r="CV47">
        <v>0.13411386901942671</v>
      </c>
      <c r="CW47">
        <v>0.14160839401166506</v>
      </c>
      <c r="CX47">
        <v>0.20441261162415117</v>
      </c>
      <c r="CY47">
        <v>0.1782820919238321</v>
      </c>
      <c r="CZ47">
        <v>0.16268352583116971</v>
      </c>
      <c r="DA47">
        <v>0.16596103630657535</v>
      </c>
      <c r="DB47">
        <v>0.1936711609052176</v>
      </c>
      <c r="DC47">
        <v>0.2083685828463675</v>
      </c>
      <c r="DE47" t="s">
        <v>650</v>
      </c>
      <c r="DF47" t="s">
        <v>111</v>
      </c>
      <c r="DG47" t="s">
        <v>112</v>
      </c>
      <c r="DH47">
        <v>0.20267514438948298</v>
      </c>
    </row>
    <row r="48" spans="2:112" x14ac:dyDescent="0.45">
      <c r="B48" t="s">
        <v>651</v>
      </c>
      <c r="C48" t="s">
        <v>107</v>
      </c>
      <c r="D48">
        <v>0.33805617258212783</v>
      </c>
      <c r="E48">
        <v>0.32927761967552283</v>
      </c>
      <c r="F48">
        <v>0.33096501175845672</v>
      </c>
      <c r="G48">
        <v>0.31832984966361494</v>
      </c>
      <c r="H48">
        <v>0.29774782029760399</v>
      </c>
      <c r="I48">
        <v>0.28960962459321143</v>
      </c>
      <c r="J48">
        <v>0.32511524976253081</v>
      </c>
      <c r="K48">
        <v>0.30118567822909692</v>
      </c>
      <c r="L48">
        <v>0.30009032667377156</v>
      </c>
      <c r="M48">
        <v>0.28179371777128248</v>
      </c>
      <c r="N48">
        <v>0.27346777804828726</v>
      </c>
      <c r="O48">
        <v>0.27507423685605564</v>
      </c>
      <c r="P48">
        <v>0.51874523575735554</v>
      </c>
      <c r="Q48">
        <v>0.51323300703235319</v>
      </c>
      <c r="R48">
        <v>0.49376802316879831</v>
      </c>
      <c r="S48">
        <v>0.46852529387414954</v>
      </c>
      <c r="T48">
        <v>0.44445328047028865</v>
      </c>
      <c r="U48">
        <v>0.46964591987236276</v>
      </c>
      <c r="V48">
        <v>0.46006459055898502</v>
      </c>
      <c r="W48">
        <v>0.47642243120560895</v>
      </c>
      <c r="X48">
        <v>0.46176635673121003</v>
      </c>
      <c r="Y48">
        <v>0.47201588962011787</v>
      </c>
      <c r="Z48">
        <v>0.47306427634309062</v>
      </c>
      <c r="AA48">
        <v>0.46389554210363132</v>
      </c>
      <c r="CE48" t="s">
        <v>651</v>
      </c>
      <c r="CF48">
        <v>0.44849258461204405</v>
      </c>
      <c r="CG48">
        <v>0.42763484096031706</v>
      </c>
      <c r="CH48">
        <v>0.42717435354609634</v>
      </c>
      <c r="CI48">
        <v>0.45462540153836245</v>
      </c>
      <c r="CJ48">
        <v>0.48590363287341981</v>
      </c>
      <c r="CK48">
        <v>0.49291316540947783</v>
      </c>
      <c r="CL48">
        <v>0.44703039577452963</v>
      </c>
      <c r="CM48">
        <v>0.47336664199169609</v>
      </c>
      <c r="CN48">
        <v>0.47714885369094995</v>
      </c>
      <c r="CO48">
        <v>0.50216615829244582</v>
      </c>
      <c r="CP48">
        <v>0.52098071991124051</v>
      </c>
      <c r="CQ48">
        <v>0.50673104935783253</v>
      </c>
      <c r="CR48">
        <v>0.15437894976822833</v>
      </c>
      <c r="CS48">
        <v>0.13216307786966358</v>
      </c>
      <c r="CT48">
        <v>0.12600671817557735</v>
      </c>
      <c r="CU48">
        <v>0.16143149069162821</v>
      </c>
      <c r="CV48">
        <v>0.21198255131650612</v>
      </c>
      <c r="CW48">
        <v>0.20839069798222221</v>
      </c>
      <c r="CX48">
        <v>0.22779603924489916</v>
      </c>
      <c r="CY48">
        <v>0.22038526276237902</v>
      </c>
      <c r="CZ48">
        <v>0.24016553133338631</v>
      </c>
      <c r="DA48">
        <v>0.25715339106563789</v>
      </c>
      <c r="DB48">
        <v>0.27049808991653251</v>
      </c>
      <c r="DC48">
        <v>0.26632125337248685</v>
      </c>
      <c r="DE48" t="s">
        <v>652</v>
      </c>
      <c r="DF48" t="s">
        <v>111</v>
      </c>
      <c r="DG48" t="s">
        <v>112</v>
      </c>
      <c r="DH48">
        <v>0.37533568910863585</v>
      </c>
    </row>
    <row r="49" spans="2:112" x14ac:dyDescent="0.45">
      <c r="B49" t="s">
        <v>653</v>
      </c>
      <c r="C49" t="s">
        <v>107</v>
      </c>
      <c r="D49">
        <v>0.31039401722502763</v>
      </c>
      <c r="E49">
        <v>0.28443184311657388</v>
      </c>
      <c r="F49">
        <v>0.27851014440634186</v>
      </c>
      <c r="G49">
        <v>0.27866740760546521</v>
      </c>
      <c r="H49">
        <v>0.28358231673502093</v>
      </c>
      <c r="I49">
        <v>0.29363702518542262</v>
      </c>
      <c r="J49">
        <v>0.30702840118665514</v>
      </c>
      <c r="K49">
        <v>0.29685132090621758</v>
      </c>
      <c r="L49">
        <v>0.3119664047919416</v>
      </c>
      <c r="M49">
        <v>0.3357666157280435</v>
      </c>
      <c r="N49">
        <v>0.34387837573017643</v>
      </c>
      <c r="O49">
        <v>0.3204661017444545</v>
      </c>
      <c r="P49">
        <v>0.46326721998796505</v>
      </c>
      <c r="Q49">
        <v>0.47051222043412472</v>
      </c>
      <c r="R49">
        <v>0.46932824432731535</v>
      </c>
      <c r="S49">
        <v>0.47984486243227759</v>
      </c>
      <c r="T49">
        <v>0.47124164961379472</v>
      </c>
      <c r="U49">
        <v>0.4491740841356428</v>
      </c>
      <c r="V49">
        <v>0.39868636569995974</v>
      </c>
      <c r="W49">
        <v>0.42320739684545361</v>
      </c>
      <c r="X49">
        <v>0.42427729618508947</v>
      </c>
      <c r="Y49">
        <v>0.43218885645737742</v>
      </c>
      <c r="Z49">
        <v>0.43802941521877814</v>
      </c>
      <c r="AA49">
        <v>0.41190971996428327</v>
      </c>
      <c r="CE49" t="s">
        <v>653</v>
      </c>
      <c r="CF49">
        <v>0.50676548355877249</v>
      </c>
      <c r="CG49">
        <v>0.51217420799278068</v>
      </c>
      <c r="CH49">
        <v>0.5254444338572688</v>
      </c>
      <c r="CI49">
        <v>0.53954079362634488</v>
      </c>
      <c r="CJ49">
        <v>0.54827720762350129</v>
      </c>
      <c r="CK49">
        <v>0.54394727083014527</v>
      </c>
      <c r="CL49">
        <v>0.50463734579253694</v>
      </c>
      <c r="CM49">
        <v>0.49872268865957836</v>
      </c>
      <c r="CN49">
        <v>0.47800854306831192</v>
      </c>
      <c r="CO49">
        <v>0.46940065606303416</v>
      </c>
      <c r="CP49">
        <v>0.46248194943826954</v>
      </c>
      <c r="CQ49">
        <v>0.48484447455611657</v>
      </c>
      <c r="CR49">
        <v>0.25128628093952693</v>
      </c>
      <c r="CS49">
        <v>0.23524785107160057</v>
      </c>
      <c r="CT49">
        <v>0.2121797385202103</v>
      </c>
      <c r="CU49">
        <v>0.21940816838264648</v>
      </c>
      <c r="CV49">
        <v>0.25456537076515084</v>
      </c>
      <c r="CW49">
        <v>0.27162930394938295</v>
      </c>
      <c r="CX49">
        <v>0.31447131299811559</v>
      </c>
      <c r="CY49">
        <v>0.29872308688304849</v>
      </c>
      <c r="CZ49">
        <v>0.29313997828856503</v>
      </c>
      <c r="DA49">
        <v>0.27373767063024762</v>
      </c>
      <c r="DB49">
        <v>0.27301587863966148</v>
      </c>
      <c r="DC49">
        <v>0.3055284729608515</v>
      </c>
      <c r="DE49" t="s">
        <v>654</v>
      </c>
      <c r="DF49" t="s">
        <v>111</v>
      </c>
      <c r="DG49" t="s">
        <v>112</v>
      </c>
      <c r="DH49">
        <v>0.32199971063512794</v>
      </c>
    </row>
    <row r="50" spans="2:112" x14ac:dyDescent="0.45">
      <c r="B50" t="s">
        <v>655</v>
      </c>
      <c r="C50" t="s">
        <v>107</v>
      </c>
      <c r="D50">
        <v>0.36980370274228974</v>
      </c>
      <c r="E50">
        <v>0.34355395324934357</v>
      </c>
      <c r="F50">
        <v>0.33590935201477912</v>
      </c>
      <c r="G50">
        <v>0.33488801707931437</v>
      </c>
      <c r="H50">
        <v>0.29806764262949242</v>
      </c>
      <c r="I50">
        <v>0.30508081956195227</v>
      </c>
      <c r="J50">
        <v>0.33995272343489308</v>
      </c>
      <c r="K50">
        <v>0.34948010043112715</v>
      </c>
      <c r="L50">
        <v>0.3525852036961386</v>
      </c>
      <c r="M50">
        <v>0.33835574127973</v>
      </c>
      <c r="N50">
        <v>0.32050182169086089</v>
      </c>
      <c r="O50">
        <v>0.33658072326752708</v>
      </c>
      <c r="P50">
        <v>0.42230074824226155</v>
      </c>
      <c r="Q50">
        <v>0.44355583126241771</v>
      </c>
      <c r="R50">
        <v>0.50591893118135478</v>
      </c>
      <c r="S50">
        <v>0.43684778281944059</v>
      </c>
      <c r="T50">
        <v>0.38723467385687216</v>
      </c>
      <c r="U50">
        <v>0.39800176515034685</v>
      </c>
      <c r="V50">
        <v>0.43590305705503146</v>
      </c>
      <c r="W50">
        <v>0.44064622287588578</v>
      </c>
      <c r="X50">
        <v>0.42905205845177591</v>
      </c>
      <c r="Y50">
        <v>0.43020299336827933</v>
      </c>
      <c r="Z50">
        <v>0.42097396776470164</v>
      </c>
      <c r="AA50">
        <v>0.42407604793054132</v>
      </c>
      <c r="CE50" t="s">
        <v>655</v>
      </c>
      <c r="CF50">
        <v>0.38947624669381231</v>
      </c>
      <c r="CG50">
        <v>0.39846785501984866</v>
      </c>
      <c r="CH50">
        <v>0.42041687024833801</v>
      </c>
      <c r="CI50">
        <v>0.44633176606579777</v>
      </c>
      <c r="CJ50">
        <v>0.46114199771090858</v>
      </c>
      <c r="CK50">
        <v>0.44611008225374726</v>
      </c>
      <c r="CL50">
        <v>0.44279602287599112</v>
      </c>
      <c r="CM50">
        <v>0.43873492084294008</v>
      </c>
      <c r="CN50">
        <v>0.43413653102246141</v>
      </c>
      <c r="CO50">
        <v>0.45613289662671586</v>
      </c>
      <c r="CP50">
        <v>0.4682790209587242</v>
      </c>
      <c r="CQ50">
        <v>0.44727612923275206</v>
      </c>
      <c r="CR50">
        <v>0.19313388070564966</v>
      </c>
      <c r="CS50">
        <v>0.14982127283123339</v>
      </c>
      <c r="CT50">
        <v>0.15341578578213008</v>
      </c>
      <c r="CU50">
        <v>0.22942077698948013</v>
      </c>
      <c r="CV50">
        <v>0.30864276785986072</v>
      </c>
      <c r="CW50">
        <v>0.28522056990690453</v>
      </c>
      <c r="CX50">
        <v>0.25607599964970323</v>
      </c>
      <c r="CY50">
        <v>0.25565093731097199</v>
      </c>
      <c r="CZ50">
        <v>0.26458444350753396</v>
      </c>
      <c r="DA50">
        <v>0.2746360388848762</v>
      </c>
      <c r="DB50">
        <v>0.27823551851051503</v>
      </c>
      <c r="DC50">
        <v>0.26346361154522158</v>
      </c>
      <c r="DE50" t="s">
        <v>656</v>
      </c>
      <c r="DF50" t="s">
        <v>111</v>
      </c>
      <c r="DG50" t="s">
        <v>112</v>
      </c>
      <c r="DH50">
        <v>0.37299449005325042</v>
      </c>
    </row>
    <row r="51" spans="2:112" x14ac:dyDescent="0.45">
      <c r="B51" t="s">
        <v>657</v>
      </c>
      <c r="C51" t="s">
        <v>107</v>
      </c>
      <c r="D51">
        <v>0.33200774843575015</v>
      </c>
      <c r="E51">
        <v>0.31576466928797747</v>
      </c>
      <c r="F51">
        <v>0.32188454382830406</v>
      </c>
      <c r="G51">
        <v>0.32202976388363719</v>
      </c>
      <c r="H51">
        <v>0.32205338337996048</v>
      </c>
      <c r="I51">
        <v>0.33679061643251468</v>
      </c>
      <c r="J51">
        <v>0.27281368068954731</v>
      </c>
      <c r="K51">
        <v>0.27710746162584321</v>
      </c>
      <c r="L51">
        <v>0.31422468684662913</v>
      </c>
      <c r="M51">
        <v>0.32767152427562696</v>
      </c>
      <c r="N51">
        <v>0.3129535599299369</v>
      </c>
      <c r="O51">
        <v>0.30010792641492551</v>
      </c>
      <c r="P51">
        <v>0.40595523029588354</v>
      </c>
      <c r="Q51">
        <v>0.42049773136515062</v>
      </c>
      <c r="R51">
        <v>0.4273072738050025</v>
      </c>
      <c r="S51">
        <v>0.4283533475600913</v>
      </c>
      <c r="T51">
        <v>0.38929734420605883</v>
      </c>
      <c r="U51">
        <v>0.38154056237234335</v>
      </c>
      <c r="V51">
        <v>0.37184992468127087</v>
      </c>
      <c r="W51">
        <v>0.37033813308860225</v>
      </c>
      <c r="X51">
        <v>0.37547526653557411</v>
      </c>
      <c r="Y51">
        <v>0.36869013961074093</v>
      </c>
      <c r="Z51">
        <v>0.38390620429720063</v>
      </c>
      <c r="AA51">
        <v>0.38275852318722153</v>
      </c>
      <c r="CE51" t="s">
        <v>657</v>
      </c>
      <c r="CF51">
        <v>0.4659669440942556</v>
      </c>
      <c r="CG51">
        <v>0.4959149523702473</v>
      </c>
      <c r="CH51">
        <v>0.49891090560994844</v>
      </c>
      <c r="CI51">
        <v>0.50076727013124744</v>
      </c>
      <c r="CJ51">
        <v>0.48321721894080366</v>
      </c>
      <c r="CK51">
        <v>0.46444624473055746</v>
      </c>
      <c r="CL51">
        <v>0.53382641793283203</v>
      </c>
      <c r="CM51">
        <v>0.50489895903500204</v>
      </c>
      <c r="CN51">
        <v>0.47938122157843915</v>
      </c>
      <c r="CO51">
        <v>0.4808912950251415</v>
      </c>
      <c r="CP51">
        <v>0.49367365545816022</v>
      </c>
      <c r="CQ51">
        <v>0.51309755902187704</v>
      </c>
      <c r="CR51">
        <v>0.2162684636970045</v>
      </c>
      <c r="CS51">
        <v>0.19478893468281211</v>
      </c>
      <c r="CT51">
        <v>0.19205978842933244</v>
      </c>
      <c r="CU51">
        <v>0.20158650315135995</v>
      </c>
      <c r="CV51">
        <v>0.23118883434741275</v>
      </c>
      <c r="CW51">
        <v>0.24330455545270377</v>
      </c>
      <c r="CX51">
        <v>0.36785926774481453</v>
      </c>
      <c r="CY51">
        <v>0.35647483653922402</v>
      </c>
      <c r="CZ51">
        <v>0.33093503333569085</v>
      </c>
      <c r="DA51">
        <v>0.33827194134904109</v>
      </c>
      <c r="DB51">
        <v>0.34268908118021429</v>
      </c>
      <c r="DC51">
        <v>0.35439371882181253</v>
      </c>
      <c r="DE51" t="s">
        <v>658</v>
      </c>
      <c r="DF51" t="s">
        <v>111</v>
      </c>
      <c r="DG51" t="s">
        <v>112</v>
      </c>
      <c r="DH51">
        <v>0.27237357063212514</v>
      </c>
    </row>
    <row r="52" spans="2:112" x14ac:dyDescent="0.45">
      <c r="B52" t="s">
        <v>659</v>
      </c>
      <c r="C52" t="s">
        <v>107</v>
      </c>
      <c r="D52">
        <v>0.32717918211562252</v>
      </c>
      <c r="E52">
        <v>0.32746561196876084</v>
      </c>
      <c r="F52">
        <v>0.33889599426401051</v>
      </c>
      <c r="G52">
        <v>0.33774660952649066</v>
      </c>
      <c r="H52">
        <v>0.33438465639147985</v>
      </c>
      <c r="I52">
        <v>0.33533950029269494</v>
      </c>
      <c r="J52">
        <v>0.28305574248154308</v>
      </c>
      <c r="K52">
        <v>0.31763542191004823</v>
      </c>
      <c r="L52">
        <v>0.32716179765708348</v>
      </c>
      <c r="M52">
        <v>0.28938373348349122</v>
      </c>
      <c r="N52">
        <v>0.25980323654442322</v>
      </c>
      <c r="O52">
        <v>0.26535582773491212</v>
      </c>
      <c r="P52">
        <v>0.424451199701669</v>
      </c>
      <c r="Q52">
        <v>0.45001892556968737</v>
      </c>
      <c r="R52">
        <v>0.45374737247051783</v>
      </c>
      <c r="S52">
        <v>0.43100159396499954</v>
      </c>
      <c r="T52">
        <v>0.39134801183864365</v>
      </c>
      <c r="U52">
        <v>0.38452774312193228</v>
      </c>
      <c r="V52">
        <v>0.36762805491229261</v>
      </c>
      <c r="W52">
        <v>0.37086431793715458</v>
      </c>
      <c r="X52">
        <v>0.39298131640992073</v>
      </c>
      <c r="Y52">
        <v>0.38907632448982149</v>
      </c>
      <c r="Z52">
        <v>0.37361828657150881</v>
      </c>
      <c r="AA52">
        <v>0.37496547089767951</v>
      </c>
      <c r="CE52" t="s">
        <v>659</v>
      </c>
      <c r="CF52">
        <v>0.46015075172132264</v>
      </c>
      <c r="CG52">
        <v>0.4656263932157938</v>
      </c>
      <c r="CH52">
        <v>0.44877655489039581</v>
      </c>
      <c r="CI52">
        <v>0.45818586667925904</v>
      </c>
      <c r="CJ52">
        <v>0.45655495756815767</v>
      </c>
      <c r="CK52">
        <v>0.44548584067382863</v>
      </c>
      <c r="CL52">
        <v>0.47325831824968434</v>
      </c>
      <c r="CM52">
        <v>0.44358487922260559</v>
      </c>
      <c r="CN52">
        <v>0.43131404913110605</v>
      </c>
      <c r="CO52">
        <v>0.46851320530735691</v>
      </c>
      <c r="CP52">
        <v>0.51296952891739023</v>
      </c>
      <c r="CQ52">
        <v>0.50225448842768339</v>
      </c>
      <c r="CR52">
        <v>0.22911211386930483</v>
      </c>
      <c r="CS52">
        <v>0.21686738965139588</v>
      </c>
      <c r="CT52">
        <v>0.20252335830409268</v>
      </c>
      <c r="CU52">
        <v>0.2257535830268623</v>
      </c>
      <c r="CV52">
        <v>0.27719074947224132</v>
      </c>
      <c r="CW52">
        <v>0.28255917287291898</v>
      </c>
      <c r="CX52">
        <v>0.34448414985440523</v>
      </c>
      <c r="CY52">
        <v>0.32266936566240495</v>
      </c>
      <c r="CZ52">
        <v>0.31011937356172536</v>
      </c>
      <c r="DA52">
        <v>0.31974295117816776</v>
      </c>
      <c r="DB52">
        <v>0.33907575102878451</v>
      </c>
      <c r="DC52">
        <v>0.34791628094504279</v>
      </c>
      <c r="DE52" t="s">
        <v>660</v>
      </c>
      <c r="DF52" t="s">
        <v>111</v>
      </c>
      <c r="DG52" t="s">
        <v>112</v>
      </c>
      <c r="DH52">
        <v>0.22844807950471591</v>
      </c>
    </row>
    <row r="53" spans="2:112" x14ac:dyDescent="0.45">
      <c r="B53" t="s">
        <v>661</v>
      </c>
      <c r="C53" t="s">
        <v>107</v>
      </c>
      <c r="D53">
        <v>0.40521569980883049</v>
      </c>
      <c r="E53">
        <v>0.39851828080175494</v>
      </c>
      <c r="F53">
        <v>0.42251021473609701</v>
      </c>
      <c r="G53">
        <v>0.42577427135793339</v>
      </c>
      <c r="H53">
        <v>0.43006238965602905</v>
      </c>
      <c r="I53">
        <v>0.42806190961240742</v>
      </c>
      <c r="J53">
        <v>0.32909161740670589</v>
      </c>
      <c r="K53">
        <v>0.30854072631027091</v>
      </c>
      <c r="L53">
        <v>0.33052593741807362</v>
      </c>
      <c r="M53">
        <v>0.3404290515945988</v>
      </c>
      <c r="N53">
        <v>0.32902518868276071</v>
      </c>
      <c r="O53">
        <v>0.33359582754046918</v>
      </c>
      <c r="P53">
        <v>0.46298324592147472</v>
      </c>
      <c r="Q53">
        <v>0.46717548944824377</v>
      </c>
      <c r="R53">
        <v>0.47563977222420945</v>
      </c>
      <c r="S53">
        <v>0.45925492286747222</v>
      </c>
      <c r="T53">
        <v>0.45558392222128768</v>
      </c>
      <c r="U53">
        <v>0.46968199767196245</v>
      </c>
      <c r="V53">
        <v>0.38829912581246923</v>
      </c>
      <c r="W53">
        <v>0.41038139968903453</v>
      </c>
      <c r="X53">
        <v>0.41257720970597822</v>
      </c>
      <c r="Y53">
        <v>0.40324686040313901</v>
      </c>
      <c r="Z53">
        <v>0.39706017959049739</v>
      </c>
      <c r="AA53">
        <v>0.39417526003074244</v>
      </c>
      <c r="CE53" t="s">
        <v>661</v>
      </c>
      <c r="CF53">
        <v>0.35042137242258831</v>
      </c>
      <c r="CG53">
        <v>0.34825729965245172</v>
      </c>
      <c r="CH53">
        <v>0.34017722880603884</v>
      </c>
      <c r="CI53">
        <v>0.34428789803281351</v>
      </c>
      <c r="CJ53">
        <v>0.34604814856857385</v>
      </c>
      <c r="CK53">
        <v>0.35291348469143063</v>
      </c>
      <c r="CL53">
        <v>0.40639262168406198</v>
      </c>
      <c r="CM53">
        <v>0.39798788957429942</v>
      </c>
      <c r="CN53">
        <v>0.37918690258189386</v>
      </c>
      <c r="CO53">
        <v>0.38375919942918535</v>
      </c>
      <c r="CP53">
        <v>0.41525823040582821</v>
      </c>
      <c r="CQ53">
        <v>0.42473161613972155</v>
      </c>
      <c r="CR53">
        <v>0.17000137584480637</v>
      </c>
      <c r="CS53">
        <v>0.14917213981062893</v>
      </c>
      <c r="CT53">
        <v>0.13077308308692689</v>
      </c>
      <c r="CU53">
        <v>0.13646253099312344</v>
      </c>
      <c r="CV53">
        <v>0.16381888113539811</v>
      </c>
      <c r="CW53">
        <v>0.16669300138316054</v>
      </c>
      <c r="CX53">
        <v>0.34939738155207856</v>
      </c>
      <c r="CY53">
        <v>0.33673384072614981</v>
      </c>
      <c r="CZ53">
        <v>0.33856158458505636</v>
      </c>
      <c r="DA53">
        <v>0.35607197473455848</v>
      </c>
      <c r="DB53">
        <v>0.36507653316955957</v>
      </c>
      <c r="DC53">
        <v>0.36089635972972745</v>
      </c>
      <c r="DE53" t="s">
        <v>662</v>
      </c>
      <c r="DF53" t="s">
        <v>111</v>
      </c>
      <c r="DG53" t="s">
        <v>112</v>
      </c>
      <c r="DH53">
        <v>0.22383461094704932</v>
      </c>
    </row>
    <row r="54" spans="2:112" x14ac:dyDescent="0.45">
      <c r="B54" t="s">
        <v>663</v>
      </c>
      <c r="C54" t="s">
        <v>107</v>
      </c>
      <c r="D54">
        <v>0.37997216419829327</v>
      </c>
      <c r="E54">
        <v>0.37856753478957295</v>
      </c>
      <c r="F54">
        <v>0.38212262541221004</v>
      </c>
      <c r="G54">
        <v>0.38143816304276279</v>
      </c>
      <c r="H54">
        <v>0.39666638303412899</v>
      </c>
      <c r="I54">
        <v>0.40059231318257144</v>
      </c>
      <c r="J54">
        <v>0.35414695864030321</v>
      </c>
      <c r="K54">
        <v>0.36856503234076632</v>
      </c>
      <c r="L54">
        <v>0.34842945679325454</v>
      </c>
      <c r="M54">
        <v>0.33954159108004067</v>
      </c>
      <c r="N54">
        <v>0.32314378069973948</v>
      </c>
      <c r="O54">
        <v>0.32385799343152299</v>
      </c>
      <c r="P54">
        <v>0.44879747837543227</v>
      </c>
      <c r="Q54">
        <v>0.49737255074838815</v>
      </c>
      <c r="R54">
        <v>0.51189348995908757</v>
      </c>
      <c r="S54">
        <v>0.39793410130305507</v>
      </c>
      <c r="T54">
        <v>0.31227189179613646</v>
      </c>
      <c r="U54">
        <v>0.34826088525557231</v>
      </c>
      <c r="V54">
        <v>0.4118445789546753</v>
      </c>
      <c r="W54">
        <v>0.4432953270388158</v>
      </c>
      <c r="X54">
        <v>0.43709215884065217</v>
      </c>
      <c r="Y54">
        <v>0.41841011310628418</v>
      </c>
      <c r="Z54">
        <v>0.37235419872338149</v>
      </c>
      <c r="AA54">
        <v>0.36713757605905722</v>
      </c>
      <c r="CE54" t="s">
        <v>663</v>
      </c>
      <c r="CF54">
        <v>0.37003529508176503</v>
      </c>
      <c r="CG54">
        <v>0.36139457565081001</v>
      </c>
      <c r="CH54">
        <v>0.37183639581853689</v>
      </c>
      <c r="CI54">
        <v>0.37793297110674867</v>
      </c>
      <c r="CJ54">
        <v>0.37907127594995393</v>
      </c>
      <c r="CK54">
        <v>0.37815850023626296</v>
      </c>
      <c r="CL54">
        <v>0.36924721642872316</v>
      </c>
      <c r="CM54">
        <v>0.37226692116721521</v>
      </c>
      <c r="CN54">
        <v>0.37607796735413657</v>
      </c>
      <c r="CO54">
        <v>0.39807818033712078</v>
      </c>
      <c r="CP54">
        <v>0.41211899449991707</v>
      </c>
      <c r="CQ54">
        <v>0.39634055870921236</v>
      </c>
      <c r="CR54">
        <v>0.13434283171745842</v>
      </c>
      <c r="CS54">
        <v>0.12176380086782605</v>
      </c>
      <c r="CT54">
        <v>0.11081889003694367</v>
      </c>
      <c r="CU54">
        <v>0.14382860679230669</v>
      </c>
      <c r="CV54">
        <v>0.19774421379012763</v>
      </c>
      <c r="CW54">
        <v>0.17730914718777463</v>
      </c>
      <c r="CX54">
        <v>0.2939042136212589</v>
      </c>
      <c r="CY54">
        <v>0.29330641530452428</v>
      </c>
      <c r="CZ54">
        <v>0.28652251018209374</v>
      </c>
      <c r="DA54">
        <v>0.28988215448354188</v>
      </c>
      <c r="DB54">
        <v>0.29933787838148357</v>
      </c>
      <c r="DC54">
        <v>0.28897490227587158</v>
      </c>
      <c r="DE54" t="s">
        <v>625</v>
      </c>
      <c r="DF54" t="s">
        <v>111</v>
      </c>
      <c r="DG54" t="s">
        <v>112</v>
      </c>
      <c r="DH54">
        <v>0.33964285774730707</v>
      </c>
    </row>
    <row r="55" spans="2:112" x14ac:dyDescent="0.45">
      <c r="B55" t="s">
        <v>626</v>
      </c>
      <c r="C55" t="s">
        <v>107</v>
      </c>
      <c r="D55">
        <v>0.50227601145991041</v>
      </c>
      <c r="E55">
        <v>0.49097373019380952</v>
      </c>
      <c r="F55">
        <v>0.50265360231029765</v>
      </c>
      <c r="G55">
        <v>0.52348690647963547</v>
      </c>
      <c r="H55">
        <v>0.53969038402082292</v>
      </c>
      <c r="I55">
        <v>0.53781304517327833</v>
      </c>
      <c r="J55">
        <v>0.41673366165145986</v>
      </c>
      <c r="K55">
        <v>0.46546302782398469</v>
      </c>
      <c r="L55">
        <v>0.52706849028638048</v>
      </c>
      <c r="M55">
        <v>0.45663330974000965</v>
      </c>
      <c r="N55">
        <v>0.42171673374639562</v>
      </c>
      <c r="O55">
        <v>0.44584395160711554</v>
      </c>
      <c r="P55">
        <v>0.44051791039231936</v>
      </c>
      <c r="Q55">
        <v>0.45953385814390263</v>
      </c>
      <c r="R55">
        <v>0.5171522744232917</v>
      </c>
      <c r="S55">
        <v>0.39119274622586547</v>
      </c>
      <c r="T55">
        <v>0.34666973311472371</v>
      </c>
      <c r="U55">
        <v>0.39271717435116293</v>
      </c>
      <c r="V55">
        <v>0.45710282031323074</v>
      </c>
      <c r="W55">
        <v>0.43912492151187138</v>
      </c>
      <c r="X55">
        <v>0.47514163123117586</v>
      </c>
      <c r="Y55">
        <v>0.47621649488010881</v>
      </c>
      <c r="Z55">
        <v>0.47961590598897369</v>
      </c>
      <c r="AA55">
        <v>0.48402135115090872</v>
      </c>
      <c r="CE55" t="s">
        <v>626</v>
      </c>
      <c r="CF55">
        <v>0.13404700383896548</v>
      </c>
      <c r="CG55">
        <v>0.12810728355365625</v>
      </c>
      <c r="CH55">
        <v>0.11048345415185852</v>
      </c>
      <c r="CI55">
        <v>0.10867905769505411</v>
      </c>
      <c r="CJ55">
        <v>0.1126864320598075</v>
      </c>
      <c r="CK55">
        <v>0.12301955360523931</v>
      </c>
      <c r="CL55">
        <v>0.11205915403725682</v>
      </c>
      <c r="CM55">
        <v>0.11698201541823261</v>
      </c>
      <c r="CN55">
        <v>9.8735358467217552E-2</v>
      </c>
      <c r="CO55">
        <v>0.10089847692276437</v>
      </c>
      <c r="CP55">
        <v>0.10760256912461842</v>
      </c>
      <c r="CQ55">
        <v>0.10445025681780015</v>
      </c>
      <c r="CR55">
        <v>6.9726604681394286E-2</v>
      </c>
      <c r="CS55">
        <v>7.4911377282084524E-2</v>
      </c>
      <c r="CT55">
        <v>5.267148186538323E-2</v>
      </c>
      <c r="CU55">
        <v>5.480803198911649E-2</v>
      </c>
      <c r="CV55">
        <v>6.1706929368420108E-2</v>
      </c>
      <c r="CW55">
        <v>4.4535370508206586E-2</v>
      </c>
      <c r="CX55">
        <v>0.14069572528395738</v>
      </c>
      <c r="CY55">
        <v>0.13692408212684282</v>
      </c>
      <c r="CZ55">
        <v>0.11998751031749913</v>
      </c>
      <c r="DA55">
        <v>0.12143532574618308</v>
      </c>
      <c r="DB55">
        <v>0.12182290302468968</v>
      </c>
      <c r="DC55">
        <v>0.12419027002752453</v>
      </c>
      <c r="DE55" t="s">
        <v>627</v>
      </c>
      <c r="DF55" t="s">
        <v>111</v>
      </c>
      <c r="DG55" t="s">
        <v>112</v>
      </c>
      <c r="DH55">
        <v>0.38967913507086205</v>
      </c>
    </row>
    <row r="56" spans="2:112" x14ac:dyDescent="0.45">
      <c r="B56" t="s">
        <v>628</v>
      </c>
      <c r="C56" t="s">
        <v>107</v>
      </c>
      <c r="D56">
        <v>0.39292123204522117</v>
      </c>
      <c r="E56">
        <v>0.43771405256742363</v>
      </c>
      <c r="F56">
        <v>0.50313187453098129</v>
      </c>
      <c r="G56">
        <v>0.54491079887189153</v>
      </c>
      <c r="H56">
        <v>0.52451791584277285</v>
      </c>
      <c r="I56">
        <v>0.47664814070455602</v>
      </c>
      <c r="J56">
        <v>0.39115854584577703</v>
      </c>
      <c r="K56">
        <v>0.46627575764119028</v>
      </c>
      <c r="L56">
        <v>0.52321495736228352</v>
      </c>
      <c r="M56">
        <v>0.44743524563774018</v>
      </c>
      <c r="N56">
        <v>0.40645862450928799</v>
      </c>
      <c r="O56">
        <v>0.346237424268795</v>
      </c>
      <c r="P56">
        <v>0.36451795688402266</v>
      </c>
      <c r="Q56">
        <v>0.41022814858339174</v>
      </c>
      <c r="R56">
        <v>0.49745494696975251</v>
      </c>
      <c r="S56">
        <v>0.45302424563470761</v>
      </c>
      <c r="T56">
        <v>0.416698483457349</v>
      </c>
      <c r="U56">
        <v>0.33823736588965553</v>
      </c>
      <c r="V56">
        <v>0.37947978989801073</v>
      </c>
      <c r="W56">
        <v>0.38684712087271472</v>
      </c>
      <c r="X56">
        <v>0.46047682428913095</v>
      </c>
      <c r="Y56">
        <v>0.47382659550887096</v>
      </c>
      <c r="Z56">
        <v>0.43541659278607037</v>
      </c>
      <c r="AA56">
        <v>0.34194668154569818</v>
      </c>
      <c r="CE56" t="s">
        <v>628</v>
      </c>
      <c r="CF56">
        <v>0.12762765164913503</v>
      </c>
      <c r="CG56">
        <v>0.12358870664342306</v>
      </c>
      <c r="CH56">
        <v>0.10435811350400535</v>
      </c>
      <c r="CI56">
        <v>9.7930232690754002E-2</v>
      </c>
      <c r="CJ56">
        <v>0.10957856496197972</v>
      </c>
      <c r="CK56">
        <v>0.12899884668865017</v>
      </c>
      <c r="CL56">
        <v>0.15867331270475524</v>
      </c>
      <c r="CM56">
        <v>0.13360037187433202</v>
      </c>
      <c r="CN56">
        <v>9.9711872322041359E-2</v>
      </c>
      <c r="CO56">
        <v>0.1082857354838439</v>
      </c>
      <c r="CP56">
        <v>0.13939540479990378</v>
      </c>
      <c r="CQ56">
        <v>0.16433361547429989</v>
      </c>
      <c r="CR56">
        <v>9.4524685273616099E-2</v>
      </c>
      <c r="CS56">
        <v>6.7008284465239557E-2</v>
      </c>
      <c r="CT56">
        <v>4.9652550547196236E-2</v>
      </c>
      <c r="CU56">
        <v>5.2501061940225434E-2</v>
      </c>
      <c r="CV56">
        <v>5.8236706081835725E-2</v>
      </c>
      <c r="CW56">
        <v>7.5094128369560906E-2</v>
      </c>
      <c r="CX56">
        <v>0.14509686858838697</v>
      </c>
      <c r="CY56">
        <v>0.13331232039674576</v>
      </c>
      <c r="CZ56">
        <v>9.8087519201095236E-2</v>
      </c>
      <c r="DA56">
        <v>9.3685668270374042E-2</v>
      </c>
      <c r="DB56">
        <v>0.11710888166127678</v>
      </c>
      <c r="DC56">
        <v>0.15680175162604282</v>
      </c>
      <c r="DE56" t="s">
        <v>629</v>
      </c>
      <c r="DF56" t="s">
        <v>111</v>
      </c>
      <c r="DG56" t="s">
        <v>112</v>
      </c>
      <c r="DH56">
        <v>0.349387703991135</v>
      </c>
    </row>
    <row r="57" spans="2:112" x14ac:dyDescent="0.45">
      <c r="B57" t="s">
        <v>630</v>
      </c>
      <c r="C57" t="s">
        <v>107</v>
      </c>
      <c r="D57">
        <v>0.45403628666041612</v>
      </c>
      <c r="E57">
        <v>0.47147988124126572</v>
      </c>
      <c r="F57">
        <v>0.51458871003259499</v>
      </c>
      <c r="G57">
        <v>0.52966490541045508</v>
      </c>
      <c r="H57">
        <v>0.49228419208933832</v>
      </c>
      <c r="I57">
        <v>0.4756328827437859</v>
      </c>
      <c r="J57">
        <v>0.3976273050383981</v>
      </c>
      <c r="K57">
        <v>0.40921340962965452</v>
      </c>
      <c r="L57">
        <v>0.43059676071064046</v>
      </c>
      <c r="M57">
        <v>0.39643340666636695</v>
      </c>
      <c r="N57">
        <v>0.37013563772890623</v>
      </c>
      <c r="O57">
        <v>0.39760572041559961</v>
      </c>
      <c r="P57">
        <v>0.46541082760369046</v>
      </c>
      <c r="Q57">
        <v>0.47572362253764</v>
      </c>
      <c r="R57">
        <v>0.48304941074782709</v>
      </c>
      <c r="S57">
        <v>0.33044520287646145</v>
      </c>
      <c r="T57">
        <v>0.25469479016588747</v>
      </c>
      <c r="U57">
        <v>0.36736838713018405</v>
      </c>
      <c r="V57">
        <v>0.44657631832789707</v>
      </c>
      <c r="W57">
        <v>0.43000545676358454</v>
      </c>
      <c r="X57">
        <v>0.48983970944126309</v>
      </c>
      <c r="Y57">
        <v>0.46113720150113213</v>
      </c>
      <c r="Z57">
        <v>0.38851126084895149</v>
      </c>
      <c r="AA57">
        <v>0.42145365053901429</v>
      </c>
      <c r="CE57" t="s">
        <v>630</v>
      </c>
      <c r="CF57">
        <v>0.13433159657052182</v>
      </c>
      <c r="CG57">
        <v>0.13516618366062666</v>
      </c>
      <c r="CH57">
        <v>0.13647861501082048</v>
      </c>
      <c r="CI57">
        <v>0.14912509478967276</v>
      </c>
      <c r="CJ57">
        <v>0.15209896251602087</v>
      </c>
      <c r="CK57">
        <v>0.14821310113674097</v>
      </c>
      <c r="CL57">
        <v>0.13174634533635704</v>
      </c>
      <c r="CM57">
        <v>0.1265823338442737</v>
      </c>
      <c r="CN57">
        <v>0.15386651054294539</v>
      </c>
      <c r="CO57">
        <v>0.18854815107684808</v>
      </c>
      <c r="CP57">
        <v>0.19558593481515907</v>
      </c>
      <c r="CQ57">
        <v>0.16945115739701166</v>
      </c>
      <c r="CR57">
        <v>3.8245615249937734E-2</v>
      </c>
      <c r="CS57">
        <v>3.1140606658662882E-2</v>
      </c>
      <c r="CT57">
        <v>3.0116046939050945E-2</v>
      </c>
      <c r="CU57">
        <v>6.8743638947395533E-2</v>
      </c>
      <c r="CV57">
        <v>9.9407920455328563E-2</v>
      </c>
      <c r="CW57">
        <v>6.6340501180984043E-2</v>
      </c>
      <c r="CX57">
        <v>0.10228408652395385</v>
      </c>
      <c r="CY57">
        <v>9.443314310610651E-2</v>
      </c>
      <c r="CZ57">
        <v>9.6353893738067922E-2</v>
      </c>
      <c r="DA57">
        <v>0.12617253747966806</v>
      </c>
      <c r="DB57">
        <v>0.13781122999518164</v>
      </c>
      <c r="DC57">
        <v>0.12652104755966084</v>
      </c>
      <c r="DE57" t="s">
        <v>631</v>
      </c>
      <c r="DF57" t="s">
        <v>111</v>
      </c>
      <c r="DG57" t="s">
        <v>112</v>
      </c>
      <c r="DH57">
        <v>0.38114406812009927</v>
      </c>
    </row>
    <row r="58" spans="2:112" x14ac:dyDescent="0.45">
      <c r="B58" t="s">
        <v>632</v>
      </c>
      <c r="C58" t="s">
        <v>107</v>
      </c>
      <c r="D58">
        <v>0.44390280368922563</v>
      </c>
      <c r="E58">
        <v>0.42502599332286833</v>
      </c>
      <c r="F58">
        <v>0.44533944337352543</v>
      </c>
      <c r="G58">
        <v>0.47485813400035204</v>
      </c>
      <c r="H58">
        <v>0.46040987174737585</v>
      </c>
      <c r="I58">
        <v>0.45436467172683204</v>
      </c>
      <c r="J58">
        <v>0.40371717189340423</v>
      </c>
      <c r="K58">
        <v>0.42370753887987034</v>
      </c>
      <c r="L58">
        <v>0.44033286696966367</v>
      </c>
      <c r="M58">
        <v>0.39510227984976665</v>
      </c>
      <c r="N58">
        <v>0.34894498592935019</v>
      </c>
      <c r="O58">
        <v>0.38189091451641582</v>
      </c>
      <c r="P58">
        <v>0.47384495463711068</v>
      </c>
      <c r="Q58">
        <v>0.51107312470475863</v>
      </c>
      <c r="R58">
        <v>0.49079757291325193</v>
      </c>
      <c r="S58">
        <v>0.280766224080994</v>
      </c>
      <c r="T58">
        <v>0.24106672061898932</v>
      </c>
      <c r="U58">
        <v>0.3349100735231833</v>
      </c>
      <c r="V58">
        <v>0.43337218441679481</v>
      </c>
      <c r="W58">
        <v>0.42894419727071659</v>
      </c>
      <c r="X58">
        <v>0.44884066383682469</v>
      </c>
      <c r="Y58">
        <v>0.45104856880778371</v>
      </c>
      <c r="Z58">
        <v>0.41261222493660882</v>
      </c>
      <c r="AA58">
        <v>0.41794656158352378</v>
      </c>
      <c r="CE58" t="s">
        <v>632</v>
      </c>
      <c r="CF58">
        <v>0.23246190329788227</v>
      </c>
      <c r="CG58">
        <v>0.25153444950579829</v>
      </c>
      <c r="CH58">
        <v>0.24283644977356542</v>
      </c>
      <c r="CI58">
        <v>0.22621685807524328</v>
      </c>
      <c r="CJ58">
        <v>0.2226856064892834</v>
      </c>
      <c r="CK58">
        <v>0.22000986818302806</v>
      </c>
      <c r="CL58">
        <v>0.18340799509262742</v>
      </c>
      <c r="CM58">
        <v>0.21118698926269203</v>
      </c>
      <c r="CN58">
        <v>0.22520232720589814</v>
      </c>
      <c r="CO58">
        <v>0.23154494168558801</v>
      </c>
      <c r="CP58">
        <v>0.23434382565260065</v>
      </c>
      <c r="CQ58">
        <v>0.21252990608616373</v>
      </c>
      <c r="CR58">
        <v>8.1799197005186008E-2</v>
      </c>
      <c r="CS58">
        <v>8.2015709391273908E-2</v>
      </c>
      <c r="CT58">
        <v>5.9296387510299198E-2</v>
      </c>
      <c r="CU58">
        <v>8.0644937219897891E-2</v>
      </c>
      <c r="CV58">
        <v>0.12522352318543781</v>
      </c>
      <c r="CW58">
        <v>0.10837645128825921</v>
      </c>
      <c r="CX58">
        <v>0.2025251983125233</v>
      </c>
      <c r="CY58">
        <v>0.20864006398227883</v>
      </c>
      <c r="CZ58">
        <v>0.20276046358205027</v>
      </c>
      <c r="DA58">
        <v>0.21593926420769521</v>
      </c>
      <c r="DB58">
        <v>0.22616175269947819</v>
      </c>
      <c r="DC58">
        <v>0.22596548231321956</v>
      </c>
      <c r="DE58" t="s">
        <v>633</v>
      </c>
      <c r="DF58" t="s">
        <v>111</v>
      </c>
      <c r="DG58" t="s">
        <v>112</v>
      </c>
      <c r="DH58">
        <v>0.27489400300447198</v>
      </c>
    </row>
    <row r="59" spans="2:112" x14ac:dyDescent="0.45">
      <c r="B59" t="s">
        <v>634</v>
      </c>
      <c r="C59" t="s">
        <v>107</v>
      </c>
      <c r="D59">
        <v>0.45270761055277714</v>
      </c>
      <c r="E59">
        <v>0.44089950183803267</v>
      </c>
      <c r="F59">
        <v>0.4612758253018579</v>
      </c>
      <c r="G59">
        <v>0.4825943978534119</v>
      </c>
      <c r="H59">
        <v>0.49101506002000217</v>
      </c>
      <c r="I59">
        <v>0.47643700173796921</v>
      </c>
      <c r="J59">
        <v>0.47794143151376028</v>
      </c>
      <c r="K59">
        <v>0.44502573623950936</v>
      </c>
      <c r="L59">
        <v>0.43256389284313856</v>
      </c>
      <c r="M59">
        <v>0.41046495188651383</v>
      </c>
      <c r="N59">
        <v>0.4313041034785976</v>
      </c>
      <c r="O59">
        <v>0.45457247490037322</v>
      </c>
      <c r="P59">
        <v>0.42393553357450009</v>
      </c>
      <c r="Q59">
        <v>0.4687570563390952</v>
      </c>
      <c r="R59">
        <v>0.51440394625112695</v>
      </c>
      <c r="S59">
        <v>0.46176098718144803</v>
      </c>
      <c r="T59">
        <v>0.37338669941352293</v>
      </c>
      <c r="U59">
        <v>0.35694942212766162</v>
      </c>
      <c r="V59">
        <v>0.44939871985488816</v>
      </c>
      <c r="W59">
        <v>0.43216827567528976</v>
      </c>
      <c r="X59">
        <v>0.42911436545800385</v>
      </c>
      <c r="Y59">
        <v>0.42012697604911603</v>
      </c>
      <c r="Z59">
        <v>0.40711746385205072</v>
      </c>
      <c r="AA59">
        <v>0.44094678388961595</v>
      </c>
      <c r="CE59" t="s">
        <v>634</v>
      </c>
      <c r="CF59">
        <v>0.15883391609753722</v>
      </c>
      <c r="CG59">
        <v>0.16039593973095567</v>
      </c>
      <c r="CH59">
        <v>0.14683405871491262</v>
      </c>
      <c r="CI59">
        <v>0.14434358477122974</v>
      </c>
      <c r="CJ59">
        <v>0.15546091210349253</v>
      </c>
      <c r="CK59">
        <v>0.16171523987462932</v>
      </c>
      <c r="CL59">
        <v>0.12946717334966093</v>
      </c>
      <c r="CM59">
        <v>0.1329751695346334</v>
      </c>
      <c r="CN59">
        <v>0.13216676339513994</v>
      </c>
      <c r="CO59">
        <v>0.14467669123605742</v>
      </c>
      <c r="CP59">
        <v>0.15053414105941884</v>
      </c>
      <c r="CQ59">
        <v>0.13615965825580706</v>
      </c>
      <c r="CR59">
        <v>4.5114761977040993E-2</v>
      </c>
      <c r="CS59">
        <v>5.3693472639740697E-2</v>
      </c>
      <c r="CT59">
        <v>5.3872762888421279E-2</v>
      </c>
      <c r="CU59">
        <v>6.2536201893744883E-2</v>
      </c>
      <c r="CV59">
        <v>5.6189047833238928E-2</v>
      </c>
      <c r="CW59">
        <v>3.9964057309517784E-2</v>
      </c>
      <c r="CX59">
        <v>0.14666056563120636</v>
      </c>
      <c r="CY59">
        <v>0.13948120497577546</v>
      </c>
      <c r="CZ59">
        <v>0.1376590520940891</v>
      </c>
      <c r="DA59">
        <v>0.1449179612709095</v>
      </c>
      <c r="DB59">
        <v>0.15123772794338111</v>
      </c>
      <c r="DC59">
        <v>0.14735789763826174</v>
      </c>
      <c r="DE59" t="s">
        <v>635</v>
      </c>
      <c r="DF59" t="s">
        <v>111</v>
      </c>
      <c r="DG59" t="s">
        <v>112</v>
      </c>
      <c r="DH59">
        <v>0.30761383016979416</v>
      </c>
    </row>
    <row r="60" spans="2:112" x14ac:dyDescent="0.45">
      <c r="B60" t="s">
        <v>636</v>
      </c>
      <c r="C60" t="s">
        <v>107</v>
      </c>
      <c r="D60">
        <v>0.53079447432348725</v>
      </c>
      <c r="E60">
        <v>0.49851509525611842</v>
      </c>
      <c r="F60">
        <v>0.49923822338656176</v>
      </c>
      <c r="G60">
        <v>0.50815502666443291</v>
      </c>
      <c r="H60">
        <v>0.51643493404723695</v>
      </c>
      <c r="I60">
        <v>0.51910601657146305</v>
      </c>
      <c r="J60">
        <v>0.47858421298108833</v>
      </c>
      <c r="K60">
        <v>0.47394368888366634</v>
      </c>
      <c r="L60">
        <v>0.46336764542996473</v>
      </c>
      <c r="M60">
        <v>0.45349583393459275</v>
      </c>
      <c r="N60">
        <v>0.40981586121658359</v>
      </c>
      <c r="O60">
        <v>0.4285936589626349</v>
      </c>
      <c r="P60">
        <v>0.45307075139779279</v>
      </c>
      <c r="Q60">
        <v>0.51236610704361585</v>
      </c>
      <c r="R60">
        <v>0.49809023784060924</v>
      </c>
      <c r="S60">
        <v>0.37140882941561321</v>
      </c>
      <c r="T60">
        <v>0.27238302236125461</v>
      </c>
      <c r="U60">
        <v>0.29046010908633613</v>
      </c>
      <c r="V60">
        <v>0.46824373756605242</v>
      </c>
      <c r="W60">
        <v>0.47263393471971027</v>
      </c>
      <c r="X60">
        <v>0.47599383185423433</v>
      </c>
      <c r="Y60">
        <v>0.47495053033663859</v>
      </c>
      <c r="Z60">
        <v>0.46296499905621602</v>
      </c>
      <c r="AA60">
        <v>0.42707937766552834</v>
      </c>
      <c r="CE60" t="s">
        <v>636</v>
      </c>
      <c r="CF60">
        <v>0.12694138972724811</v>
      </c>
      <c r="CG60">
        <v>0.14685555855994711</v>
      </c>
      <c r="CH60">
        <v>0.1245512410210582</v>
      </c>
      <c r="CI60">
        <v>0.13210839655999682</v>
      </c>
      <c r="CJ60">
        <v>0.13170005870951951</v>
      </c>
      <c r="CK60">
        <v>0.11804733478600453</v>
      </c>
      <c r="CL60">
        <v>0.11397698807711572</v>
      </c>
      <c r="CM60">
        <v>0.13472610664368706</v>
      </c>
      <c r="CN60">
        <v>0.156751285694196</v>
      </c>
      <c r="CO60">
        <v>0.16573830434179695</v>
      </c>
      <c r="CP60">
        <v>0.14994280721237987</v>
      </c>
      <c r="CQ60">
        <v>0.12200229839130979</v>
      </c>
      <c r="CR60">
        <v>4.2837359463638494E-2</v>
      </c>
      <c r="CS60">
        <v>3.4103029855233224E-2</v>
      </c>
      <c r="CT60">
        <v>4.4275019117816491E-2</v>
      </c>
      <c r="CU60">
        <v>5.9227288692658066E-2</v>
      </c>
      <c r="CV60">
        <v>8.978975761847581E-2</v>
      </c>
      <c r="CW60">
        <v>7.8282377101084308E-2</v>
      </c>
      <c r="CX60">
        <v>0.13379992342556143</v>
      </c>
      <c r="CY60">
        <v>0.13646473660407127</v>
      </c>
      <c r="CZ60">
        <v>0.12795805203925198</v>
      </c>
      <c r="DA60">
        <v>0.14721963145125541</v>
      </c>
      <c r="DB60">
        <v>0.1562313268472153</v>
      </c>
      <c r="DC60">
        <v>0.15214110359492702</v>
      </c>
      <c r="DE60" t="s">
        <v>637</v>
      </c>
      <c r="DF60" t="s">
        <v>111</v>
      </c>
      <c r="DG60" t="s">
        <v>112</v>
      </c>
      <c r="DH60">
        <v>0.38792083092340812</v>
      </c>
    </row>
    <row r="61" spans="2:112" x14ac:dyDescent="0.45">
      <c r="B61" t="s">
        <v>638</v>
      </c>
      <c r="C61" t="s">
        <v>107</v>
      </c>
      <c r="D61">
        <v>0.39223230479966364</v>
      </c>
      <c r="E61">
        <v>0.40345735993291026</v>
      </c>
      <c r="F61">
        <v>0.44509392808974085</v>
      </c>
      <c r="G61">
        <v>0.47172124441988461</v>
      </c>
      <c r="H61">
        <v>0.44410423772094176</v>
      </c>
      <c r="I61">
        <v>0.41346143258047507</v>
      </c>
      <c r="J61">
        <v>0.39763469124043466</v>
      </c>
      <c r="K61">
        <v>0.42000093267737376</v>
      </c>
      <c r="L61">
        <v>0.43934443566765286</v>
      </c>
      <c r="M61">
        <v>0.38106950269858852</v>
      </c>
      <c r="N61">
        <v>0.37097165550015376</v>
      </c>
      <c r="O61">
        <v>0.39681532224867477</v>
      </c>
      <c r="P61">
        <v>0.38938864092175279</v>
      </c>
      <c r="Q61">
        <v>0.36591988276808585</v>
      </c>
      <c r="R61">
        <v>0.38126813930513276</v>
      </c>
      <c r="S61">
        <v>0.31157538461452217</v>
      </c>
      <c r="T61">
        <v>0.31130714452540403</v>
      </c>
      <c r="U61">
        <v>0.36639049305829652</v>
      </c>
      <c r="V61">
        <v>0.44139698113458009</v>
      </c>
      <c r="W61">
        <v>0.43014454125516494</v>
      </c>
      <c r="X61">
        <v>0.46372800500450845</v>
      </c>
      <c r="Y61">
        <v>0.44549949191874144</v>
      </c>
      <c r="Z61">
        <v>0.40108592063130261</v>
      </c>
      <c r="AA61">
        <v>0.41352929769951924</v>
      </c>
      <c r="CE61" t="s">
        <v>638</v>
      </c>
      <c r="CF61">
        <v>0.15063937215346279</v>
      </c>
      <c r="CG61">
        <v>0.17050192867457936</v>
      </c>
      <c r="CH61">
        <v>0.15619377199212681</v>
      </c>
      <c r="CI61">
        <v>0.15125653109841158</v>
      </c>
      <c r="CJ61">
        <v>0.14639434719831976</v>
      </c>
      <c r="CK61">
        <v>0.13341691766739353</v>
      </c>
      <c r="CL61">
        <v>0.15142320816756588</v>
      </c>
      <c r="CM61">
        <v>0.15444610433448144</v>
      </c>
      <c r="CN61">
        <v>0.14523087951390037</v>
      </c>
      <c r="CO61">
        <v>0.16150102363359656</v>
      </c>
      <c r="CP61">
        <v>0.17706360917289851</v>
      </c>
      <c r="CQ61">
        <v>0.15609222039866222</v>
      </c>
      <c r="CR61">
        <v>7.6911719273039122E-2</v>
      </c>
      <c r="CS61">
        <v>7.5789349122312291E-2</v>
      </c>
      <c r="CT61">
        <v>6.3288238359296214E-2</v>
      </c>
      <c r="CU61">
        <v>6.6407034396211345E-2</v>
      </c>
      <c r="CV61">
        <v>6.8609648161514311E-2</v>
      </c>
      <c r="CW61">
        <v>5.8613097201840512E-2</v>
      </c>
      <c r="CX61">
        <v>0.12857529627892905</v>
      </c>
      <c r="CY61">
        <v>0.12787088543344319</v>
      </c>
      <c r="CZ61">
        <v>0.11932061150600569</v>
      </c>
      <c r="DA61">
        <v>0.1346796665555508</v>
      </c>
      <c r="DB61">
        <v>0.13724483837980486</v>
      </c>
      <c r="DC61">
        <v>0.13082510959039451</v>
      </c>
      <c r="DE61" t="s">
        <v>639</v>
      </c>
      <c r="DF61" t="s">
        <v>111</v>
      </c>
      <c r="DG61" t="s">
        <v>112</v>
      </c>
      <c r="DH61">
        <v>0.31526323214347607</v>
      </c>
    </row>
    <row r="62" spans="2:112" x14ac:dyDescent="0.45">
      <c r="B62" t="s">
        <v>640</v>
      </c>
      <c r="C62" t="s">
        <v>107</v>
      </c>
      <c r="D62">
        <v>0.54012050982151627</v>
      </c>
      <c r="E62">
        <v>0.52232102478615772</v>
      </c>
      <c r="F62">
        <v>0.52607661873357081</v>
      </c>
      <c r="G62">
        <v>0.55078505585074489</v>
      </c>
      <c r="H62">
        <v>0.51422209116914075</v>
      </c>
      <c r="I62">
        <v>0.49222719371843576</v>
      </c>
      <c r="J62">
        <v>0.48675040054142371</v>
      </c>
      <c r="K62">
        <v>0.48165476103266952</v>
      </c>
      <c r="L62">
        <v>0.52226310828662892</v>
      </c>
      <c r="M62">
        <v>0.47740152521827584</v>
      </c>
      <c r="N62">
        <v>0.46632947221629883</v>
      </c>
      <c r="O62">
        <v>0.49024024739426758</v>
      </c>
      <c r="P62">
        <v>0.43489468234538475</v>
      </c>
      <c r="Q62">
        <v>0.41102474004812389</v>
      </c>
      <c r="R62">
        <v>0.4448570877900806</v>
      </c>
      <c r="S62">
        <v>0.37653238783075121</v>
      </c>
      <c r="T62">
        <v>0.36702960975178539</v>
      </c>
      <c r="U62">
        <v>0.40222102567593138</v>
      </c>
      <c r="V62">
        <v>0.53158425395758213</v>
      </c>
      <c r="W62">
        <v>0.532089938351472</v>
      </c>
      <c r="X62">
        <v>0.55945961904531905</v>
      </c>
      <c r="Y62">
        <v>0.52259249431012189</v>
      </c>
      <c r="Z62">
        <v>0.48209123971352186</v>
      </c>
      <c r="AA62">
        <v>0.50751088222236973</v>
      </c>
      <c r="CE62" t="s">
        <v>640</v>
      </c>
      <c r="CF62">
        <v>9.3759034000837432E-2</v>
      </c>
      <c r="CG62">
        <v>9.4954517638394742E-2</v>
      </c>
      <c r="CH62">
        <v>8.1178412474145187E-2</v>
      </c>
      <c r="CI62">
        <v>9.7159431848455463E-2</v>
      </c>
      <c r="CJ62">
        <v>8.8294079726445693E-2</v>
      </c>
      <c r="CK62">
        <v>7.9955595779740651E-2</v>
      </c>
      <c r="CL62">
        <v>8.3044307874619611E-2</v>
      </c>
      <c r="CM62">
        <v>8.3150511435477192E-2</v>
      </c>
      <c r="CN62">
        <v>0.11105709959265811</v>
      </c>
      <c r="CO62">
        <v>0.12733811539677264</v>
      </c>
      <c r="CP62">
        <v>0.12468020098849318</v>
      </c>
      <c r="CQ62">
        <v>9.3277391133139209E-2</v>
      </c>
      <c r="CR62">
        <v>4.0765446157377143E-2</v>
      </c>
      <c r="CS62">
        <v>3.1007031062519626E-2</v>
      </c>
      <c r="CT62">
        <v>4.1130549932144093E-2</v>
      </c>
      <c r="CU62">
        <v>5.718372058046322E-2</v>
      </c>
      <c r="CV62">
        <v>6.4243348134193662E-2</v>
      </c>
      <c r="CW62">
        <v>5.0421807680297907E-2</v>
      </c>
      <c r="CX62">
        <v>0.10343313307930509</v>
      </c>
      <c r="CY62">
        <v>9.3636083471095977E-2</v>
      </c>
      <c r="CZ62">
        <v>9.4035139423210096E-2</v>
      </c>
      <c r="DA62">
        <v>0.12696540304718271</v>
      </c>
      <c r="DB62">
        <v>0.12335520641163912</v>
      </c>
      <c r="DC62">
        <v>0.10447555322531857</v>
      </c>
      <c r="DE62" t="s">
        <v>641</v>
      </c>
      <c r="DF62" t="s">
        <v>111</v>
      </c>
      <c r="DG62" t="s">
        <v>112</v>
      </c>
      <c r="DH62">
        <v>0.30533514959940594</v>
      </c>
    </row>
    <row r="63" spans="2:112" x14ac:dyDescent="0.45">
      <c r="B63" t="s">
        <v>642</v>
      </c>
      <c r="C63" t="s">
        <v>107</v>
      </c>
      <c r="D63">
        <v>0.46418198592184656</v>
      </c>
      <c r="E63">
        <v>0.4964862002955428</v>
      </c>
      <c r="F63">
        <v>0.52872651174586183</v>
      </c>
      <c r="G63">
        <v>0.52915019074194747</v>
      </c>
      <c r="H63">
        <v>0.50353169214208626</v>
      </c>
      <c r="I63">
        <v>0.46168208807926342</v>
      </c>
      <c r="J63">
        <v>0.43592218829374785</v>
      </c>
      <c r="K63">
        <v>0.44710452143974311</v>
      </c>
      <c r="L63">
        <v>0.47433484157365263</v>
      </c>
      <c r="M63">
        <v>0.45722021584700506</v>
      </c>
      <c r="N63">
        <v>0.42854139005883712</v>
      </c>
      <c r="O63">
        <v>0.4198123330912058</v>
      </c>
      <c r="P63">
        <v>0.41711481617159774</v>
      </c>
      <c r="Q63">
        <v>0.48931293843093865</v>
      </c>
      <c r="R63">
        <v>0.4755826814089999</v>
      </c>
      <c r="S63">
        <v>0.38664725906415859</v>
      </c>
      <c r="T63">
        <v>0.3352746528927395</v>
      </c>
      <c r="U63">
        <v>0.33275665687858202</v>
      </c>
      <c r="V63">
        <v>0.4685505907407268</v>
      </c>
      <c r="W63">
        <v>0.48849011151997934</v>
      </c>
      <c r="X63">
        <v>0.50575351425488824</v>
      </c>
      <c r="Y63">
        <v>0.48986599846363954</v>
      </c>
      <c r="Z63">
        <v>0.46390213439987033</v>
      </c>
      <c r="AA63">
        <v>0.44270881842079796</v>
      </c>
      <c r="CE63" t="s">
        <v>642</v>
      </c>
      <c r="CF63">
        <v>0.13617852469524291</v>
      </c>
      <c r="CG63">
        <v>0.14949772114006213</v>
      </c>
      <c r="CH63">
        <v>0.13886296643491397</v>
      </c>
      <c r="CI63">
        <v>0.14864927284300078</v>
      </c>
      <c r="CJ63">
        <v>0.14720037293521029</v>
      </c>
      <c r="CK63">
        <v>0.13219438901989219</v>
      </c>
      <c r="CL63">
        <v>0.10410362000974344</v>
      </c>
      <c r="CM63">
        <v>0.11294331591237321</v>
      </c>
      <c r="CN63">
        <v>0.14854623185848642</v>
      </c>
      <c r="CO63">
        <v>0.16357632963715835</v>
      </c>
      <c r="CP63">
        <v>0.15607509041531387</v>
      </c>
      <c r="CQ63">
        <v>0.12305307164430093</v>
      </c>
      <c r="CR63">
        <v>4.5108693834021107E-2</v>
      </c>
      <c r="CS63">
        <v>4.077022195359558E-2</v>
      </c>
      <c r="CT63">
        <v>5.3521676432780045E-2</v>
      </c>
      <c r="CU63">
        <v>6.1828260157570911E-2</v>
      </c>
      <c r="CV63">
        <v>7.1058230987124937E-2</v>
      </c>
      <c r="CW63">
        <v>6.3064986198291498E-2</v>
      </c>
      <c r="CX63">
        <v>0.10896098189461383</v>
      </c>
      <c r="CY63">
        <v>0.11370007691526034</v>
      </c>
      <c r="CZ63">
        <v>0.12333919287400658</v>
      </c>
      <c r="DA63">
        <v>0.14801108302372978</v>
      </c>
      <c r="DB63">
        <v>0.14819452387332846</v>
      </c>
      <c r="DC63">
        <v>0.1387576883650172</v>
      </c>
      <c r="DE63" t="s">
        <v>643</v>
      </c>
      <c r="DF63" t="s">
        <v>111</v>
      </c>
      <c r="DG63" t="s">
        <v>112</v>
      </c>
      <c r="DH63">
        <v>0.44358538385846175</v>
      </c>
    </row>
    <row r="64" spans="2:112" x14ac:dyDescent="0.45">
      <c r="B64" t="s">
        <v>644</v>
      </c>
      <c r="C64" t="s">
        <v>107</v>
      </c>
      <c r="D64">
        <v>0.364471673359888</v>
      </c>
      <c r="E64">
        <v>0.36836901497130509</v>
      </c>
      <c r="F64">
        <v>0.39020793366232376</v>
      </c>
      <c r="G64">
        <v>0.37200533478806674</v>
      </c>
      <c r="H64">
        <v>0.36865796243567117</v>
      </c>
      <c r="I64">
        <v>0.36279128117589798</v>
      </c>
      <c r="J64">
        <v>0.34005601541072505</v>
      </c>
      <c r="K64">
        <v>0.35848782583554395</v>
      </c>
      <c r="L64">
        <v>0.36822411032280428</v>
      </c>
      <c r="M64">
        <v>0.32149761412195671</v>
      </c>
      <c r="N64">
        <v>0.3191806953665195</v>
      </c>
      <c r="O64">
        <v>0.33456536977093326</v>
      </c>
      <c r="P64">
        <v>0.39156305378841166</v>
      </c>
      <c r="Q64">
        <v>0.36490603210927208</v>
      </c>
      <c r="R64">
        <v>0.3935153386352605</v>
      </c>
      <c r="S64">
        <v>0.33423774980159016</v>
      </c>
      <c r="T64">
        <v>0.31862180971734294</v>
      </c>
      <c r="U64">
        <v>0.3760234675686755</v>
      </c>
      <c r="V64">
        <v>0.39278730115552624</v>
      </c>
      <c r="W64">
        <v>0.40003262200965872</v>
      </c>
      <c r="X64">
        <v>0.42563788765871563</v>
      </c>
      <c r="Y64">
        <v>0.40515783750735895</v>
      </c>
      <c r="Z64">
        <v>0.35528977509146398</v>
      </c>
      <c r="AA64">
        <v>0.36840216983176999</v>
      </c>
      <c r="CE64" t="s">
        <v>644</v>
      </c>
      <c r="CF64">
        <v>0.25726746111696991</v>
      </c>
      <c r="CG64">
        <v>0.25061953437094536</v>
      </c>
      <c r="CH64">
        <v>0.23593508547050102</v>
      </c>
      <c r="CI64">
        <v>0.25882841815248098</v>
      </c>
      <c r="CJ64">
        <v>0.25754289957281079</v>
      </c>
      <c r="CK64">
        <v>0.26110324332674839</v>
      </c>
      <c r="CL64">
        <v>0.25619545879852568</v>
      </c>
      <c r="CM64">
        <v>0.22783539260487048</v>
      </c>
      <c r="CN64">
        <v>0.23203206621970829</v>
      </c>
      <c r="CO64">
        <v>0.26295610497967598</v>
      </c>
      <c r="CP64">
        <v>0.27870226725507724</v>
      </c>
      <c r="CQ64">
        <v>0.26566684891030229</v>
      </c>
      <c r="CR64">
        <v>0.16447711361826819</v>
      </c>
      <c r="CS64">
        <v>0.17500222255776807</v>
      </c>
      <c r="CT64">
        <v>0.14911936454312408</v>
      </c>
      <c r="CU64">
        <v>0.14783593791265359</v>
      </c>
      <c r="CV64">
        <v>0.1555534127518971</v>
      </c>
      <c r="CW64">
        <v>0.13924727415076796</v>
      </c>
      <c r="CX64">
        <v>0.17572932799528923</v>
      </c>
      <c r="CY64">
        <v>0.1676665765187044</v>
      </c>
      <c r="CZ64">
        <v>0.1686016992098594</v>
      </c>
      <c r="DA64">
        <v>0.1731466701148375</v>
      </c>
      <c r="DB64">
        <v>0.18723044142172521</v>
      </c>
      <c r="DC64">
        <v>0.18427329773355497</v>
      </c>
      <c r="DE64" t="s">
        <v>645</v>
      </c>
      <c r="DF64" t="s">
        <v>111</v>
      </c>
      <c r="DG64" t="s">
        <v>112</v>
      </c>
      <c r="DH64">
        <v>0.38031215189710077</v>
      </c>
    </row>
    <row r="65" spans="2:112" x14ac:dyDescent="0.45">
      <c r="B65" t="s">
        <v>646</v>
      </c>
      <c r="C65" t="s">
        <v>107</v>
      </c>
      <c r="D65">
        <v>0.44611739461619915</v>
      </c>
      <c r="E65">
        <v>0.45916277901216701</v>
      </c>
      <c r="F65">
        <v>0.48580200943973745</v>
      </c>
      <c r="G65">
        <v>0.49007436252350572</v>
      </c>
      <c r="H65">
        <v>0.46110973024498697</v>
      </c>
      <c r="I65">
        <v>0.44999806313668778</v>
      </c>
      <c r="J65">
        <v>0.39786076533070414</v>
      </c>
      <c r="K65">
        <v>0.4007760294896745</v>
      </c>
      <c r="L65">
        <v>0.41149748665568098</v>
      </c>
      <c r="M65">
        <v>0.37320099994557854</v>
      </c>
      <c r="N65">
        <v>0.35475595299389845</v>
      </c>
      <c r="O65">
        <v>0.35925859256517606</v>
      </c>
      <c r="P65">
        <v>0.3806211668926589</v>
      </c>
      <c r="Q65">
        <v>0.40873694011885719</v>
      </c>
      <c r="R65">
        <v>0.4159929216446237</v>
      </c>
      <c r="S65">
        <v>0.28526927921570383</v>
      </c>
      <c r="T65">
        <v>0.26979515565447326</v>
      </c>
      <c r="U65">
        <v>0.34509950260503958</v>
      </c>
      <c r="V65">
        <v>0.46945451049925974</v>
      </c>
      <c r="W65">
        <v>0.46191381217093319</v>
      </c>
      <c r="X65">
        <v>0.43850814521202952</v>
      </c>
      <c r="Y65">
        <v>0.42108707746214036</v>
      </c>
      <c r="Z65">
        <v>0.3953707639650636</v>
      </c>
      <c r="AA65">
        <v>0.43708841567242318</v>
      </c>
      <c r="CE65" t="s">
        <v>646</v>
      </c>
      <c r="CF65">
        <v>0.14859408765212745</v>
      </c>
      <c r="CG65">
        <v>0.13787110433948385</v>
      </c>
      <c r="CH65">
        <v>0.14145939857398401</v>
      </c>
      <c r="CI65">
        <v>0.17225742768910551</v>
      </c>
      <c r="CJ65">
        <v>0.17632610764388651</v>
      </c>
      <c r="CK65">
        <v>0.16214889805485022</v>
      </c>
      <c r="CL65">
        <v>0.18688685842466746</v>
      </c>
      <c r="CM65">
        <v>0.17706457318746868</v>
      </c>
      <c r="CN65">
        <v>0.18849333292506376</v>
      </c>
      <c r="CO65">
        <v>0.2166360720475605</v>
      </c>
      <c r="CP65">
        <v>0.22541812355469149</v>
      </c>
      <c r="CQ65">
        <v>0.20480012318898649</v>
      </c>
      <c r="CR65">
        <v>3.6264586840875676E-2</v>
      </c>
      <c r="CS65">
        <v>2.7490965659672673E-2</v>
      </c>
      <c r="CT65">
        <v>3.1181939280613188E-2</v>
      </c>
      <c r="CU65">
        <v>7.1721667310486556E-2</v>
      </c>
      <c r="CV65">
        <v>0.10548502032288173</v>
      </c>
      <c r="CW65">
        <v>7.823349541676182E-2</v>
      </c>
      <c r="CX65">
        <v>0.11480198756409586</v>
      </c>
      <c r="CY65">
        <v>0.10519804191278116</v>
      </c>
      <c r="CZ65">
        <v>9.8013193854809832E-2</v>
      </c>
      <c r="DA65">
        <v>0.11227445020993657</v>
      </c>
      <c r="DB65">
        <v>0.12516480419896689</v>
      </c>
      <c r="DC65">
        <v>0.11769566878565969</v>
      </c>
      <c r="DE65" t="s">
        <v>647</v>
      </c>
      <c r="DF65" t="s">
        <v>111</v>
      </c>
      <c r="DG65" t="s">
        <v>112</v>
      </c>
      <c r="DH65">
        <v>0.35272432371506873</v>
      </c>
    </row>
    <row r="66" spans="2:112" x14ac:dyDescent="0.45">
      <c r="B66" t="s">
        <v>648</v>
      </c>
      <c r="C66" t="s">
        <v>107</v>
      </c>
      <c r="D66">
        <v>0.40745190252388014</v>
      </c>
      <c r="E66">
        <v>0.4023387215569883</v>
      </c>
      <c r="F66">
        <v>0.43372542200574959</v>
      </c>
      <c r="G66">
        <v>0.41308619214679237</v>
      </c>
      <c r="H66">
        <v>0.44333282441924171</v>
      </c>
      <c r="I66">
        <v>0.45417849928225895</v>
      </c>
      <c r="J66">
        <v>0.42428089993355128</v>
      </c>
      <c r="K66">
        <v>0.43695172050104059</v>
      </c>
      <c r="L66">
        <v>0.4455024051812268</v>
      </c>
      <c r="M66">
        <v>0.36131064914110783</v>
      </c>
      <c r="N66">
        <v>0.36104525399292087</v>
      </c>
      <c r="O66">
        <v>0.41141823625488044</v>
      </c>
      <c r="P66">
        <v>0.50847554987292842</v>
      </c>
      <c r="Q66">
        <v>0.48437667788195315</v>
      </c>
      <c r="R66">
        <v>0.47109585832209838</v>
      </c>
      <c r="S66">
        <v>0.33887592844410952</v>
      </c>
      <c r="T66">
        <v>0.36149337117878799</v>
      </c>
      <c r="U66">
        <v>0.47848584004995537</v>
      </c>
      <c r="V66">
        <v>0.47023635998240343</v>
      </c>
      <c r="W66">
        <v>0.46720882096415894</v>
      </c>
      <c r="X66">
        <v>0.47687824753948255</v>
      </c>
      <c r="Y66">
        <v>0.4006755957161478</v>
      </c>
      <c r="Z66">
        <v>0.37227126086800821</v>
      </c>
      <c r="AA66">
        <v>0.43828567002830809</v>
      </c>
      <c r="CE66" t="s">
        <v>648</v>
      </c>
      <c r="CF66">
        <v>0.18722021333054822</v>
      </c>
      <c r="CG66">
        <v>0.18463494545256032</v>
      </c>
      <c r="CH66">
        <v>0.17927812474197757</v>
      </c>
      <c r="CI66">
        <v>0.2089213278886014</v>
      </c>
      <c r="CJ66">
        <v>0.19452917099570319</v>
      </c>
      <c r="CK66">
        <v>0.18438465168887141</v>
      </c>
      <c r="CL66">
        <v>0.16343482864415576</v>
      </c>
      <c r="CM66">
        <v>0.15538676391981635</v>
      </c>
      <c r="CN66">
        <v>0.16788047428532185</v>
      </c>
      <c r="CO66">
        <v>0.21056792640256428</v>
      </c>
      <c r="CP66">
        <v>0.22983096068783157</v>
      </c>
      <c r="CQ66">
        <v>0.19506855305454857</v>
      </c>
      <c r="CR66">
        <v>9.0347915895817671E-2</v>
      </c>
      <c r="CS66">
        <v>9.5822585448813044E-2</v>
      </c>
      <c r="CT66">
        <v>0.10710242291484948</v>
      </c>
      <c r="CU66">
        <v>0.12498202494284218</v>
      </c>
      <c r="CV66">
        <v>0.12567617037821466</v>
      </c>
      <c r="CW66">
        <v>9.2750977034465526E-2</v>
      </c>
      <c r="CX66">
        <v>0.12963487007647148</v>
      </c>
      <c r="CY66">
        <v>0.11836759196809288</v>
      </c>
      <c r="CZ66">
        <v>0.12085042319937442</v>
      </c>
      <c r="DA66">
        <v>0.15957508772735801</v>
      </c>
      <c r="DB66">
        <v>0.17021989156924269</v>
      </c>
      <c r="DC66">
        <v>0.14492329644114951</v>
      </c>
      <c r="DE66" t="s">
        <v>649</v>
      </c>
      <c r="DF66" t="s">
        <v>111</v>
      </c>
      <c r="DG66" t="s">
        <v>112</v>
      </c>
      <c r="DH66">
        <v>0.3642025202903425</v>
      </c>
    </row>
    <row r="67" spans="2:112" x14ac:dyDescent="0.45">
      <c r="B67" t="s">
        <v>650</v>
      </c>
      <c r="C67" t="s">
        <v>107</v>
      </c>
      <c r="D67">
        <v>0.42009953819140905</v>
      </c>
      <c r="E67">
        <v>0.41213258187575008</v>
      </c>
      <c r="F67">
        <v>0.44670526271456829</v>
      </c>
      <c r="G67">
        <v>0.43173963254859565</v>
      </c>
      <c r="H67">
        <v>0.46322721392318916</v>
      </c>
      <c r="I67">
        <v>0.46791839246916317</v>
      </c>
      <c r="J67">
        <v>0.3960634670982936</v>
      </c>
      <c r="K67">
        <v>0.42466669036618282</v>
      </c>
      <c r="L67">
        <v>0.47173303670986189</v>
      </c>
      <c r="M67">
        <v>0.42318464206577289</v>
      </c>
      <c r="N67">
        <v>0.38423595717366077</v>
      </c>
      <c r="O67">
        <v>0.38335831474880583</v>
      </c>
      <c r="P67">
        <v>0.41763263895822433</v>
      </c>
      <c r="Q67">
        <v>0.41655842518096398</v>
      </c>
      <c r="R67">
        <v>0.50967496680834667</v>
      </c>
      <c r="S67">
        <v>0.43535491216978434</v>
      </c>
      <c r="T67">
        <v>0.35278933076381119</v>
      </c>
      <c r="U67">
        <v>0.37399754252988804</v>
      </c>
      <c r="V67">
        <v>0.45184591860083556</v>
      </c>
      <c r="W67">
        <v>0.44979749576696981</v>
      </c>
      <c r="X67">
        <v>0.4806045935850598</v>
      </c>
      <c r="Y67">
        <v>0.43701031928372708</v>
      </c>
      <c r="Z67">
        <v>0.3889326028240655</v>
      </c>
      <c r="AA67">
        <v>0.39335788945484251</v>
      </c>
      <c r="CE67" t="s">
        <v>650</v>
      </c>
      <c r="CF67">
        <v>0.12429040194452996</v>
      </c>
      <c r="CG67">
        <v>0.12403882902751434</v>
      </c>
      <c r="CH67">
        <v>0.11601112617536484</v>
      </c>
      <c r="CI67">
        <v>0.15562277765072652</v>
      </c>
      <c r="CJ67">
        <v>0.13898689816754004</v>
      </c>
      <c r="CK67">
        <v>0.12626824652142088</v>
      </c>
      <c r="CL67">
        <v>0.11697711111482879</v>
      </c>
      <c r="CM67">
        <v>0.11745665662854604</v>
      </c>
      <c r="CN67">
        <v>0.16801542910971151</v>
      </c>
      <c r="CO67">
        <v>0.20837680133927941</v>
      </c>
      <c r="CP67">
        <v>0.1986167949836003</v>
      </c>
      <c r="CQ67">
        <v>0.14794922258473364</v>
      </c>
      <c r="CR67">
        <v>4.7770842019291687E-2</v>
      </c>
      <c r="CS67">
        <v>4.8529063528975215E-2</v>
      </c>
      <c r="CT67">
        <v>6.3864788845762244E-2</v>
      </c>
      <c r="CU67">
        <v>7.4018182850268094E-2</v>
      </c>
      <c r="CV67">
        <v>8.4655376599030857E-2</v>
      </c>
      <c r="CW67">
        <v>6.5409682842122452E-2</v>
      </c>
      <c r="CX67">
        <v>8.9412216103955389E-2</v>
      </c>
      <c r="CY67">
        <v>8.3228747204695988E-2</v>
      </c>
      <c r="CZ67">
        <v>9.6482151037581246E-2</v>
      </c>
      <c r="DA67">
        <v>0.12116736897119715</v>
      </c>
      <c r="DB67">
        <v>0.12167144501516042</v>
      </c>
      <c r="DC67">
        <v>9.7635048374098296E-2</v>
      </c>
      <c r="DE67" t="s">
        <v>651</v>
      </c>
      <c r="DF67" t="s">
        <v>111</v>
      </c>
      <c r="DG67" t="s">
        <v>112</v>
      </c>
      <c r="DH67">
        <v>0.49846965335202353</v>
      </c>
    </row>
    <row r="68" spans="2:112" x14ac:dyDescent="0.45">
      <c r="B68" t="s">
        <v>652</v>
      </c>
      <c r="C68" t="s">
        <v>107</v>
      </c>
      <c r="D68">
        <v>0.41057590320428999</v>
      </c>
      <c r="E68">
        <v>0.42117115925402671</v>
      </c>
      <c r="F68">
        <v>0.43544718991121328</v>
      </c>
      <c r="G68">
        <v>0.41837169837417415</v>
      </c>
      <c r="H68">
        <v>0.42591216389339825</v>
      </c>
      <c r="I68">
        <v>0.43374357442085087</v>
      </c>
      <c r="J68">
        <v>0.35727866967438104</v>
      </c>
      <c r="K68">
        <v>0.36273231599141564</v>
      </c>
      <c r="L68">
        <v>0.37271945883883317</v>
      </c>
      <c r="M68">
        <v>0.34484888327187174</v>
      </c>
      <c r="N68">
        <v>0.32835252509568164</v>
      </c>
      <c r="O68">
        <v>0.34761606449279625</v>
      </c>
      <c r="P68">
        <v>0.46369713272352742</v>
      </c>
      <c r="Q68">
        <v>0.50221281431225351</v>
      </c>
      <c r="R68">
        <v>0.50715621729598659</v>
      </c>
      <c r="S68">
        <v>0.37285160737210615</v>
      </c>
      <c r="T68">
        <v>0.30638731550165593</v>
      </c>
      <c r="U68">
        <v>0.38741245838096255</v>
      </c>
      <c r="V68">
        <v>0.42032329802934931</v>
      </c>
      <c r="W68">
        <v>0.45483596085774608</v>
      </c>
      <c r="X68">
        <v>0.44974653938161202</v>
      </c>
      <c r="Y68">
        <v>0.4091656683590254</v>
      </c>
      <c r="Z68">
        <v>0.37722341182634617</v>
      </c>
      <c r="AA68">
        <v>0.38944762893505636</v>
      </c>
      <c r="CE68" t="s">
        <v>652</v>
      </c>
      <c r="CF68">
        <v>0.29630943885095468</v>
      </c>
      <c r="CG68">
        <v>0.28505467126334444</v>
      </c>
      <c r="CH68">
        <v>0.29996464764652842</v>
      </c>
      <c r="CI68">
        <v>0.32904550161098128</v>
      </c>
      <c r="CJ68">
        <v>0.32536464181127223</v>
      </c>
      <c r="CK68">
        <v>0.30850945378298794</v>
      </c>
      <c r="CL68">
        <v>0.33288329253551924</v>
      </c>
      <c r="CM68">
        <v>0.32438892332380342</v>
      </c>
      <c r="CN68">
        <v>0.34325123034643135</v>
      </c>
      <c r="CO68">
        <v>0.36981847972507342</v>
      </c>
      <c r="CP68">
        <v>0.38761873057884272</v>
      </c>
      <c r="CQ68">
        <v>0.36022701512478511</v>
      </c>
      <c r="CR68">
        <v>0.10188816016698231</v>
      </c>
      <c r="CS68">
        <v>9.3245674400817963E-2</v>
      </c>
      <c r="CT68">
        <v>0.10028853569998605</v>
      </c>
      <c r="CU68">
        <v>0.14084072898138458</v>
      </c>
      <c r="CV68">
        <v>0.18075883653534083</v>
      </c>
      <c r="CW68">
        <v>0.13694394923830006</v>
      </c>
      <c r="CX68">
        <v>0.24998142186772776</v>
      </c>
      <c r="CY68">
        <v>0.25209898410997555</v>
      </c>
      <c r="CZ68">
        <v>0.26525466859668084</v>
      </c>
      <c r="DA68">
        <v>0.28608624091589158</v>
      </c>
      <c r="DB68">
        <v>0.28659269153016931</v>
      </c>
      <c r="DC68">
        <v>0.25484478549769152</v>
      </c>
      <c r="DE68" t="s">
        <v>653</v>
      </c>
      <c r="DF68" t="s">
        <v>111</v>
      </c>
      <c r="DG68" t="s">
        <v>112</v>
      </c>
      <c r="DH68">
        <v>0.53150788991852982</v>
      </c>
    </row>
    <row r="69" spans="2:112" x14ac:dyDescent="0.45">
      <c r="B69" t="s">
        <v>654</v>
      </c>
      <c r="C69" t="s">
        <v>107</v>
      </c>
      <c r="D69">
        <v>0.41454874086139076</v>
      </c>
      <c r="E69">
        <v>0.42423709864010134</v>
      </c>
      <c r="F69">
        <v>0.45614359773720098</v>
      </c>
      <c r="G69">
        <v>0.40382746038809147</v>
      </c>
      <c r="H69">
        <v>0.39661032408353475</v>
      </c>
      <c r="I69">
        <v>0.42470115887421928</v>
      </c>
      <c r="J69">
        <v>0.38990804168239918</v>
      </c>
      <c r="K69">
        <v>0.41423150054649321</v>
      </c>
      <c r="L69">
        <v>0.40867295551474131</v>
      </c>
      <c r="M69">
        <v>0.34741459673272257</v>
      </c>
      <c r="N69">
        <v>0.31478546388542389</v>
      </c>
      <c r="O69">
        <v>0.34728630501374957</v>
      </c>
      <c r="P69">
        <v>0.47110033674788632</v>
      </c>
      <c r="Q69">
        <v>0.4904668268820323</v>
      </c>
      <c r="R69">
        <v>0.50106756794407514</v>
      </c>
      <c r="S69">
        <v>0.38186704236672508</v>
      </c>
      <c r="T69">
        <v>0.30562432557559488</v>
      </c>
      <c r="U69">
        <v>0.37143374035488658</v>
      </c>
      <c r="V69">
        <v>0.44632280769074995</v>
      </c>
      <c r="W69">
        <v>0.46521768152863335</v>
      </c>
      <c r="X69">
        <v>0.48088082052234815</v>
      </c>
      <c r="Y69">
        <v>0.4387919491923335</v>
      </c>
      <c r="Z69">
        <v>0.40092007053117351</v>
      </c>
      <c r="AA69">
        <v>0.42782353582647203</v>
      </c>
      <c r="CE69" t="s">
        <v>654</v>
      </c>
      <c r="CF69">
        <v>0.23880289767677837</v>
      </c>
      <c r="CG69">
        <v>0.23921525857329839</v>
      </c>
      <c r="CH69">
        <v>0.23562135803525935</v>
      </c>
      <c r="CI69">
        <v>0.28643927959393817</v>
      </c>
      <c r="CJ69">
        <v>0.27468158373421292</v>
      </c>
      <c r="CK69">
        <v>0.23728469195906796</v>
      </c>
      <c r="CL69">
        <v>0.24759788524819798</v>
      </c>
      <c r="CM69">
        <v>0.23333357158778431</v>
      </c>
      <c r="CN69">
        <v>0.27248254268767985</v>
      </c>
      <c r="CO69">
        <v>0.32709043926692694</v>
      </c>
      <c r="CP69">
        <v>0.34048308420372531</v>
      </c>
      <c r="CQ69">
        <v>0.28782134633751044</v>
      </c>
      <c r="CR69">
        <v>8.3601588129763954E-2</v>
      </c>
      <c r="CS69">
        <v>8.3119621723706877E-2</v>
      </c>
      <c r="CT69">
        <v>9.4111271882084929E-2</v>
      </c>
      <c r="CU69">
        <v>0.13130727212390922</v>
      </c>
      <c r="CV69">
        <v>0.16276910641514816</v>
      </c>
      <c r="CW69">
        <v>0.1227320843186946</v>
      </c>
      <c r="CX69">
        <v>0.17390726008661775</v>
      </c>
      <c r="CY69">
        <v>0.16577483127008885</v>
      </c>
      <c r="CZ69">
        <v>0.19385115633518482</v>
      </c>
      <c r="DA69">
        <v>0.2303369241395879</v>
      </c>
      <c r="DB69">
        <v>0.22829576986379524</v>
      </c>
      <c r="DC69">
        <v>0.19142278443947985</v>
      </c>
      <c r="DE69" t="s">
        <v>655</v>
      </c>
      <c r="DF69" t="s">
        <v>111</v>
      </c>
      <c r="DG69" t="s">
        <v>112</v>
      </c>
      <c r="DH69">
        <v>0.45339635127979716</v>
      </c>
    </row>
    <row r="70" spans="2:112" x14ac:dyDescent="0.45">
      <c r="B70" t="s">
        <v>656</v>
      </c>
      <c r="C70" t="s">
        <v>107</v>
      </c>
      <c r="D70">
        <v>0.34923430188960364</v>
      </c>
      <c r="E70">
        <v>0.32098055620992577</v>
      </c>
      <c r="F70">
        <v>0.32370622875815253</v>
      </c>
      <c r="G70">
        <v>0.31529708290090286</v>
      </c>
      <c r="H70">
        <v>0.29659078398295224</v>
      </c>
      <c r="I70">
        <v>0.31474611555195281</v>
      </c>
      <c r="J70">
        <v>0.33603793766957624</v>
      </c>
      <c r="K70">
        <v>0.34263832270085254</v>
      </c>
      <c r="L70">
        <v>0.35608647986837516</v>
      </c>
      <c r="M70">
        <v>0.33244505031006</v>
      </c>
      <c r="N70">
        <v>0.30332757453619213</v>
      </c>
      <c r="O70">
        <v>0.33541435588628071</v>
      </c>
      <c r="P70">
        <v>0.3683021667768045</v>
      </c>
      <c r="Q70">
        <v>0.3998027035495757</v>
      </c>
      <c r="R70">
        <v>0.44288341982412988</v>
      </c>
      <c r="S70">
        <v>0.340433524411558</v>
      </c>
      <c r="T70">
        <v>0.29062908869533893</v>
      </c>
      <c r="U70">
        <v>0.31114979318699693</v>
      </c>
      <c r="V70">
        <v>0.37649831141090262</v>
      </c>
      <c r="W70">
        <v>0.38608272180622344</v>
      </c>
      <c r="X70">
        <v>0.402501275644918</v>
      </c>
      <c r="Y70">
        <v>0.38880021198699127</v>
      </c>
      <c r="Z70">
        <v>0.36834137960340974</v>
      </c>
      <c r="AA70">
        <v>0.35699018123911691</v>
      </c>
      <c r="CE70" t="s">
        <v>656</v>
      </c>
      <c r="CF70">
        <v>0.32890328434738614</v>
      </c>
      <c r="CG70">
        <v>0.33109608370578536</v>
      </c>
      <c r="CH70">
        <v>0.34748045820381007</v>
      </c>
      <c r="CI70">
        <v>0.38236081955278867</v>
      </c>
      <c r="CJ70">
        <v>0.38402021233466344</v>
      </c>
      <c r="CK70">
        <v>0.3591568624340466</v>
      </c>
      <c r="CL70">
        <v>0.34987933021723699</v>
      </c>
      <c r="CM70">
        <v>0.3326753623731401</v>
      </c>
      <c r="CN70">
        <v>0.34445494451854453</v>
      </c>
      <c r="CO70">
        <v>0.38396155332088133</v>
      </c>
      <c r="CP70">
        <v>0.40241526926377513</v>
      </c>
      <c r="CQ70">
        <v>0.37268854001486351</v>
      </c>
      <c r="CR70">
        <v>0.15462363939774407</v>
      </c>
      <c r="CS70">
        <v>0.13011757453948239</v>
      </c>
      <c r="CT70">
        <v>0.13382978923126276</v>
      </c>
      <c r="CU70">
        <v>0.20057818051981149</v>
      </c>
      <c r="CV70">
        <v>0.26065177432436293</v>
      </c>
      <c r="CW70">
        <v>0.2223899466824614</v>
      </c>
      <c r="CX70">
        <v>0.22756924687854443</v>
      </c>
      <c r="CY70">
        <v>0.22553524640393369</v>
      </c>
      <c r="CZ70">
        <v>0.23425534192992303</v>
      </c>
      <c r="DA70">
        <v>0.25338977065329654</v>
      </c>
      <c r="DB70">
        <v>0.25535858248978882</v>
      </c>
      <c r="DC70">
        <v>0.23608166650995371</v>
      </c>
      <c r="DE70" t="s">
        <v>657</v>
      </c>
      <c r="DF70" t="s">
        <v>111</v>
      </c>
      <c r="DG70" t="s">
        <v>112</v>
      </c>
      <c r="DH70">
        <v>0.52417524793232673</v>
      </c>
    </row>
    <row r="71" spans="2:112" x14ac:dyDescent="0.45">
      <c r="B71" t="s">
        <v>658</v>
      </c>
      <c r="C71" t="s">
        <v>107</v>
      </c>
      <c r="D71">
        <v>0.41310894973286022</v>
      </c>
      <c r="E71">
        <v>0.38698922398186048</v>
      </c>
      <c r="F71">
        <v>0.40082343014849164</v>
      </c>
      <c r="G71">
        <v>0.38995022145138891</v>
      </c>
      <c r="H71">
        <v>0.35586062486669345</v>
      </c>
      <c r="I71">
        <v>0.35869229636493016</v>
      </c>
      <c r="J71">
        <v>0.40137656712684455</v>
      </c>
      <c r="K71">
        <v>0.38557237659051635</v>
      </c>
      <c r="L71">
        <v>0.39647659571597482</v>
      </c>
      <c r="M71">
        <v>0.34107724676483692</v>
      </c>
      <c r="N71">
        <v>0.33492567191538625</v>
      </c>
      <c r="O71">
        <v>0.37056757040787142</v>
      </c>
      <c r="P71">
        <v>0.44598251455952809</v>
      </c>
      <c r="Q71">
        <v>0.4425526006498432</v>
      </c>
      <c r="R71">
        <v>0.4663494228799841</v>
      </c>
      <c r="S71">
        <v>0.34743360748507962</v>
      </c>
      <c r="T71">
        <v>0.31506338523519178</v>
      </c>
      <c r="U71">
        <v>0.38484808722896441</v>
      </c>
      <c r="V71">
        <v>0.47792324295220984</v>
      </c>
      <c r="W71">
        <v>0.47572789147694899</v>
      </c>
      <c r="X71">
        <v>0.50051697209663071</v>
      </c>
      <c r="Y71">
        <v>0.45933321714177477</v>
      </c>
      <c r="Z71">
        <v>0.42952656266111194</v>
      </c>
      <c r="AA71">
        <v>0.46633237179506121</v>
      </c>
      <c r="CE71" t="s">
        <v>658</v>
      </c>
      <c r="CF71">
        <v>0.19239639230209601</v>
      </c>
      <c r="CG71">
        <v>0.17672180009816896</v>
      </c>
      <c r="CH71">
        <v>0.1848465106907983</v>
      </c>
      <c r="CI71">
        <v>0.24438507575198112</v>
      </c>
      <c r="CJ71">
        <v>0.23722196944439233</v>
      </c>
      <c r="CK71">
        <v>0.20826513828676574</v>
      </c>
      <c r="CL71">
        <v>0.21266408480054147</v>
      </c>
      <c r="CM71">
        <v>0.20300308933006997</v>
      </c>
      <c r="CN71">
        <v>0.23541436424088749</v>
      </c>
      <c r="CO71">
        <v>0.28397365453969492</v>
      </c>
      <c r="CP71">
        <v>0.29369640459447321</v>
      </c>
      <c r="CQ71">
        <v>0.25261955120154078</v>
      </c>
      <c r="CR71">
        <v>5.1290721058374157E-2</v>
      </c>
      <c r="CS71">
        <v>4.387428235245075E-2</v>
      </c>
      <c r="CT71">
        <v>5.1569567962115891E-2</v>
      </c>
      <c r="CU71">
        <v>9.0658997770450153E-2</v>
      </c>
      <c r="CV71">
        <v>0.11756746409488252</v>
      </c>
      <c r="CW71">
        <v>8.8169110163345429E-2</v>
      </c>
      <c r="CX71">
        <v>9.110886295870381E-2</v>
      </c>
      <c r="CY71">
        <v>9.4385772125708145E-2</v>
      </c>
      <c r="CZ71">
        <v>0.11519957605742048</v>
      </c>
      <c r="DA71">
        <v>0.157195029553483</v>
      </c>
      <c r="DB71">
        <v>0.15042974377906215</v>
      </c>
      <c r="DC71">
        <v>0.11070007010218454</v>
      </c>
      <c r="DE71" t="s">
        <v>659</v>
      </c>
      <c r="DF71" t="s">
        <v>111</v>
      </c>
      <c r="DG71" t="s">
        <v>112</v>
      </c>
      <c r="DH71">
        <v>0.50285408130721876</v>
      </c>
    </row>
    <row r="72" spans="2:112" x14ac:dyDescent="0.45">
      <c r="B72" t="s">
        <v>660</v>
      </c>
      <c r="C72" t="s">
        <v>107</v>
      </c>
      <c r="D72">
        <v>0.42954015665052114</v>
      </c>
      <c r="E72">
        <v>0.41323013666457475</v>
      </c>
      <c r="F72">
        <v>0.4161684875669443</v>
      </c>
      <c r="G72">
        <v>0.41563813218762419</v>
      </c>
      <c r="H72">
        <v>0.4020031540857999</v>
      </c>
      <c r="I72">
        <v>0.40852825190340569</v>
      </c>
      <c r="J72">
        <v>0.41769747886547104</v>
      </c>
      <c r="K72">
        <v>0.39754296378170795</v>
      </c>
      <c r="L72">
        <v>0.42496525074882657</v>
      </c>
      <c r="M72">
        <v>0.39567141210375018</v>
      </c>
      <c r="N72">
        <v>0.35519610952463421</v>
      </c>
      <c r="O72">
        <v>0.37786713385779352</v>
      </c>
      <c r="P72">
        <v>0.35246566189309597</v>
      </c>
      <c r="Q72">
        <v>0.33900738386001178</v>
      </c>
      <c r="R72">
        <v>0.41406528135833426</v>
      </c>
      <c r="S72">
        <v>0.40028142229502789</v>
      </c>
      <c r="T72">
        <v>0.37874237595148114</v>
      </c>
      <c r="U72">
        <v>0.39173855094113197</v>
      </c>
      <c r="V72">
        <v>0.46428008843375218</v>
      </c>
      <c r="W72">
        <v>0.49145596932868268</v>
      </c>
      <c r="X72">
        <v>0.50760298947000138</v>
      </c>
      <c r="Y72">
        <v>0.48098762744052387</v>
      </c>
      <c r="Z72">
        <v>0.42757421298819809</v>
      </c>
      <c r="AA72">
        <v>0.43015484168913454</v>
      </c>
      <c r="CE72" t="s">
        <v>660</v>
      </c>
      <c r="CF72">
        <v>0.2160016593803869</v>
      </c>
      <c r="CG72">
        <v>0.20854535417718259</v>
      </c>
      <c r="CH72">
        <v>0.20022030118310122</v>
      </c>
      <c r="CI72">
        <v>0.23181339717378069</v>
      </c>
      <c r="CJ72">
        <v>0.23333110350021694</v>
      </c>
      <c r="CK72">
        <v>0.22769285455710231</v>
      </c>
      <c r="CL72">
        <v>0.18724117651939123</v>
      </c>
      <c r="CM72">
        <v>0.18171279611925845</v>
      </c>
      <c r="CN72">
        <v>0.18322720065667009</v>
      </c>
      <c r="CO72">
        <v>0.21474519795722352</v>
      </c>
      <c r="CP72">
        <v>0.2244927192461495</v>
      </c>
      <c r="CQ72">
        <v>0.21487794508971983</v>
      </c>
      <c r="CR72">
        <v>0.10391290747002344</v>
      </c>
      <c r="CS72">
        <v>9.983863436407947E-2</v>
      </c>
      <c r="CT72">
        <v>5.7219769020595376E-2</v>
      </c>
      <c r="CU72">
        <v>6.473400097206361E-2</v>
      </c>
      <c r="CV72">
        <v>8.3770225345072294E-2</v>
      </c>
      <c r="CW72">
        <v>8.1344915309162519E-2</v>
      </c>
      <c r="CX72">
        <v>0.10384682150344363</v>
      </c>
      <c r="CY72">
        <v>0.11061521298970808</v>
      </c>
      <c r="CZ72">
        <v>0.11863720480537662</v>
      </c>
      <c r="DA72">
        <v>0.13540417853235004</v>
      </c>
      <c r="DB72">
        <v>0.13779274599724908</v>
      </c>
      <c r="DC72">
        <v>0.11962052311605699</v>
      </c>
      <c r="DE72" t="s">
        <v>661</v>
      </c>
      <c r="DF72" t="s">
        <v>111</v>
      </c>
      <c r="DG72" t="s">
        <v>112</v>
      </c>
      <c r="DH72">
        <v>0.41852305073112883</v>
      </c>
    </row>
    <row r="73" spans="2:112" x14ac:dyDescent="0.45">
      <c r="B73" t="s">
        <v>662</v>
      </c>
      <c r="C73" t="s">
        <v>107</v>
      </c>
      <c r="D73">
        <v>0.42026541491493297</v>
      </c>
      <c r="E73">
        <v>0.42850267604295922</v>
      </c>
      <c r="F73">
        <v>0.44675431633947205</v>
      </c>
      <c r="G73">
        <v>0.42740377378304706</v>
      </c>
      <c r="H73">
        <v>0.43055967117672705</v>
      </c>
      <c r="I73">
        <v>0.42614486224843845</v>
      </c>
      <c r="J73">
        <v>0.37680377933447529</v>
      </c>
      <c r="K73">
        <v>0.39696083711035446</v>
      </c>
      <c r="L73">
        <v>0.40984672870448574</v>
      </c>
      <c r="M73">
        <v>0.39255266964250901</v>
      </c>
      <c r="N73">
        <v>0.39336590080502504</v>
      </c>
      <c r="O73">
        <v>0.38744611649452293</v>
      </c>
      <c r="P73">
        <v>0.34555801505057854</v>
      </c>
      <c r="Q73">
        <v>0.3688522715588276</v>
      </c>
      <c r="R73">
        <v>0.47497985899197187</v>
      </c>
      <c r="S73">
        <v>0.43192925170682145</v>
      </c>
      <c r="T73">
        <v>0.40144776581240604</v>
      </c>
      <c r="U73">
        <v>0.38042620215537809</v>
      </c>
      <c r="V73">
        <v>0.41141329983720759</v>
      </c>
      <c r="W73">
        <v>0.43378640677856739</v>
      </c>
      <c r="X73">
        <v>0.49015812006046566</v>
      </c>
      <c r="Y73">
        <v>0.49328856288815803</v>
      </c>
      <c r="Z73">
        <v>0.46323203232024956</v>
      </c>
      <c r="AA73">
        <v>0.42159322679931027</v>
      </c>
      <c r="CE73" t="s">
        <v>662</v>
      </c>
      <c r="CF73">
        <v>0.15456677135686933</v>
      </c>
      <c r="CG73">
        <v>0.14612665711671488</v>
      </c>
      <c r="CH73">
        <v>0.14334160920084346</v>
      </c>
      <c r="CI73">
        <v>0.18445326531283551</v>
      </c>
      <c r="CJ73">
        <v>0.17823110181380689</v>
      </c>
      <c r="CK73">
        <v>0.16269659989603533</v>
      </c>
      <c r="CL73">
        <v>0.1927988707900111</v>
      </c>
      <c r="CM73">
        <v>0.18655797954537265</v>
      </c>
      <c r="CN73">
        <v>0.19924775249370941</v>
      </c>
      <c r="CO73">
        <v>0.22853613605169179</v>
      </c>
      <c r="CP73">
        <v>0.21374821006122621</v>
      </c>
      <c r="CQ73">
        <v>0.19141731285217944</v>
      </c>
      <c r="CR73">
        <v>7.4948965768202869E-2</v>
      </c>
      <c r="CS73">
        <v>6.4777687691240177E-2</v>
      </c>
      <c r="CT73">
        <v>4.7488150036037576E-2</v>
      </c>
      <c r="CU73">
        <v>6.0485769322934251E-2</v>
      </c>
      <c r="CV73">
        <v>7.1595203020415485E-2</v>
      </c>
      <c r="CW73">
        <v>7.1510912317106406E-2</v>
      </c>
      <c r="CX73">
        <v>7.9538345058828591E-2</v>
      </c>
      <c r="CY73">
        <v>7.9308246889898737E-2</v>
      </c>
      <c r="CZ73">
        <v>9.0290731181475875E-2</v>
      </c>
      <c r="DA73">
        <v>0.10557257817373136</v>
      </c>
      <c r="DB73">
        <v>0.10027020267379821</v>
      </c>
      <c r="DC73">
        <v>8.8277399450358923E-2</v>
      </c>
      <c r="DE73" t="s">
        <v>663</v>
      </c>
      <c r="DF73" t="s">
        <v>111</v>
      </c>
      <c r="DG73" t="s">
        <v>112</v>
      </c>
      <c r="DH73">
        <v>0.40522987125908366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65792-7C3F-4F11-9308-90D50AC759D4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region=ITA")</f>
        <v>~TFM_DINS-AT: region=ITA</v>
      </c>
      <c r="H9" t="str">
        <f>IF(A11="x","DeActivated","~TFM_DINS-AT: region=ITA")</f>
        <v>~TFM_DINS-AT: region=ITA</v>
      </c>
      <c r="L9" t="str">
        <f>IF(A11="x","DeActivated","~TFM_DINS-AT: region=ITA")</f>
        <v>~TFM_DINS-AT: region=ITA</v>
      </c>
      <c r="P9" t="str">
        <f>IF(A11="x","DeActivated","~TFM_INS-AT: region=ITA")</f>
        <v>~TFM_INS-AT: region=ITA</v>
      </c>
    </row>
    <row r="10" spans="1:19" x14ac:dyDescent="0.45">
      <c r="A10" t="s">
        <v>189</v>
      </c>
      <c r="C10" t="s">
        <v>190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191</v>
      </c>
      <c r="P10" t="s">
        <v>192</v>
      </c>
      <c r="Q10" t="s">
        <v>1</v>
      </c>
      <c r="R10" t="s">
        <v>193</v>
      </c>
      <c r="S10" t="s">
        <v>194</v>
      </c>
    </row>
    <row r="11" spans="1:19" x14ac:dyDescent="0.45">
      <c r="C11">
        <v>8.2191780821917804E-2</v>
      </c>
      <c r="D11">
        <v>2.291226412748925E-2</v>
      </c>
      <c r="E11" t="s">
        <v>5</v>
      </c>
      <c r="F11" t="s">
        <v>195</v>
      </c>
      <c r="H11" t="s">
        <v>196</v>
      </c>
      <c r="I11" t="s">
        <v>5</v>
      </c>
      <c r="L11" t="s">
        <v>197</v>
      </c>
      <c r="M11" t="s">
        <v>5</v>
      </c>
      <c r="N11">
        <v>0.24209451609120158</v>
      </c>
      <c r="P11">
        <v>2020</v>
      </c>
      <c r="Q11" t="s">
        <v>198</v>
      </c>
      <c r="R11">
        <v>0.21346666666666669</v>
      </c>
      <c r="S11" t="s">
        <v>199</v>
      </c>
    </row>
    <row r="12" spans="1:19" x14ac:dyDescent="0.45">
      <c r="C12">
        <v>4.1095890410958902E-2</v>
      </c>
      <c r="D12">
        <v>5.0687417646620103E-2</v>
      </c>
      <c r="E12" t="s">
        <v>9</v>
      </c>
      <c r="F12" t="s">
        <v>195</v>
      </c>
      <c r="H12" t="s">
        <v>196</v>
      </c>
      <c r="I12" t="s">
        <v>9</v>
      </c>
      <c r="L12" t="s">
        <v>197</v>
      </c>
      <c r="M12" t="s">
        <v>9</v>
      </c>
      <c r="N12">
        <v>0.19008989413869593</v>
      </c>
      <c r="P12">
        <v>2020</v>
      </c>
      <c r="Q12" t="s">
        <v>200</v>
      </c>
      <c r="R12">
        <v>0.26166666666666666</v>
      </c>
      <c r="S12" t="s">
        <v>199</v>
      </c>
    </row>
    <row r="13" spans="1:19" x14ac:dyDescent="0.45">
      <c r="C13">
        <v>3.0821917808219176E-2</v>
      </c>
      <c r="D13">
        <v>3.8336275265395424E-2</v>
      </c>
      <c r="E13" t="s">
        <v>10</v>
      </c>
      <c r="F13" t="s">
        <v>195</v>
      </c>
      <c r="H13" t="s">
        <v>196</v>
      </c>
      <c r="I13" t="s">
        <v>10</v>
      </c>
      <c r="L13" t="s">
        <v>197</v>
      </c>
      <c r="M13" t="s">
        <v>10</v>
      </c>
      <c r="N13">
        <v>6.1477782528546188E-2</v>
      </c>
      <c r="P13">
        <v>2020</v>
      </c>
      <c r="Q13" t="s">
        <v>201</v>
      </c>
      <c r="R13">
        <v>0.32593333333333335</v>
      </c>
      <c r="S13" t="s">
        <v>199</v>
      </c>
    </row>
    <row r="14" spans="1:19" x14ac:dyDescent="0.45">
      <c r="C14">
        <v>3.0821917808219176E-2</v>
      </c>
      <c r="D14">
        <v>3.9768291773363502E-2</v>
      </c>
      <c r="E14" t="s">
        <v>11</v>
      </c>
      <c r="F14" t="s">
        <v>195</v>
      </c>
      <c r="H14" t="s">
        <v>196</v>
      </c>
      <c r="I14" t="s">
        <v>11</v>
      </c>
      <c r="L14" t="s">
        <v>197</v>
      </c>
      <c r="M14" t="s">
        <v>11</v>
      </c>
      <c r="N14">
        <v>7.6736746760844632E-2</v>
      </c>
      <c r="P14">
        <v>2020</v>
      </c>
      <c r="Q14" t="s">
        <v>202</v>
      </c>
      <c r="R14">
        <v>0.25956666666666667</v>
      </c>
      <c r="S14" t="s">
        <v>199</v>
      </c>
    </row>
    <row r="15" spans="1:19" x14ac:dyDescent="0.45">
      <c r="C15">
        <v>3.0821917808219176E-2</v>
      </c>
      <c r="D15">
        <v>5.5490639683763034E-2</v>
      </c>
      <c r="E15" t="s">
        <v>12</v>
      </c>
      <c r="F15" t="s">
        <v>195</v>
      </c>
      <c r="H15" t="s">
        <v>196</v>
      </c>
      <c r="I15" t="s">
        <v>12</v>
      </c>
      <c r="L15" t="s">
        <v>197</v>
      </c>
      <c r="M15" t="s">
        <v>12</v>
      </c>
      <c r="N15">
        <v>9.7070855946784551E-2</v>
      </c>
      <c r="P15">
        <v>2021</v>
      </c>
      <c r="Q15" t="s">
        <v>198</v>
      </c>
      <c r="R15">
        <v>0.22666666666666666</v>
      </c>
      <c r="S15" t="s">
        <v>199</v>
      </c>
    </row>
    <row r="16" spans="1:19" x14ac:dyDescent="0.45">
      <c r="C16">
        <v>3.0821917808219176E-2</v>
      </c>
      <c r="D16">
        <v>3.9380453969122146E-2</v>
      </c>
      <c r="E16" t="s">
        <v>13</v>
      </c>
      <c r="F16" t="s">
        <v>195</v>
      </c>
      <c r="H16" t="s">
        <v>196</v>
      </c>
      <c r="I16" t="s">
        <v>13</v>
      </c>
      <c r="L16" t="s">
        <v>197</v>
      </c>
      <c r="M16" t="s">
        <v>13</v>
      </c>
      <c r="N16">
        <v>6.1621644673902187E-2</v>
      </c>
      <c r="P16">
        <v>2021</v>
      </c>
      <c r="Q16" t="s">
        <v>200</v>
      </c>
      <c r="R16">
        <v>0.23616666666666666</v>
      </c>
      <c r="S16" t="s">
        <v>199</v>
      </c>
    </row>
    <row r="17" spans="3:19" x14ac:dyDescent="0.45">
      <c r="C17">
        <v>8.4018264840182655E-2</v>
      </c>
      <c r="D17">
        <v>2.3421425552544572E-2</v>
      </c>
      <c r="E17" t="s">
        <v>14</v>
      </c>
      <c r="F17" t="s">
        <v>195</v>
      </c>
      <c r="H17" t="s">
        <v>196</v>
      </c>
      <c r="I17" t="s">
        <v>14</v>
      </c>
      <c r="L17" t="s">
        <v>197</v>
      </c>
      <c r="M17" t="s">
        <v>14</v>
      </c>
      <c r="N17">
        <v>0.2967076269971054</v>
      </c>
      <c r="P17">
        <v>2021</v>
      </c>
      <c r="Q17" t="s">
        <v>201</v>
      </c>
      <c r="R17">
        <v>0.3372</v>
      </c>
      <c r="S17" t="s">
        <v>199</v>
      </c>
    </row>
    <row r="18" spans="3:19" x14ac:dyDescent="0.45">
      <c r="C18">
        <v>4.2009132420091327E-2</v>
      </c>
      <c r="D18">
        <v>5.1813804705433876E-2</v>
      </c>
      <c r="E18" t="s">
        <v>15</v>
      </c>
      <c r="F18" t="s">
        <v>195</v>
      </c>
      <c r="H18" t="s">
        <v>196</v>
      </c>
      <c r="I18" t="s">
        <v>15</v>
      </c>
      <c r="L18" t="s">
        <v>197</v>
      </c>
      <c r="M18" t="s">
        <v>15</v>
      </c>
      <c r="N18">
        <v>0.29408891025961958</v>
      </c>
      <c r="P18">
        <v>2021</v>
      </c>
      <c r="Q18" t="s">
        <v>202</v>
      </c>
      <c r="R18">
        <v>0.19473333333333334</v>
      </c>
      <c r="S18" t="s">
        <v>199</v>
      </c>
    </row>
    <row r="19" spans="3:19" x14ac:dyDescent="0.45">
      <c r="C19">
        <v>3.1506849315068496E-2</v>
      </c>
      <c r="D19">
        <v>3.9188192493515323E-2</v>
      </c>
      <c r="E19" t="s">
        <v>16</v>
      </c>
      <c r="F19" t="s">
        <v>195</v>
      </c>
      <c r="H19" t="s">
        <v>196</v>
      </c>
      <c r="I19" t="s">
        <v>16</v>
      </c>
      <c r="L19" t="s">
        <v>197</v>
      </c>
      <c r="M19" t="s">
        <v>16</v>
      </c>
      <c r="N19">
        <v>0.15672741115320576</v>
      </c>
      <c r="P19">
        <v>2022</v>
      </c>
      <c r="Q19" t="s">
        <v>198</v>
      </c>
      <c r="R19">
        <v>0.1434</v>
      </c>
      <c r="S19" t="s">
        <v>199</v>
      </c>
    </row>
    <row r="20" spans="3:19" x14ac:dyDescent="0.45">
      <c r="C20">
        <v>3.1506849315068496E-2</v>
      </c>
      <c r="D20">
        <v>4.0652031590549358E-2</v>
      </c>
      <c r="E20" t="s">
        <v>17</v>
      </c>
      <c r="F20" t="s">
        <v>195</v>
      </c>
      <c r="H20" t="s">
        <v>196</v>
      </c>
      <c r="I20" t="s">
        <v>17</v>
      </c>
      <c r="L20" t="s">
        <v>197</v>
      </c>
      <c r="M20" t="s">
        <v>17</v>
      </c>
      <c r="N20">
        <v>0.16042594431266854</v>
      </c>
      <c r="P20">
        <v>2022</v>
      </c>
      <c r="Q20" t="s">
        <v>200</v>
      </c>
      <c r="R20">
        <v>0.14520000000000002</v>
      </c>
      <c r="S20" t="s">
        <v>199</v>
      </c>
    </row>
    <row r="21" spans="3:19" x14ac:dyDescent="0.45">
      <c r="C21">
        <v>3.1506849315068496E-2</v>
      </c>
      <c r="D21">
        <v>5.6723765010068872E-2</v>
      </c>
      <c r="E21" t="s">
        <v>18</v>
      </c>
      <c r="F21" t="s">
        <v>195</v>
      </c>
      <c r="H21" t="s">
        <v>196</v>
      </c>
      <c r="I21" t="s">
        <v>18</v>
      </c>
      <c r="L21" t="s">
        <v>197</v>
      </c>
      <c r="M21" t="s">
        <v>18</v>
      </c>
      <c r="N21">
        <v>0.18100057132393199</v>
      </c>
      <c r="P21">
        <v>2022</v>
      </c>
      <c r="Q21" t="s">
        <v>201</v>
      </c>
      <c r="R21">
        <v>0.20863333333333334</v>
      </c>
      <c r="S21" t="s">
        <v>199</v>
      </c>
    </row>
    <row r="22" spans="3:19" x14ac:dyDescent="0.45">
      <c r="C22">
        <v>3.1506849315068496E-2</v>
      </c>
      <c r="D22">
        <v>4.0255575168435975E-2</v>
      </c>
      <c r="E22" t="s">
        <v>19</v>
      </c>
      <c r="F22" t="s">
        <v>195</v>
      </c>
      <c r="H22" t="s">
        <v>196</v>
      </c>
      <c r="I22" t="s">
        <v>19</v>
      </c>
      <c r="L22" t="s">
        <v>197</v>
      </c>
      <c r="M22" t="s">
        <v>19</v>
      </c>
      <c r="N22">
        <v>0.16932239279572658</v>
      </c>
      <c r="P22">
        <v>2022</v>
      </c>
      <c r="Q22" t="s">
        <v>202</v>
      </c>
      <c r="R22">
        <v>0.13759999999999997</v>
      </c>
      <c r="S22" t="s">
        <v>199</v>
      </c>
    </row>
    <row r="23" spans="3:19" x14ac:dyDescent="0.45">
      <c r="C23">
        <v>8.4018264840182655E-2</v>
      </c>
      <c r="D23">
        <v>2.3421425552544572E-2</v>
      </c>
      <c r="E23" t="s">
        <v>20</v>
      </c>
      <c r="F23" t="s">
        <v>195</v>
      </c>
      <c r="H23" t="s">
        <v>196</v>
      </c>
      <c r="I23" t="s">
        <v>20</v>
      </c>
      <c r="L23" t="s">
        <v>197</v>
      </c>
      <c r="M23" t="s">
        <v>20</v>
      </c>
      <c r="N23">
        <v>0.3223464363904458</v>
      </c>
      <c r="P23">
        <v>2025</v>
      </c>
      <c r="Q23" t="s">
        <v>198</v>
      </c>
      <c r="R23">
        <v>0.20986666666666667</v>
      </c>
      <c r="S23" t="s">
        <v>199</v>
      </c>
    </row>
    <row r="24" spans="3:19" x14ac:dyDescent="0.45">
      <c r="C24">
        <v>4.2009132420091327E-2</v>
      </c>
      <c r="D24">
        <v>5.1813804705433876E-2</v>
      </c>
      <c r="E24" t="s">
        <v>21</v>
      </c>
      <c r="F24" t="s">
        <v>195</v>
      </c>
      <c r="H24" t="s">
        <v>196</v>
      </c>
      <c r="I24" t="s">
        <v>21</v>
      </c>
      <c r="L24" t="s">
        <v>197</v>
      </c>
      <c r="M24" t="s">
        <v>21</v>
      </c>
      <c r="N24">
        <v>0.25470458245086558</v>
      </c>
      <c r="P24">
        <v>2025</v>
      </c>
      <c r="Q24" t="s">
        <v>200</v>
      </c>
      <c r="R24">
        <v>0.20746666666666669</v>
      </c>
      <c r="S24" t="s">
        <v>199</v>
      </c>
    </row>
    <row r="25" spans="3:19" x14ac:dyDescent="0.45">
      <c r="C25">
        <v>3.1506849315068496E-2</v>
      </c>
      <c r="D25">
        <v>3.9188192493515323E-2</v>
      </c>
      <c r="E25" t="s">
        <v>22</v>
      </c>
      <c r="F25" t="s">
        <v>195</v>
      </c>
      <c r="H25" t="s">
        <v>196</v>
      </c>
      <c r="I25" t="s">
        <v>22</v>
      </c>
      <c r="L25" t="s">
        <v>197</v>
      </c>
      <c r="M25" t="s">
        <v>22</v>
      </c>
      <c r="N25">
        <v>0.12082572461344609</v>
      </c>
      <c r="P25">
        <v>2025</v>
      </c>
      <c r="Q25" t="s">
        <v>201</v>
      </c>
      <c r="R25">
        <v>0.34026666666666666</v>
      </c>
      <c r="S25" t="s">
        <v>199</v>
      </c>
    </row>
    <row r="26" spans="3:19" x14ac:dyDescent="0.45">
      <c r="C26">
        <v>3.1506849315068496E-2</v>
      </c>
      <c r="D26">
        <v>4.0652031590549358E-2</v>
      </c>
      <c r="E26" t="s">
        <v>23</v>
      </c>
      <c r="F26" t="s">
        <v>195</v>
      </c>
      <c r="H26" t="s">
        <v>196</v>
      </c>
      <c r="I26" t="s">
        <v>23</v>
      </c>
      <c r="L26" t="s">
        <v>197</v>
      </c>
      <c r="M26" t="s">
        <v>23</v>
      </c>
      <c r="N26">
        <v>0.11771651834395658</v>
      </c>
      <c r="P26">
        <v>2025</v>
      </c>
      <c r="Q26" t="s">
        <v>202</v>
      </c>
      <c r="R26">
        <v>0.22560000000000002</v>
      </c>
      <c r="S26" t="s">
        <v>199</v>
      </c>
    </row>
    <row r="27" spans="3:19" x14ac:dyDescent="0.45">
      <c r="C27">
        <v>3.1506849315068496E-2</v>
      </c>
      <c r="D27">
        <v>5.6723765010068872E-2</v>
      </c>
      <c r="E27" t="s">
        <v>24</v>
      </c>
      <c r="F27" t="s">
        <v>195</v>
      </c>
      <c r="H27" t="s">
        <v>196</v>
      </c>
      <c r="I27" t="s">
        <v>24</v>
      </c>
      <c r="L27" t="s">
        <v>197</v>
      </c>
      <c r="M27" t="s">
        <v>24</v>
      </c>
      <c r="N27">
        <v>0.11474525198037044</v>
      </c>
      <c r="P27">
        <v>2026</v>
      </c>
      <c r="Q27" t="s">
        <v>198</v>
      </c>
      <c r="R27">
        <v>0.23529999999999998</v>
      </c>
      <c r="S27" t="s">
        <v>199</v>
      </c>
    </row>
    <row r="28" spans="3:19" x14ac:dyDescent="0.45">
      <c r="C28">
        <v>3.1506849315068496E-2</v>
      </c>
      <c r="D28">
        <v>4.0255575168435975E-2</v>
      </c>
      <c r="E28" t="s">
        <v>25</v>
      </c>
      <c r="F28" t="s">
        <v>195</v>
      </c>
      <c r="H28" t="s">
        <v>196</v>
      </c>
      <c r="I28" t="s">
        <v>25</v>
      </c>
      <c r="L28" t="s">
        <v>197</v>
      </c>
      <c r="M28" t="s">
        <v>25</v>
      </c>
      <c r="N28">
        <v>0.11032128040797451</v>
      </c>
      <c r="P28">
        <v>2026</v>
      </c>
      <c r="Q28" t="s">
        <v>200</v>
      </c>
      <c r="R28">
        <v>0.33503333333333335</v>
      </c>
      <c r="S28" t="s">
        <v>199</v>
      </c>
    </row>
    <row r="29" spans="3:19" x14ac:dyDescent="0.45">
      <c r="C29">
        <v>8.3105022831050229E-2</v>
      </c>
      <c r="D29">
        <v>2.3166844840016909E-2</v>
      </c>
      <c r="E29" t="s">
        <v>26</v>
      </c>
      <c r="F29" t="s">
        <v>195</v>
      </c>
      <c r="H29" t="s">
        <v>196</v>
      </c>
      <c r="I29" t="s">
        <v>26</v>
      </c>
      <c r="L29" t="s">
        <v>197</v>
      </c>
      <c r="M29" t="s">
        <v>26</v>
      </c>
      <c r="N29">
        <v>0.30180938454031314</v>
      </c>
      <c r="P29">
        <v>2026</v>
      </c>
      <c r="Q29" t="s">
        <v>201</v>
      </c>
      <c r="R29">
        <v>0.41966666666666669</v>
      </c>
      <c r="S29" t="s">
        <v>199</v>
      </c>
    </row>
    <row r="30" spans="3:19" x14ac:dyDescent="0.45">
      <c r="C30">
        <v>4.1552511415525115E-2</v>
      </c>
      <c r="D30">
        <v>5.1250611176026986E-2</v>
      </c>
      <c r="E30" t="s">
        <v>27</v>
      </c>
      <c r="F30" t="s">
        <v>195</v>
      </c>
      <c r="H30" t="s">
        <v>196</v>
      </c>
      <c r="I30" t="s">
        <v>27</v>
      </c>
      <c r="L30" t="s">
        <v>197</v>
      </c>
      <c r="M30" t="s">
        <v>27</v>
      </c>
      <c r="N30">
        <v>0.25980096384668583</v>
      </c>
      <c r="P30">
        <v>2026</v>
      </c>
      <c r="Q30" t="s">
        <v>202</v>
      </c>
      <c r="R30">
        <v>0.31973333333333337</v>
      </c>
      <c r="S30" t="s">
        <v>199</v>
      </c>
    </row>
    <row r="31" spans="3:19" x14ac:dyDescent="0.45">
      <c r="C31">
        <v>3.1164383561643836E-2</v>
      </c>
      <c r="D31">
        <v>3.8762233879455377E-2</v>
      </c>
      <c r="E31" t="s">
        <v>28</v>
      </c>
      <c r="F31" t="s">
        <v>195</v>
      </c>
      <c r="H31" t="s">
        <v>196</v>
      </c>
      <c r="I31" t="s">
        <v>28</v>
      </c>
      <c r="L31" t="s">
        <v>197</v>
      </c>
      <c r="M31" t="s">
        <v>28</v>
      </c>
      <c r="N31">
        <v>0.1463357027868164</v>
      </c>
      <c r="P31">
        <v>2027</v>
      </c>
      <c r="Q31" t="s">
        <v>198</v>
      </c>
      <c r="R31">
        <v>0.27089999999999997</v>
      </c>
      <c r="S31" t="s">
        <v>199</v>
      </c>
    </row>
    <row r="32" spans="3:19" x14ac:dyDescent="0.45">
      <c r="C32">
        <v>3.1164383561643836E-2</v>
      </c>
      <c r="D32">
        <v>4.021016168195643E-2</v>
      </c>
      <c r="E32" t="s">
        <v>29</v>
      </c>
      <c r="F32" t="s">
        <v>195</v>
      </c>
      <c r="H32" t="s">
        <v>196</v>
      </c>
      <c r="I32" t="s">
        <v>29</v>
      </c>
      <c r="L32" t="s">
        <v>197</v>
      </c>
      <c r="M32" t="s">
        <v>29</v>
      </c>
      <c r="N32">
        <v>0.1343388284812348</v>
      </c>
      <c r="P32">
        <v>2027</v>
      </c>
      <c r="Q32" t="s">
        <v>200</v>
      </c>
      <c r="R32">
        <v>0.31180000000000002</v>
      </c>
      <c r="S32" t="s">
        <v>199</v>
      </c>
    </row>
    <row r="33" spans="3:19" x14ac:dyDescent="0.45">
      <c r="C33">
        <v>3.1164383561643836E-2</v>
      </c>
      <c r="D33">
        <v>5.6107202346915949E-2</v>
      </c>
      <c r="E33" t="s">
        <v>30</v>
      </c>
      <c r="F33" t="s">
        <v>195</v>
      </c>
      <c r="H33" t="s">
        <v>196</v>
      </c>
      <c r="I33" t="s">
        <v>30</v>
      </c>
      <c r="L33" t="s">
        <v>197</v>
      </c>
      <c r="M33" t="s">
        <v>30</v>
      </c>
      <c r="N33">
        <v>0.16556411860202491</v>
      </c>
      <c r="P33">
        <v>2027</v>
      </c>
      <c r="Q33" t="s">
        <v>201</v>
      </c>
      <c r="R33">
        <v>0.40366666666666662</v>
      </c>
      <c r="S33" t="s">
        <v>199</v>
      </c>
    </row>
    <row r="34" spans="3:19" x14ac:dyDescent="0.45">
      <c r="C34">
        <v>3.1164383561643836E-2</v>
      </c>
      <c r="D34">
        <v>3.9818014568779057E-2</v>
      </c>
      <c r="E34" t="s">
        <v>31</v>
      </c>
      <c r="F34" t="s">
        <v>195</v>
      </c>
      <c r="H34" t="s">
        <v>196</v>
      </c>
      <c r="I34" t="s">
        <v>31</v>
      </c>
      <c r="L34" t="s">
        <v>197</v>
      </c>
      <c r="M34" t="s">
        <v>31</v>
      </c>
      <c r="N34">
        <v>0.17024438360609651</v>
      </c>
      <c r="P34">
        <v>2027</v>
      </c>
      <c r="Q34" t="s">
        <v>202</v>
      </c>
      <c r="R34">
        <v>0.2984</v>
      </c>
      <c r="S34" t="s">
        <v>199</v>
      </c>
    </row>
    <row r="35" spans="3:19" x14ac:dyDescent="0.45">
      <c r="H35" t="s">
        <v>203</v>
      </c>
      <c r="I35" t="s">
        <v>5</v>
      </c>
      <c r="P35">
        <v>2028</v>
      </c>
      <c r="Q35" t="s">
        <v>198</v>
      </c>
      <c r="R35">
        <v>0.27</v>
      </c>
      <c r="S35" t="s">
        <v>199</v>
      </c>
    </row>
    <row r="36" spans="3:19" x14ac:dyDescent="0.45">
      <c r="H36" t="s">
        <v>203</v>
      </c>
      <c r="I36" t="s">
        <v>9</v>
      </c>
      <c r="P36">
        <v>2028</v>
      </c>
      <c r="Q36" t="s">
        <v>200</v>
      </c>
      <c r="R36">
        <v>0.30036666666666667</v>
      </c>
      <c r="S36" t="s">
        <v>199</v>
      </c>
    </row>
    <row r="37" spans="3:19" x14ac:dyDescent="0.45">
      <c r="H37" t="s">
        <v>203</v>
      </c>
      <c r="I37" t="s">
        <v>10</v>
      </c>
      <c r="P37">
        <v>2028</v>
      </c>
      <c r="Q37" t="s">
        <v>201</v>
      </c>
      <c r="R37">
        <v>0.38313333333333333</v>
      </c>
      <c r="S37" t="s">
        <v>199</v>
      </c>
    </row>
    <row r="38" spans="3:19" x14ac:dyDescent="0.45">
      <c r="H38" t="s">
        <v>203</v>
      </c>
      <c r="I38" t="s">
        <v>11</v>
      </c>
      <c r="P38">
        <v>2028</v>
      </c>
      <c r="Q38" t="s">
        <v>202</v>
      </c>
      <c r="R38">
        <v>0.30620000000000003</v>
      </c>
      <c r="S38" t="s">
        <v>199</v>
      </c>
    </row>
    <row r="39" spans="3:19" x14ac:dyDescent="0.45">
      <c r="H39" t="s">
        <v>203</v>
      </c>
      <c r="I39" t="s">
        <v>12</v>
      </c>
      <c r="P39">
        <v>2029</v>
      </c>
      <c r="Q39" t="s">
        <v>198</v>
      </c>
      <c r="R39">
        <v>0.25733333333333336</v>
      </c>
      <c r="S39" t="s">
        <v>199</v>
      </c>
    </row>
    <row r="40" spans="3:19" x14ac:dyDescent="0.45">
      <c r="H40" t="s">
        <v>203</v>
      </c>
      <c r="I40" t="s">
        <v>13</v>
      </c>
      <c r="P40">
        <v>2029</v>
      </c>
      <c r="Q40" t="s">
        <v>200</v>
      </c>
      <c r="R40">
        <v>0.30409999999999998</v>
      </c>
      <c r="S40" t="s">
        <v>199</v>
      </c>
    </row>
    <row r="41" spans="3:19" x14ac:dyDescent="0.45">
      <c r="H41" t="s">
        <v>203</v>
      </c>
      <c r="I41" t="s">
        <v>14</v>
      </c>
      <c r="P41">
        <v>2029</v>
      </c>
      <c r="Q41" t="s">
        <v>201</v>
      </c>
      <c r="R41">
        <v>0.41310000000000002</v>
      </c>
      <c r="S41" t="s">
        <v>199</v>
      </c>
    </row>
    <row r="42" spans="3:19" x14ac:dyDescent="0.45">
      <c r="H42" t="s">
        <v>203</v>
      </c>
      <c r="I42" t="s">
        <v>15</v>
      </c>
      <c r="P42">
        <v>2029</v>
      </c>
      <c r="Q42" t="s">
        <v>202</v>
      </c>
      <c r="R42">
        <v>0.24496666666666667</v>
      </c>
      <c r="S42" t="s">
        <v>199</v>
      </c>
    </row>
    <row r="43" spans="3:19" x14ac:dyDescent="0.45">
      <c r="H43" t="s">
        <v>203</v>
      </c>
      <c r="I43" t="s">
        <v>16</v>
      </c>
      <c r="P43">
        <v>2030</v>
      </c>
      <c r="Q43" t="s">
        <v>198</v>
      </c>
      <c r="R43">
        <v>0.25089999999999996</v>
      </c>
      <c r="S43" t="s">
        <v>199</v>
      </c>
    </row>
    <row r="44" spans="3:19" x14ac:dyDescent="0.45">
      <c r="H44" t="s">
        <v>203</v>
      </c>
      <c r="I44" t="s">
        <v>17</v>
      </c>
      <c r="P44">
        <v>2030</v>
      </c>
      <c r="Q44" t="s">
        <v>200</v>
      </c>
      <c r="R44">
        <v>0.22850000000000001</v>
      </c>
      <c r="S44" t="s">
        <v>199</v>
      </c>
    </row>
    <row r="45" spans="3:19" x14ac:dyDescent="0.45">
      <c r="H45" t="s">
        <v>203</v>
      </c>
      <c r="I45" t="s">
        <v>18</v>
      </c>
      <c r="P45">
        <v>2030</v>
      </c>
      <c r="Q45" t="s">
        <v>201</v>
      </c>
      <c r="R45">
        <v>0.39736666666666665</v>
      </c>
      <c r="S45" t="s">
        <v>199</v>
      </c>
    </row>
    <row r="46" spans="3:19" x14ac:dyDescent="0.45">
      <c r="H46" t="s">
        <v>203</v>
      </c>
      <c r="I46" t="s">
        <v>19</v>
      </c>
      <c r="P46">
        <v>2030</v>
      </c>
      <c r="Q46" t="s">
        <v>202</v>
      </c>
      <c r="R46">
        <v>0.27126666666666666</v>
      </c>
      <c r="S46" t="s">
        <v>199</v>
      </c>
    </row>
    <row r="47" spans="3:19" x14ac:dyDescent="0.45">
      <c r="H47" t="s">
        <v>203</v>
      </c>
      <c r="I47" t="s">
        <v>20</v>
      </c>
      <c r="P47">
        <v>2031</v>
      </c>
      <c r="Q47" t="s">
        <v>198</v>
      </c>
      <c r="R47">
        <v>0.17899999999999996</v>
      </c>
      <c r="S47" t="s">
        <v>199</v>
      </c>
    </row>
    <row r="48" spans="3:19" x14ac:dyDescent="0.45">
      <c r="H48" t="s">
        <v>203</v>
      </c>
      <c r="I48" t="s">
        <v>21</v>
      </c>
      <c r="P48">
        <v>2031</v>
      </c>
      <c r="Q48" t="s">
        <v>200</v>
      </c>
      <c r="R48">
        <v>0.2611</v>
      </c>
      <c r="S48" t="s">
        <v>199</v>
      </c>
    </row>
    <row r="49" spans="8:19" x14ac:dyDescent="0.45">
      <c r="H49" t="s">
        <v>203</v>
      </c>
      <c r="I49" t="s">
        <v>22</v>
      </c>
      <c r="P49">
        <v>2031</v>
      </c>
      <c r="Q49" t="s">
        <v>201</v>
      </c>
      <c r="R49">
        <v>0.35036666666666672</v>
      </c>
      <c r="S49" t="s">
        <v>199</v>
      </c>
    </row>
    <row r="50" spans="8:19" x14ac:dyDescent="0.45">
      <c r="H50" t="s">
        <v>203</v>
      </c>
      <c r="I50" t="s">
        <v>23</v>
      </c>
      <c r="P50">
        <v>2031</v>
      </c>
      <c r="Q50" t="s">
        <v>202</v>
      </c>
      <c r="R50">
        <v>0.2305666666666667</v>
      </c>
      <c r="S50" t="s">
        <v>199</v>
      </c>
    </row>
    <row r="51" spans="8:19" x14ac:dyDescent="0.45">
      <c r="H51" t="s">
        <v>203</v>
      </c>
      <c r="I51" t="s">
        <v>24</v>
      </c>
      <c r="P51">
        <v>2032</v>
      </c>
      <c r="Q51" t="s">
        <v>198</v>
      </c>
      <c r="R51">
        <v>0.21143333333333336</v>
      </c>
      <c r="S51" t="s">
        <v>199</v>
      </c>
    </row>
    <row r="52" spans="8:19" x14ac:dyDescent="0.45">
      <c r="H52" t="s">
        <v>203</v>
      </c>
      <c r="I52" t="s">
        <v>25</v>
      </c>
      <c r="P52">
        <v>2032</v>
      </c>
      <c r="Q52" t="s">
        <v>200</v>
      </c>
      <c r="R52">
        <v>0.30596666666666666</v>
      </c>
      <c r="S52" t="s">
        <v>199</v>
      </c>
    </row>
    <row r="53" spans="8:19" x14ac:dyDescent="0.45">
      <c r="H53" t="s">
        <v>203</v>
      </c>
      <c r="I53" t="s">
        <v>26</v>
      </c>
      <c r="P53">
        <v>2032</v>
      </c>
      <c r="Q53" t="s">
        <v>201</v>
      </c>
      <c r="R53">
        <v>0.34100000000000003</v>
      </c>
      <c r="S53" t="s">
        <v>199</v>
      </c>
    </row>
    <row r="54" spans="8:19" x14ac:dyDescent="0.45">
      <c r="H54" t="s">
        <v>203</v>
      </c>
      <c r="I54" t="s">
        <v>27</v>
      </c>
      <c r="P54">
        <v>2032</v>
      </c>
      <c r="Q54" t="s">
        <v>202</v>
      </c>
      <c r="R54">
        <v>0.2341</v>
      </c>
      <c r="S54" t="s">
        <v>199</v>
      </c>
    </row>
    <row r="55" spans="8:19" x14ac:dyDescent="0.45">
      <c r="H55" t="s">
        <v>203</v>
      </c>
      <c r="I55" t="s">
        <v>28</v>
      </c>
      <c r="P55">
        <v>2033</v>
      </c>
      <c r="Q55" t="s">
        <v>198</v>
      </c>
      <c r="R55">
        <v>0.23863333333333334</v>
      </c>
      <c r="S55" t="s">
        <v>199</v>
      </c>
    </row>
    <row r="56" spans="8:19" x14ac:dyDescent="0.45">
      <c r="H56" t="s">
        <v>203</v>
      </c>
      <c r="I56" t="s">
        <v>29</v>
      </c>
      <c r="P56">
        <v>2033</v>
      </c>
      <c r="Q56" t="s">
        <v>200</v>
      </c>
      <c r="R56">
        <v>0.21530000000000002</v>
      </c>
      <c r="S56" t="s">
        <v>199</v>
      </c>
    </row>
    <row r="57" spans="8:19" x14ac:dyDescent="0.45">
      <c r="H57" t="s">
        <v>203</v>
      </c>
      <c r="I57" t="s">
        <v>30</v>
      </c>
      <c r="P57">
        <v>2033</v>
      </c>
      <c r="Q57" t="s">
        <v>201</v>
      </c>
      <c r="R57">
        <v>0.36476666666666668</v>
      </c>
      <c r="S57" t="s">
        <v>199</v>
      </c>
    </row>
    <row r="58" spans="8:19" x14ac:dyDescent="0.45">
      <c r="H58" t="s">
        <v>203</v>
      </c>
      <c r="I58" t="s">
        <v>31</v>
      </c>
      <c r="P58">
        <v>2033</v>
      </c>
      <c r="Q58" t="s">
        <v>202</v>
      </c>
      <c r="R58">
        <v>0.22756666666666669</v>
      </c>
      <c r="S58" t="s">
        <v>199</v>
      </c>
    </row>
    <row r="59" spans="8:19" x14ac:dyDescent="0.45">
      <c r="P59">
        <v>2034</v>
      </c>
      <c r="Q59" t="s">
        <v>198</v>
      </c>
      <c r="R59">
        <v>0.23653333333333335</v>
      </c>
      <c r="S59" t="s">
        <v>199</v>
      </c>
    </row>
    <row r="60" spans="8:19" x14ac:dyDescent="0.45">
      <c r="P60">
        <v>2034</v>
      </c>
      <c r="Q60" t="s">
        <v>200</v>
      </c>
      <c r="R60">
        <v>0.26730000000000004</v>
      </c>
      <c r="S60" t="s">
        <v>199</v>
      </c>
    </row>
    <row r="61" spans="8:19" x14ac:dyDescent="0.45">
      <c r="P61">
        <v>2034</v>
      </c>
      <c r="Q61" t="s">
        <v>201</v>
      </c>
      <c r="R61">
        <v>0.38339999999999996</v>
      </c>
      <c r="S61" t="s">
        <v>199</v>
      </c>
    </row>
    <row r="62" spans="8:19" x14ac:dyDescent="0.45">
      <c r="P62">
        <v>2034</v>
      </c>
      <c r="Q62" t="s">
        <v>202</v>
      </c>
      <c r="R62">
        <v>0.27423333333333333</v>
      </c>
      <c r="S62" t="s">
        <v>199</v>
      </c>
    </row>
    <row r="63" spans="8:19" x14ac:dyDescent="0.45">
      <c r="P63">
        <v>2035</v>
      </c>
      <c r="Q63" t="s">
        <v>198</v>
      </c>
      <c r="R63">
        <v>0.18416666666666667</v>
      </c>
      <c r="S63" t="s">
        <v>199</v>
      </c>
    </row>
    <row r="64" spans="8:19" x14ac:dyDescent="0.45">
      <c r="P64">
        <v>2035</v>
      </c>
      <c r="Q64" t="s">
        <v>200</v>
      </c>
      <c r="R64">
        <v>0.22626666666666664</v>
      </c>
      <c r="S64" t="s">
        <v>199</v>
      </c>
    </row>
    <row r="65" spans="16:19" x14ac:dyDescent="0.45">
      <c r="P65">
        <v>2035</v>
      </c>
      <c r="Q65" t="s">
        <v>201</v>
      </c>
      <c r="R65">
        <v>0.36940000000000001</v>
      </c>
      <c r="S65" t="s">
        <v>199</v>
      </c>
    </row>
    <row r="66" spans="16:19" x14ac:dyDescent="0.45">
      <c r="P66">
        <v>2035</v>
      </c>
      <c r="Q66" t="s">
        <v>202</v>
      </c>
      <c r="R66">
        <v>0.19633333333333333</v>
      </c>
      <c r="S66" t="s">
        <v>199</v>
      </c>
    </row>
    <row r="67" spans="16:19" x14ac:dyDescent="0.45">
      <c r="P67">
        <v>2036</v>
      </c>
      <c r="Q67" t="s">
        <v>198</v>
      </c>
      <c r="R67">
        <v>0.25413333333333332</v>
      </c>
      <c r="S67" t="s">
        <v>199</v>
      </c>
    </row>
    <row r="68" spans="16:19" x14ac:dyDescent="0.45">
      <c r="P68">
        <v>2036</v>
      </c>
      <c r="Q68" t="s">
        <v>200</v>
      </c>
      <c r="R68">
        <v>0.30023333333333335</v>
      </c>
      <c r="S68" t="s">
        <v>199</v>
      </c>
    </row>
    <row r="69" spans="16:19" x14ac:dyDescent="0.45">
      <c r="P69">
        <v>2036</v>
      </c>
      <c r="Q69" t="s">
        <v>201</v>
      </c>
      <c r="R69">
        <v>0.38166666666666665</v>
      </c>
      <c r="S69" t="s">
        <v>199</v>
      </c>
    </row>
    <row r="70" spans="16:19" x14ac:dyDescent="0.45">
      <c r="P70">
        <v>2036</v>
      </c>
      <c r="Q70" t="s">
        <v>202</v>
      </c>
      <c r="R70">
        <v>0.23196666666666665</v>
      </c>
      <c r="S70" t="s">
        <v>199</v>
      </c>
    </row>
    <row r="71" spans="16:19" x14ac:dyDescent="0.45">
      <c r="P71">
        <v>2037</v>
      </c>
      <c r="Q71" t="s">
        <v>198</v>
      </c>
      <c r="R71">
        <v>0.20140000000000002</v>
      </c>
      <c r="S71" t="s">
        <v>199</v>
      </c>
    </row>
    <row r="72" spans="16:19" x14ac:dyDescent="0.45">
      <c r="P72">
        <v>2037</v>
      </c>
      <c r="Q72" t="s">
        <v>200</v>
      </c>
      <c r="R72">
        <v>0.25109999999999999</v>
      </c>
      <c r="S72" t="s">
        <v>199</v>
      </c>
    </row>
    <row r="73" spans="16:19" x14ac:dyDescent="0.45">
      <c r="P73">
        <v>2037</v>
      </c>
      <c r="Q73" t="s">
        <v>201</v>
      </c>
      <c r="R73">
        <v>0.34720000000000001</v>
      </c>
      <c r="S73" t="s">
        <v>199</v>
      </c>
    </row>
    <row r="74" spans="16:19" x14ac:dyDescent="0.45">
      <c r="P74">
        <v>2037</v>
      </c>
      <c r="Q74" t="s">
        <v>202</v>
      </c>
      <c r="R74">
        <v>0.22273333333333334</v>
      </c>
      <c r="S74" t="s">
        <v>199</v>
      </c>
    </row>
    <row r="75" spans="16:19" x14ac:dyDescent="0.45">
      <c r="P75">
        <v>2038</v>
      </c>
      <c r="Q75" t="s">
        <v>198</v>
      </c>
      <c r="R75">
        <v>0.2644333333333333</v>
      </c>
      <c r="S75" t="s">
        <v>199</v>
      </c>
    </row>
    <row r="76" spans="16:19" x14ac:dyDescent="0.45">
      <c r="P76">
        <v>2038</v>
      </c>
      <c r="Q76" t="s">
        <v>200</v>
      </c>
      <c r="R76">
        <v>0.23233333333333336</v>
      </c>
      <c r="S76" t="s">
        <v>199</v>
      </c>
    </row>
    <row r="77" spans="16:19" x14ac:dyDescent="0.45">
      <c r="P77">
        <v>2038</v>
      </c>
      <c r="Q77" t="s">
        <v>201</v>
      </c>
      <c r="R77">
        <v>0.34836666666666666</v>
      </c>
      <c r="S77" t="s">
        <v>199</v>
      </c>
    </row>
    <row r="78" spans="16:19" x14ac:dyDescent="0.45">
      <c r="P78">
        <v>2038</v>
      </c>
      <c r="Q78" t="s">
        <v>202</v>
      </c>
      <c r="R78">
        <v>0.29136666666666666</v>
      </c>
      <c r="S78" t="s">
        <v>199</v>
      </c>
    </row>
    <row r="79" spans="16:19" x14ac:dyDescent="0.45">
      <c r="P79">
        <v>2039</v>
      </c>
      <c r="Q79" t="s">
        <v>198</v>
      </c>
      <c r="R79">
        <v>0.28350000000000003</v>
      </c>
      <c r="S79" t="s">
        <v>199</v>
      </c>
    </row>
    <row r="80" spans="16:19" x14ac:dyDescent="0.45">
      <c r="P80">
        <v>2039</v>
      </c>
      <c r="Q80" t="s">
        <v>200</v>
      </c>
      <c r="R80">
        <v>0.25823333333333331</v>
      </c>
      <c r="S80" t="s">
        <v>199</v>
      </c>
    </row>
    <row r="81" spans="16:19" x14ac:dyDescent="0.45">
      <c r="P81">
        <v>2039</v>
      </c>
      <c r="Q81" t="s">
        <v>201</v>
      </c>
      <c r="R81">
        <v>0.37529999999999997</v>
      </c>
      <c r="S81" t="s">
        <v>199</v>
      </c>
    </row>
    <row r="82" spans="16:19" x14ac:dyDescent="0.45">
      <c r="P82">
        <v>2039</v>
      </c>
      <c r="Q82" t="s">
        <v>202</v>
      </c>
      <c r="R82">
        <v>0.24099999999999999</v>
      </c>
      <c r="S82" t="s">
        <v>199</v>
      </c>
    </row>
    <row r="83" spans="16:19" x14ac:dyDescent="0.45">
      <c r="P83">
        <v>2040</v>
      </c>
      <c r="Q83" t="s">
        <v>198</v>
      </c>
      <c r="R83">
        <v>0.21603333333333333</v>
      </c>
      <c r="S83" t="s">
        <v>199</v>
      </c>
    </row>
    <row r="84" spans="16:19" x14ac:dyDescent="0.45">
      <c r="P84">
        <v>2040</v>
      </c>
      <c r="Q84" t="s">
        <v>200</v>
      </c>
      <c r="R84">
        <v>0.23450000000000001</v>
      </c>
      <c r="S84" t="s">
        <v>199</v>
      </c>
    </row>
    <row r="85" spans="16:19" x14ac:dyDescent="0.45">
      <c r="P85">
        <v>2040</v>
      </c>
      <c r="Q85" t="s">
        <v>201</v>
      </c>
      <c r="R85">
        <v>0.33576666666666671</v>
      </c>
      <c r="S85" t="s">
        <v>199</v>
      </c>
    </row>
    <row r="86" spans="16:19" x14ac:dyDescent="0.45">
      <c r="P86">
        <v>2040</v>
      </c>
      <c r="Q86" t="s">
        <v>202</v>
      </c>
      <c r="R86">
        <v>0.29096666666666665</v>
      </c>
      <c r="S86" t="s">
        <v>199</v>
      </c>
    </row>
    <row r="87" spans="16:19" x14ac:dyDescent="0.45">
      <c r="P87">
        <v>2041</v>
      </c>
      <c r="Q87" t="s">
        <v>198</v>
      </c>
      <c r="R87">
        <v>0.20763333333333334</v>
      </c>
      <c r="S87" t="s">
        <v>199</v>
      </c>
    </row>
    <row r="88" spans="16:19" x14ac:dyDescent="0.45">
      <c r="P88">
        <v>2041</v>
      </c>
      <c r="Q88" t="s">
        <v>200</v>
      </c>
      <c r="R88">
        <v>0.26960000000000001</v>
      </c>
      <c r="S88" t="s">
        <v>199</v>
      </c>
    </row>
    <row r="89" spans="16:19" x14ac:dyDescent="0.45">
      <c r="P89">
        <v>2041</v>
      </c>
      <c r="Q89" t="s">
        <v>201</v>
      </c>
      <c r="R89">
        <v>0.42136666666666667</v>
      </c>
      <c r="S89" t="s">
        <v>199</v>
      </c>
    </row>
    <row r="90" spans="16:19" x14ac:dyDescent="0.45">
      <c r="P90">
        <v>2041</v>
      </c>
      <c r="Q90" t="s">
        <v>202</v>
      </c>
      <c r="R90">
        <v>0.22166666666666668</v>
      </c>
      <c r="S90" t="s">
        <v>199</v>
      </c>
    </row>
    <row r="91" spans="16:19" x14ac:dyDescent="0.45">
      <c r="P91">
        <v>2042</v>
      </c>
      <c r="Q91" t="s">
        <v>198</v>
      </c>
      <c r="R91">
        <v>0.24949999999999997</v>
      </c>
      <c r="S91" t="s">
        <v>199</v>
      </c>
    </row>
    <row r="92" spans="16:19" x14ac:dyDescent="0.45">
      <c r="P92">
        <v>2042</v>
      </c>
      <c r="Q92" t="s">
        <v>200</v>
      </c>
      <c r="R92">
        <v>0.28583333333333333</v>
      </c>
      <c r="S92" t="s">
        <v>199</v>
      </c>
    </row>
    <row r="93" spans="16:19" x14ac:dyDescent="0.45">
      <c r="P93">
        <v>2042</v>
      </c>
      <c r="Q93" t="s">
        <v>201</v>
      </c>
      <c r="R93">
        <v>0.40056666666666657</v>
      </c>
      <c r="S93" t="s">
        <v>199</v>
      </c>
    </row>
    <row r="94" spans="16:19" x14ac:dyDescent="0.45">
      <c r="P94">
        <v>2042</v>
      </c>
      <c r="Q94" t="s">
        <v>202</v>
      </c>
      <c r="R94">
        <v>0.23650000000000002</v>
      </c>
      <c r="S94" t="s">
        <v>199</v>
      </c>
    </row>
    <row r="95" spans="16:19" x14ac:dyDescent="0.45">
      <c r="P95">
        <v>2043</v>
      </c>
      <c r="Q95" t="s">
        <v>198</v>
      </c>
      <c r="R95">
        <v>0.18133333333333335</v>
      </c>
      <c r="S95" t="s">
        <v>199</v>
      </c>
    </row>
    <row r="96" spans="16:19" x14ac:dyDescent="0.45">
      <c r="P96">
        <v>2043</v>
      </c>
      <c r="Q96" t="s">
        <v>200</v>
      </c>
      <c r="R96">
        <v>0.23879999999999998</v>
      </c>
      <c r="S96" t="s">
        <v>199</v>
      </c>
    </row>
    <row r="97" spans="16:19" x14ac:dyDescent="0.45">
      <c r="P97">
        <v>2043</v>
      </c>
      <c r="Q97" t="s">
        <v>201</v>
      </c>
      <c r="R97">
        <v>0.3620666666666667</v>
      </c>
      <c r="S97" t="s">
        <v>199</v>
      </c>
    </row>
    <row r="98" spans="16:19" x14ac:dyDescent="0.45">
      <c r="P98">
        <v>2043</v>
      </c>
      <c r="Q98" t="s">
        <v>202</v>
      </c>
      <c r="R98">
        <v>0.22309999999999999</v>
      </c>
      <c r="S98" t="s">
        <v>199</v>
      </c>
    </row>
    <row r="99" spans="16:19" x14ac:dyDescent="0.45">
      <c r="P99">
        <v>2044</v>
      </c>
      <c r="Q99" t="s">
        <v>198</v>
      </c>
      <c r="R99">
        <v>0.15886666666666668</v>
      </c>
      <c r="S99" t="s">
        <v>199</v>
      </c>
    </row>
    <row r="100" spans="16:19" x14ac:dyDescent="0.45">
      <c r="P100">
        <v>2044</v>
      </c>
      <c r="Q100" t="s">
        <v>200</v>
      </c>
      <c r="R100">
        <v>0.2039</v>
      </c>
      <c r="S100" t="s">
        <v>199</v>
      </c>
    </row>
    <row r="101" spans="16:19" x14ac:dyDescent="0.45">
      <c r="P101">
        <v>2044</v>
      </c>
      <c r="Q101" t="s">
        <v>201</v>
      </c>
      <c r="R101">
        <v>0.3805</v>
      </c>
      <c r="S101" t="s">
        <v>199</v>
      </c>
    </row>
    <row r="102" spans="16:19" x14ac:dyDescent="0.45">
      <c r="P102">
        <v>2044</v>
      </c>
      <c r="Q102" t="s">
        <v>202</v>
      </c>
      <c r="R102">
        <v>0.24250000000000002</v>
      </c>
      <c r="S102" t="s">
        <v>199</v>
      </c>
    </row>
    <row r="103" spans="16:19" x14ac:dyDescent="0.45">
      <c r="P103">
        <v>2045</v>
      </c>
      <c r="Q103" t="s">
        <v>198</v>
      </c>
      <c r="R103">
        <v>0.19963333333333333</v>
      </c>
      <c r="S103" t="s">
        <v>199</v>
      </c>
    </row>
    <row r="104" spans="16:19" x14ac:dyDescent="0.45">
      <c r="P104">
        <v>2045</v>
      </c>
      <c r="Q104" t="s">
        <v>200</v>
      </c>
      <c r="R104">
        <v>0.24749999999999997</v>
      </c>
      <c r="S104" t="s">
        <v>199</v>
      </c>
    </row>
    <row r="105" spans="16:19" x14ac:dyDescent="0.45">
      <c r="P105">
        <v>2045</v>
      </c>
      <c r="Q105" t="s">
        <v>201</v>
      </c>
      <c r="R105">
        <v>0.33879999999999999</v>
      </c>
      <c r="S105" t="s">
        <v>199</v>
      </c>
    </row>
    <row r="106" spans="16:19" x14ac:dyDescent="0.45">
      <c r="P106">
        <v>2045</v>
      </c>
      <c r="Q106" t="s">
        <v>202</v>
      </c>
      <c r="R106">
        <v>0.25716666666666671</v>
      </c>
      <c r="S106" t="s">
        <v>199</v>
      </c>
    </row>
    <row r="107" spans="16:19" x14ac:dyDescent="0.45">
      <c r="P107">
        <v>2046</v>
      </c>
      <c r="Q107" t="s">
        <v>198</v>
      </c>
      <c r="R107">
        <v>0.19509999999999997</v>
      </c>
      <c r="S107" t="s">
        <v>199</v>
      </c>
    </row>
    <row r="108" spans="16:19" x14ac:dyDescent="0.45">
      <c r="P108">
        <v>2046</v>
      </c>
      <c r="Q108" t="s">
        <v>200</v>
      </c>
      <c r="R108">
        <v>0.26636666666666664</v>
      </c>
      <c r="S108" t="s">
        <v>199</v>
      </c>
    </row>
    <row r="109" spans="16:19" x14ac:dyDescent="0.45">
      <c r="P109">
        <v>2046</v>
      </c>
      <c r="Q109" t="s">
        <v>201</v>
      </c>
      <c r="R109">
        <v>0.35349999999999998</v>
      </c>
      <c r="S109" t="s">
        <v>199</v>
      </c>
    </row>
    <row r="110" spans="16:19" x14ac:dyDescent="0.45">
      <c r="P110">
        <v>2046</v>
      </c>
      <c r="Q110" t="s">
        <v>202</v>
      </c>
      <c r="R110">
        <v>0.17496666666666669</v>
      </c>
      <c r="S110" t="s">
        <v>199</v>
      </c>
    </row>
    <row r="111" spans="16:19" x14ac:dyDescent="0.45">
      <c r="P111">
        <v>2047</v>
      </c>
      <c r="Q111" t="s">
        <v>198</v>
      </c>
      <c r="R111">
        <v>0.25286666666666663</v>
      </c>
      <c r="S111" t="s">
        <v>199</v>
      </c>
    </row>
    <row r="112" spans="16:19" x14ac:dyDescent="0.45">
      <c r="P112">
        <v>2047</v>
      </c>
      <c r="Q112" t="s">
        <v>200</v>
      </c>
      <c r="R112">
        <v>0.27296666666666664</v>
      </c>
      <c r="S112" t="s">
        <v>199</v>
      </c>
    </row>
    <row r="113" spans="16:19" x14ac:dyDescent="0.45">
      <c r="P113">
        <v>2047</v>
      </c>
      <c r="Q113" t="s">
        <v>201</v>
      </c>
      <c r="R113">
        <v>0.32883333333333337</v>
      </c>
      <c r="S113" t="s">
        <v>199</v>
      </c>
    </row>
    <row r="114" spans="16:19" x14ac:dyDescent="0.45">
      <c r="P114">
        <v>2047</v>
      </c>
      <c r="Q114" t="s">
        <v>202</v>
      </c>
      <c r="R114">
        <v>0.21883333333333335</v>
      </c>
      <c r="S114" t="s">
        <v>199</v>
      </c>
    </row>
    <row r="115" spans="16:19" x14ac:dyDescent="0.45">
      <c r="P115">
        <v>2048</v>
      </c>
      <c r="Q115" t="s">
        <v>198</v>
      </c>
      <c r="R115">
        <v>0.21840000000000001</v>
      </c>
      <c r="S115" t="s">
        <v>199</v>
      </c>
    </row>
    <row r="116" spans="16:19" x14ac:dyDescent="0.45">
      <c r="P116">
        <v>2048</v>
      </c>
      <c r="Q116" t="s">
        <v>200</v>
      </c>
      <c r="R116">
        <v>0.2984</v>
      </c>
      <c r="S116" t="s">
        <v>199</v>
      </c>
    </row>
    <row r="117" spans="16:19" x14ac:dyDescent="0.45">
      <c r="P117">
        <v>2048</v>
      </c>
      <c r="Q117" t="s">
        <v>201</v>
      </c>
      <c r="R117">
        <v>0.4456</v>
      </c>
      <c r="S117" t="s">
        <v>199</v>
      </c>
    </row>
    <row r="118" spans="16:19" x14ac:dyDescent="0.45">
      <c r="P118">
        <v>2048</v>
      </c>
      <c r="Q118" t="s">
        <v>202</v>
      </c>
      <c r="R118">
        <v>0.3301</v>
      </c>
      <c r="S118" t="s">
        <v>199</v>
      </c>
    </row>
    <row r="119" spans="16:19" x14ac:dyDescent="0.45">
      <c r="P119">
        <v>2049</v>
      </c>
      <c r="Q119" t="s">
        <v>198</v>
      </c>
      <c r="R119">
        <v>0.24716666666666667</v>
      </c>
      <c r="S119" t="s">
        <v>199</v>
      </c>
    </row>
    <row r="120" spans="16:19" x14ac:dyDescent="0.45">
      <c r="P120">
        <v>2049</v>
      </c>
      <c r="Q120" t="s">
        <v>200</v>
      </c>
      <c r="R120">
        <v>0.25666666666666665</v>
      </c>
      <c r="S120" t="s">
        <v>199</v>
      </c>
    </row>
    <row r="121" spans="16:19" x14ac:dyDescent="0.45">
      <c r="P121">
        <v>2049</v>
      </c>
      <c r="Q121" t="s">
        <v>201</v>
      </c>
      <c r="R121">
        <v>0.41510000000000002</v>
      </c>
      <c r="S121" t="s">
        <v>199</v>
      </c>
    </row>
    <row r="122" spans="16:19" x14ac:dyDescent="0.45">
      <c r="P122">
        <v>2049</v>
      </c>
      <c r="Q122" t="s">
        <v>202</v>
      </c>
      <c r="R122">
        <v>0.29016666666666668</v>
      </c>
      <c r="S122" t="s">
        <v>199</v>
      </c>
    </row>
    <row r="123" spans="16:19" x14ac:dyDescent="0.45">
      <c r="P123">
        <v>2050</v>
      </c>
      <c r="Q123" t="s">
        <v>198</v>
      </c>
      <c r="R123">
        <v>0.18706666666666669</v>
      </c>
      <c r="S123" t="s">
        <v>199</v>
      </c>
    </row>
    <row r="124" spans="16:19" x14ac:dyDescent="0.45">
      <c r="P124">
        <v>2050</v>
      </c>
      <c r="Q124" t="s">
        <v>200</v>
      </c>
      <c r="R124">
        <v>0.26266666666666666</v>
      </c>
      <c r="S124" t="s">
        <v>199</v>
      </c>
    </row>
    <row r="125" spans="16:19" x14ac:dyDescent="0.45">
      <c r="P125">
        <v>2050</v>
      </c>
      <c r="Q125" t="s">
        <v>201</v>
      </c>
      <c r="R125">
        <v>0.3569</v>
      </c>
      <c r="S125" t="s">
        <v>199</v>
      </c>
    </row>
    <row r="126" spans="16:19" x14ac:dyDescent="0.45">
      <c r="P126">
        <v>2050</v>
      </c>
      <c r="Q126" t="s">
        <v>202</v>
      </c>
      <c r="R126">
        <v>0.32136666666666663</v>
      </c>
      <c r="S126" t="s">
        <v>199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2F82-49B7-4C35-8DAF-05BD2A08F7B4}">
  <dimension ref="B9:O634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region=ESP")</f>
        <v>~TFM_DINS-AT: region=ESP</v>
      </c>
      <c r="G9" t="str">
        <f>IF(A11="x","DeActivated","~TFM_DINS-AT: region=ESP")</f>
        <v>~TFM_DINS-AT: region=ESP</v>
      </c>
      <c r="L9" t="str">
        <f>IF(A11="x","DeActivated","~TFM_DINS-AT: region=ESP")</f>
        <v>~TFM_DINS-AT: region=ESP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664</v>
      </c>
      <c r="C11" t="s">
        <v>5</v>
      </c>
      <c r="D11">
        <v>0</v>
      </c>
      <c r="E11" t="s">
        <v>6</v>
      </c>
      <c r="G11" t="s">
        <v>665</v>
      </c>
      <c r="H11" t="s">
        <v>5</v>
      </c>
      <c r="I11">
        <v>0.11219580321075946</v>
      </c>
      <c r="J11" t="s">
        <v>6</v>
      </c>
      <c r="L11" t="s">
        <v>666</v>
      </c>
      <c r="M11" t="s">
        <v>5</v>
      </c>
      <c r="N11">
        <v>0.12503109068469556</v>
      </c>
      <c r="O11" t="s">
        <v>6</v>
      </c>
    </row>
    <row r="12" spans="2:15" x14ac:dyDescent="0.45">
      <c r="B12" t="s">
        <v>664</v>
      </c>
      <c r="C12" t="s">
        <v>9</v>
      </c>
      <c r="D12">
        <v>0</v>
      </c>
      <c r="E12" t="s">
        <v>6</v>
      </c>
      <c r="G12" t="s">
        <v>665</v>
      </c>
      <c r="H12" t="s">
        <v>9</v>
      </c>
      <c r="I12">
        <v>5.5688849230304968E-2</v>
      </c>
      <c r="J12" t="s">
        <v>6</v>
      </c>
      <c r="L12" t="s">
        <v>666</v>
      </c>
      <c r="M12" t="s">
        <v>9</v>
      </c>
      <c r="N12">
        <v>6.2126576487655905E-2</v>
      </c>
      <c r="O12" t="s">
        <v>6</v>
      </c>
    </row>
    <row r="13" spans="2:15" x14ac:dyDescent="0.45">
      <c r="B13" t="s">
        <v>664</v>
      </c>
      <c r="C13" t="s">
        <v>10</v>
      </c>
      <c r="D13">
        <v>2.7841827583585322E-2</v>
      </c>
      <c r="E13" t="s">
        <v>6</v>
      </c>
      <c r="G13" t="s">
        <v>665</v>
      </c>
      <c r="H13" t="s">
        <v>10</v>
      </c>
      <c r="I13">
        <v>3.8773760052688316E-2</v>
      </c>
      <c r="J13" t="s">
        <v>6</v>
      </c>
      <c r="L13" t="s">
        <v>666</v>
      </c>
      <c r="M13" t="s">
        <v>10</v>
      </c>
      <c r="N13">
        <v>4.632279489876362E-2</v>
      </c>
      <c r="O13" t="s">
        <v>6</v>
      </c>
    </row>
    <row r="14" spans="2:15" x14ac:dyDescent="0.45">
      <c r="B14" t="s">
        <v>664</v>
      </c>
      <c r="C14" t="s">
        <v>11</v>
      </c>
      <c r="D14">
        <v>8.3382484774784077E-2</v>
      </c>
      <c r="E14" t="s">
        <v>6</v>
      </c>
      <c r="G14" t="s">
        <v>665</v>
      </c>
      <c r="H14" t="s">
        <v>11</v>
      </c>
      <c r="I14">
        <v>4.3956554513971784E-2</v>
      </c>
      <c r="J14" t="s">
        <v>6</v>
      </c>
      <c r="L14" t="s">
        <v>666</v>
      </c>
      <c r="M14" t="s">
        <v>11</v>
      </c>
      <c r="N14">
        <v>4.4741094987304518E-2</v>
      </c>
      <c r="O14" t="s">
        <v>6</v>
      </c>
    </row>
    <row r="15" spans="2:15" x14ac:dyDescent="0.45">
      <c r="B15" t="s">
        <v>664</v>
      </c>
      <c r="C15" t="s">
        <v>12</v>
      </c>
      <c r="D15">
        <v>6.0670335175590312E-2</v>
      </c>
      <c r="E15" t="s">
        <v>6</v>
      </c>
      <c r="G15" t="s">
        <v>665</v>
      </c>
      <c r="H15" t="s">
        <v>12</v>
      </c>
      <c r="I15">
        <v>4.9324370031732519E-2</v>
      </c>
      <c r="J15" t="s">
        <v>6</v>
      </c>
      <c r="L15" t="s">
        <v>666</v>
      </c>
      <c r="M15" t="s">
        <v>12</v>
      </c>
      <c r="N15">
        <v>4.2647186311365083E-2</v>
      </c>
      <c r="O15" t="s">
        <v>6</v>
      </c>
    </row>
    <row r="16" spans="2:15" x14ac:dyDescent="0.45">
      <c r="B16" t="s">
        <v>664</v>
      </c>
      <c r="C16" t="s">
        <v>13</v>
      </c>
      <c r="D16">
        <v>4.3027489824749186E-3</v>
      </c>
      <c r="E16" t="s">
        <v>6</v>
      </c>
      <c r="G16" t="s">
        <v>665</v>
      </c>
      <c r="H16" t="s">
        <v>13</v>
      </c>
      <c r="I16">
        <v>4.4186807800451595E-2</v>
      </c>
      <c r="J16" t="s">
        <v>6</v>
      </c>
      <c r="L16" t="s">
        <v>666</v>
      </c>
      <c r="M16" t="s">
        <v>13</v>
      </c>
      <c r="N16">
        <v>4.4811502358585727E-2</v>
      </c>
      <c r="O16" t="s">
        <v>6</v>
      </c>
    </row>
    <row r="17" spans="2:15" x14ac:dyDescent="0.45">
      <c r="B17" t="s">
        <v>664</v>
      </c>
      <c r="C17" t="s">
        <v>14</v>
      </c>
      <c r="D17">
        <v>7.6270759415393647E-9</v>
      </c>
      <c r="E17" t="s">
        <v>6</v>
      </c>
      <c r="G17" t="s">
        <v>665</v>
      </c>
      <c r="H17" t="s">
        <v>14</v>
      </c>
      <c r="I17">
        <v>9.4970136181434184E-2</v>
      </c>
      <c r="J17" t="s">
        <v>6</v>
      </c>
      <c r="L17" t="s">
        <v>666</v>
      </c>
      <c r="M17" t="s">
        <v>14</v>
      </c>
      <c r="N17">
        <v>0.10578684707712453</v>
      </c>
      <c r="O17" t="s">
        <v>6</v>
      </c>
    </row>
    <row r="18" spans="2:15" x14ac:dyDescent="0.45">
      <c r="B18" t="s">
        <v>664</v>
      </c>
      <c r="C18" t="s">
        <v>15</v>
      </c>
      <c r="D18">
        <v>3.6815425634219869E-3</v>
      </c>
      <c r="E18" t="s">
        <v>6</v>
      </c>
      <c r="G18" t="s">
        <v>665</v>
      </c>
      <c r="H18" t="s">
        <v>15</v>
      </c>
      <c r="I18">
        <v>4.0925751424911817E-2</v>
      </c>
      <c r="J18" t="s">
        <v>6</v>
      </c>
      <c r="L18" t="s">
        <v>666</v>
      </c>
      <c r="M18" t="s">
        <v>15</v>
      </c>
      <c r="N18">
        <v>4.9071165240837288E-2</v>
      </c>
      <c r="O18" t="s">
        <v>6</v>
      </c>
    </row>
    <row r="19" spans="2:15" x14ac:dyDescent="0.45">
      <c r="B19" t="s">
        <v>664</v>
      </c>
      <c r="C19" t="s">
        <v>16</v>
      </c>
      <c r="D19">
        <v>5.8222472191318084E-2</v>
      </c>
      <c r="E19" t="s">
        <v>6</v>
      </c>
      <c r="G19" t="s">
        <v>665</v>
      </c>
      <c r="H19" t="s">
        <v>16</v>
      </c>
      <c r="I19">
        <v>3.2216794706412068E-2</v>
      </c>
      <c r="J19" t="s">
        <v>6</v>
      </c>
      <c r="L19" t="s">
        <v>666</v>
      </c>
      <c r="M19" t="s">
        <v>16</v>
      </c>
      <c r="N19">
        <v>3.3882771074384234E-2</v>
      </c>
      <c r="O19" t="s">
        <v>6</v>
      </c>
    </row>
    <row r="20" spans="2:15" x14ac:dyDescent="0.45">
      <c r="B20" t="s">
        <v>664</v>
      </c>
      <c r="C20" t="s">
        <v>17</v>
      </c>
      <c r="D20">
        <v>0.10572617133611237</v>
      </c>
      <c r="E20" t="s">
        <v>6</v>
      </c>
      <c r="G20" t="s">
        <v>665</v>
      </c>
      <c r="H20" t="s">
        <v>17</v>
      </c>
      <c r="I20">
        <v>4.3321991059143236E-2</v>
      </c>
      <c r="J20" t="s">
        <v>6</v>
      </c>
      <c r="L20" t="s">
        <v>666</v>
      </c>
      <c r="M20" t="s">
        <v>17</v>
      </c>
      <c r="N20">
        <v>3.9214435692034623E-2</v>
      </c>
      <c r="O20" t="s">
        <v>6</v>
      </c>
    </row>
    <row r="21" spans="2:15" x14ac:dyDescent="0.45">
      <c r="B21" t="s">
        <v>664</v>
      </c>
      <c r="C21" t="s">
        <v>18</v>
      </c>
      <c r="D21">
        <v>8.495868097462865E-2</v>
      </c>
      <c r="E21" t="s">
        <v>6</v>
      </c>
      <c r="G21" t="s">
        <v>665</v>
      </c>
      <c r="H21" t="s">
        <v>18</v>
      </c>
      <c r="I21">
        <v>5.0909063360880948E-2</v>
      </c>
      <c r="J21" t="s">
        <v>6</v>
      </c>
      <c r="L21" t="s">
        <v>666</v>
      </c>
      <c r="M21" t="s">
        <v>18</v>
      </c>
      <c r="N21">
        <v>4.6136268697093218E-2</v>
      </c>
      <c r="O21" t="s">
        <v>6</v>
      </c>
    </row>
    <row r="22" spans="2:15" x14ac:dyDescent="0.45">
      <c r="B22" t="s">
        <v>664</v>
      </c>
      <c r="C22" t="s">
        <v>19</v>
      </c>
      <c r="D22">
        <v>1.9692263534294339E-2</v>
      </c>
      <c r="E22" t="s">
        <v>6</v>
      </c>
      <c r="G22" t="s">
        <v>665</v>
      </c>
      <c r="H22" t="s">
        <v>19</v>
      </c>
      <c r="I22">
        <v>4.6351111689772038E-2</v>
      </c>
      <c r="J22" t="s">
        <v>6</v>
      </c>
      <c r="L22" t="s">
        <v>666</v>
      </c>
      <c r="M22" t="s">
        <v>19</v>
      </c>
      <c r="N22">
        <v>4.7308001680724125E-2</v>
      </c>
      <c r="O22" t="s">
        <v>6</v>
      </c>
    </row>
    <row r="23" spans="2:15" x14ac:dyDescent="0.45">
      <c r="B23" t="s">
        <v>664</v>
      </c>
      <c r="C23" t="s">
        <v>20</v>
      </c>
      <c r="D23">
        <v>5.9268047629224054E-5</v>
      </c>
      <c r="E23" t="s">
        <v>6</v>
      </c>
      <c r="G23" t="s">
        <v>665</v>
      </c>
      <c r="H23" t="s">
        <v>20</v>
      </c>
      <c r="I23">
        <v>5.2245182722499124E-2</v>
      </c>
      <c r="J23" t="s">
        <v>6</v>
      </c>
      <c r="L23" t="s">
        <v>666</v>
      </c>
      <c r="M23" t="s">
        <v>20</v>
      </c>
      <c r="N23">
        <v>3.7082433436372346E-2</v>
      </c>
      <c r="O23" t="s">
        <v>6</v>
      </c>
    </row>
    <row r="24" spans="2:15" x14ac:dyDescent="0.45">
      <c r="B24" t="s">
        <v>664</v>
      </c>
      <c r="C24" t="s">
        <v>21</v>
      </c>
      <c r="D24">
        <v>6.7629551920456877E-3</v>
      </c>
      <c r="E24" t="s">
        <v>6</v>
      </c>
      <c r="G24" t="s">
        <v>665</v>
      </c>
      <c r="H24" t="s">
        <v>21</v>
      </c>
      <c r="I24">
        <v>2.3816645293858883E-2</v>
      </c>
      <c r="J24" t="s">
        <v>6</v>
      </c>
      <c r="L24" t="s">
        <v>666</v>
      </c>
      <c r="M24" t="s">
        <v>21</v>
      </c>
      <c r="N24">
        <v>2.0519114751059584E-2</v>
      </c>
      <c r="O24" t="s">
        <v>6</v>
      </c>
    </row>
    <row r="25" spans="2:15" x14ac:dyDescent="0.45">
      <c r="B25" t="s">
        <v>664</v>
      </c>
      <c r="C25" t="s">
        <v>22</v>
      </c>
      <c r="D25">
        <v>7.4033721347267878E-2</v>
      </c>
      <c r="E25" t="s">
        <v>6</v>
      </c>
      <c r="G25" t="s">
        <v>665</v>
      </c>
      <c r="H25" t="s">
        <v>22</v>
      </c>
      <c r="I25">
        <v>2.0595000892914727E-2</v>
      </c>
      <c r="J25" t="s">
        <v>6</v>
      </c>
      <c r="L25" t="s">
        <v>666</v>
      </c>
      <c r="M25" t="s">
        <v>22</v>
      </c>
      <c r="N25">
        <v>1.3580661171240087E-2</v>
      </c>
      <c r="O25" t="s">
        <v>6</v>
      </c>
    </row>
    <row r="26" spans="2:15" x14ac:dyDescent="0.45">
      <c r="B26" t="s">
        <v>664</v>
      </c>
      <c r="C26" t="s">
        <v>23</v>
      </c>
      <c r="D26">
        <v>0.12222451600170867</v>
      </c>
      <c r="E26" t="s">
        <v>6</v>
      </c>
      <c r="G26" t="s">
        <v>665</v>
      </c>
      <c r="H26" t="s">
        <v>23</v>
      </c>
      <c r="I26">
        <v>2.6142654754504731E-2</v>
      </c>
      <c r="J26" t="s">
        <v>6</v>
      </c>
      <c r="L26" t="s">
        <v>666</v>
      </c>
      <c r="M26" t="s">
        <v>23</v>
      </c>
      <c r="N26">
        <v>1.4969769135622254E-2</v>
      </c>
      <c r="O26" t="s">
        <v>6</v>
      </c>
    </row>
    <row r="27" spans="2:15" x14ac:dyDescent="0.45">
      <c r="B27" t="s">
        <v>664</v>
      </c>
      <c r="C27" t="s">
        <v>24</v>
      </c>
      <c r="D27">
        <v>0.10131017307044768</v>
      </c>
      <c r="E27" t="s">
        <v>6</v>
      </c>
      <c r="G27" t="s">
        <v>665</v>
      </c>
      <c r="H27" t="s">
        <v>24</v>
      </c>
      <c r="I27">
        <v>2.6619841947819644E-2</v>
      </c>
      <c r="J27" t="s">
        <v>6</v>
      </c>
      <c r="L27" t="s">
        <v>666</v>
      </c>
      <c r="M27" t="s">
        <v>24</v>
      </c>
      <c r="N27">
        <v>1.8466400332495529E-2</v>
      </c>
      <c r="O27" t="s">
        <v>6</v>
      </c>
    </row>
    <row r="28" spans="2:15" x14ac:dyDescent="0.45">
      <c r="B28" t="s">
        <v>664</v>
      </c>
      <c r="C28" t="s">
        <v>25</v>
      </c>
      <c r="D28">
        <v>2.8964915651820317E-2</v>
      </c>
      <c r="E28" t="s">
        <v>6</v>
      </c>
      <c r="G28" t="s">
        <v>665</v>
      </c>
      <c r="H28" t="s">
        <v>25</v>
      </c>
      <c r="I28">
        <v>2.3265307551735951E-2</v>
      </c>
      <c r="J28" t="s">
        <v>6</v>
      </c>
      <c r="L28" t="s">
        <v>666</v>
      </c>
      <c r="M28" t="s">
        <v>25</v>
      </c>
      <c r="N28">
        <v>1.9457660587863912E-2</v>
      </c>
      <c r="O28" t="s">
        <v>6</v>
      </c>
    </row>
    <row r="29" spans="2:15" x14ac:dyDescent="0.45">
      <c r="B29" t="s">
        <v>664</v>
      </c>
      <c r="C29" t="s">
        <v>26</v>
      </c>
      <c r="D29">
        <v>0</v>
      </c>
      <c r="E29" t="s">
        <v>6</v>
      </c>
      <c r="G29" t="s">
        <v>665</v>
      </c>
      <c r="H29" t="s">
        <v>26</v>
      </c>
      <c r="I29">
        <v>5.5983654597957344E-2</v>
      </c>
      <c r="J29" t="s">
        <v>6</v>
      </c>
      <c r="L29" t="s">
        <v>666</v>
      </c>
      <c r="M29" t="s">
        <v>26</v>
      </c>
      <c r="N29">
        <v>6.4140870351843945E-2</v>
      </c>
      <c r="O29" t="s">
        <v>6</v>
      </c>
    </row>
    <row r="30" spans="2:15" x14ac:dyDescent="0.45">
      <c r="B30" t="s">
        <v>664</v>
      </c>
      <c r="C30" t="s">
        <v>27</v>
      </c>
      <c r="D30">
        <v>1.1181715485518433E-3</v>
      </c>
      <c r="E30" t="s">
        <v>6</v>
      </c>
      <c r="G30" t="s">
        <v>665</v>
      </c>
      <c r="H30" t="s">
        <v>27</v>
      </c>
      <c r="I30">
        <v>2.4511760187361852E-2</v>
      </c>
      <c r="J30" t="s">
        <v>6</v>
      </c>
      <c r="L30" t="s">
        <v>666</v>
      </c>
      <c r="M30" t="s">
        <v>27</v>
      </c>
      <c r="N30">
        <v>3.0902310385333771E-2</v>
      </c>
      <c r="O30" t="s">
        <v>6</v>
      </c>
    </row>
    <row r="31" spans="2:15" x14ac:dyDescent="0.45">
      <c r="B31" t="s">
        <v>664</v>
      </c>
      <c r="C31" t="s">
        <v>28</v>
      </c>
      <c r="D31">
        <v>4.9351845042870872E-2</v>
      </c>
      <c r="E31" t="s">
        <v>6</v>
      </c>
      <c r="G31" t="s">
        <v>665</v>
      </c>
      <c r="H31" t="s">
        <v>28</v>
      </c>
      <c r="I31">
        <v>1.8620831543135555E-2</v>
      </c>
      <c r="J31" t="s">
        <v>6</v>
      </c>
      <c r="L31" t="s">
        <v>666</v>
      </c>
      <c r="M31" t="s">
        <v>28</v>
      </c>
      <c r="N31">
        <v>2.2870153136317496E-2</v>
      </c>
      <c r="O31" t="s">
        <v>6</v>
      </c>
    </row>
    <row r="32" spans="2:15" x14ac:dyDescent="0.45">
      <c r="B32" t="s">
        <v>664</v>
      </c>
      <c r="C32" t="s">
        <v>29</v>
      </c>
      <c r="D32">
        <v>9.3856244482202547E-2</v>
      </c>
      <c r="E32" t="s">
        <v>6</v>
      </c>
      <c r="G32" t="s">
        <v>665</v>
      </c>
      <c r="H32" t="s">
        <v>29</v>
      </c>
      <c r="I32">
        <v>2.3348320308402729E-2</v>
      </c>
      <c r="J32" t="s">
        <v>6</v>
      </c>
      <c r="L32" t="s">
        <v>666</v>
      </c>
      <c r="M32" t="s">
        <v>29</v>
      </c>
      <c r="N32">
        <v>2.317368467083632E-2</v>
      </c>
      <c r="O32" t="s">
        <v>6</v>
      </c>
    </row>
    <row r="33" spans="2:15" x14ac:dyDescent="0.45">
      <c r="B33" t="s">
        <v>664</v>
      </c>
      <c r="C33" t="s">
        <v>30</v>
      </c>
      <c r="D33">
        <v>6.6006519206277495E-2</v>
      </c>
      <c r="E33" t="s">
        <v>6</v>
      </c>
      <c r="G33" t="s">
        <v>665</v>
      </c>
      <c r="H33" t="s">
        <v>30</v>
      </c>
      <c r="I33">
        <v>2.6950362737490362E-2</v>
      </c>
      <c r="J33" t="s">
        <v>6</v>
      </c>
      <c r="L33" t="s">
        <v>666</v>
      </c>
      <c r="M33" t="s">
        <v>30</v>
      </c>
      <c r="N33">
        <v>2.3242951582218421E-2</v>
      </c>
      <c r="O33" t="s">
        <v>6</v>
      </c>
    </row>
    <row r="34" spans="2:15" x14ac:dyDescent="0.45">
      <c r="B34" t="s">
        <v>664</v>
      </c>
      <c r="C34" t="s">
        <v>31</v>
      </c>
      <c r="D34">
        <v>7.8331356658916263E-3</v>
      </c>
      <c r="E34" t="s">
        <v>6</v>
      </c>
      <c r="G34" t="s">
        <v>665</v>
      </c>
      <c r="H34" t="s">
        <v>31</v>
      </c>
      <c r="I34">
        <v>2.5079444199853099E-2</v>
      </c>
      <c r="J34" t="s">
        <v>6</v>
      </c>
      <c r="L34" t="s">
        <v>666</v>
      </c>
      <c r="M34" t="s">
        <v>31</v>
      </c>
      <c r="N34">
        <v>2.4514255268230464E-2</v>
      </c>
      <c r="O34" t="s">
        <v>6</v>
      </c>
    </row>
    <row r="35" spans="2:15" x14ac:dyDescent="0.45">
      <c r="B35" t="s">
        <v>667</v>
      </c>
      <c r="C35" t="s">
        <v>5</v>
      </c>
      <c r="D35">
        <v>0</v>
      </c>
      <c r="E35" t="s">
        <v>6</v>
      </c>
      <c r="G35" t="s">
        <v>668</v>
      </c>
      <c r="H35" t="s">
        <v>5</v>
      </c>
      <c r="I35">
        <v>0.11349210571955554</v>
      </c>
      <c r="J35" t="s">
        <v>6</v>
      </c>
      <c r="L35" t="s">
        <v>669</v>
      </c>
      <c r="M35" t="s">
        <v>5</v>
      </c>
      <c r="N35">
        <v>0.11574968340976166</v>
      </c>
      <c r="O35" t="s">
        <v>6</v>
      </c>
    </row>
    <row r="36" spans="2:15" x14ac:dyDescent="0.45">
      <c r="B36" t="s">
        <v>667</v>
      </c>
      <c r="C36" t="s">
        <v>9</v>
      </c>
      <c r="D36">
        <v>0</v>
      </c>
      <c r="E36" t="s">
        <v>6</v>
      </c>
      <c r="G36" t="s">
        <v>668</v>
      </c>
      <c r="H36" t="s">
        <v>9</v>
      </c>
      <c r="I36">
        <v>5.62530674561336E-2</v>
      </c>
      <c r="J36" t="s">
        <v>6</v>
      </c>
      <c r="L36" t="s">
        <v>669</v>
      </c>
      <c r="M36" t="s">
        <v>9</v>
      </c>
      <c r="N36">
        <v>5.6911031244079271E-2</v>
      </c>
      <c r="O36" t="s">
        <v>6</v>
      </c>
    </row>
    <row r="37" spans="2:15" x14ac:dyDescent="0.45">
      <c r="B37" t="s">
        <v>667</v>
      </c>
      <c r="C37" t="s">
        <v>10</v>
      </c>
      <c r="D37">
        <v>2.3315571497376179E-2</v>
      </c>
      <c r="E37" t="s">
        <v>6</v>
      </c>
      <c r="G37" t="s">
        <v>668</v>
      </c>
      <c r="H37" t="s">
        <v>10</v>
      </c>
      <c r="I37">
        <v>3.5004651930616054E-2</v>
      </c>
      <c r="J37" t="s">
        <v>6</v>
      </c>
      <c r="L37" t="s">
        <v>669</v>
      </c>
      <c r="M37" t="s">
        <v>10</v>
      </c>
      <c r="N37">
        <v>4.0629796809558562E-2</v>
      </c>
      <c r="O37" t="s">
        <v>6</v>
      </c>
    </row>
    <row r="38" spans="2:15" x14ac:dyDescent="0.45">
      <c r="B38" t="s">
        <v>667</v>
      </c>
      <c r="C38" t="s">
        <v>11</v>
      </c>
      <c r="D38">
        <v>7.6198480991351583E-2</v>
      </c>
      <c r="E38" t="s">
        <v>6</v>
      </c>
      <c r="G38" t="s">
        <v>668</v>
      </c>
      <c r="H38" t="s">
        <v>11</v>
      </c>
      <c r="I38">
        <v>3.358852808215667E-2</v>
      </c>
      <c r="J38" t="s">
        <v>6</v>
      </c>
      <c r="L38" t="s">
        <v>669</v>
      </c>
      <c r="M38" t="s">
        <v>11</v>
      </c>
      <c r="N38">
        <v>3.9404091107693738E-2</v>
      </c>
      <c r="O38" t="s">
        <v>6</v>
      </c>
    </row>
    <row r="39" spans="2:15" x14ac:dyDescent="0.45">
      <c r="B39" t="s">
        <v>667</v>
      </c>
      <c r="C39" t="s">
        <v>12</v>
      </c>
      <c r="D39">
        <v>5.9903218458047101E-2</v>
      </c>
      <c r="E39" t="s">
        <v>6</v>
      </c>
      <c r="G39" t="s">
        <v>668</v>
      </c>
      <c r="H39" t="s">
        <v>12</v>
      </c>
      <c r="I39">
        <v>3.4840775201303256E-2</v>
      </c>
      <c r="J39" t="s">
        <v>6</v>
      </c>
      <c r="L39" t="s">
        <v>669</v>
      </c>
      <c r="M39" t="s">
        <v>12</v>
      </c>
      <c r="N39">
        <v>4.3595226049356187E-2</v>
      </c>
      <c r="O39" t="s">
        <v>6</v>
      </c>
    </row>
    <row r="40" spans="2:15" x14ac:dyDescent="0.45">
      <c r="B40" t="s">
        <v>667</v>
      </c>
      <c r="C40" t="s">
        <v>13</v>
      </c>
      <c r="D40">
        <v>6.1118071988646369E-3</v>
      </c>
      <c r="E40" t="s">
        <v>6</v>
      </c>
      <c r="G40" t="s">
        <v>668</v>
      </c>
      <c r="H40" t="s">
        <v>13</v>
      </c>
      <c r="I40">
        <v>3.5880688798048517E-2</v>
      </c>
      <c r="J40" t="s">
        <v>6</v>
      </c>
      <c r="L40" t="s">
        <v>669</v>
      </c>
      <c r="M40" t="s">
        <v>13</v>
      </c>
      <c r="N40">
        <v>4.6124812838319276E-2</v>
      </c>
      <c r="O40" t="s">
        <v>6</v>
      </c>
    </row>
    <row r="41" spans="2:15" x14ac:dyDescent="0.45">
      <c r="B41" t="s">
        <v>667</v>
      </c>
      <c r="C41" t="s">
        <v>14</v>
      </c>
      <c r="D41">
        <v>3.3057099765397736E-6</v>
      </c>
      <c r="E41" t="s">
        <v>6</v>
      </c>
      <c r="G41" t="s">
        <v>668</v>
      </c>
      <c r="H41" t="s">
        <v>14</v>
      </c>
      <c r="I41">
        <v>0.10738799195141037</v>
      </c>
      <c r="J41" t="s">
        <v>6</v>
      </c>
      <c r="L41" t="s">
        <v>669</v>
      </c>
      <c r="M41" t="s">
        <v>14</v>
      </c>
      <c r="N41">
        <v>9.6937079897694317E-2</v>
      </c>
      <c r="O41" t="s">
        <v>6</v>
      </c>
    </row>
    <row r="42" spans="2:15" x14ac:dyDescent="0.45">
      <c r="B42" t="s">
        <v>667</v>
      </c>
      <c r="C42" t="s">
        <v>15</v>
      </c>
      <c r="D42">
        <v>2.9757112549242738E-3</v>
      </c>
      <c r="E42" t="s">
        <v>6</v>
      </c>
      <c r="G42" t="s">
        <v>668</v>
      </c>
      <c r="H42" t="s">
        <v>15</v>
      </c>
      <c r="I42">
        <v>4.1887389377777459E-2</v>
      </c>
      <c r="J42" t="s">
        <v>6</v>
      </c>
      <c r="L42" t="s">
        <v>669</v>
      </c>
      <c r="M42" t="s">
        <v>15</v>
      </c>
      <c r="N42">
        <v>4.3437329344464801E-2</v>
      </c>
      <c r="O42" t="s">
        <v>6</v>
      </c>
    </row>
    <row r="43" spans="2:15" x14ac:dyDescent="0.45">
      <c r="B43" t="s">
        <v>667</v>
      </c>
      <c r="C43" t="s">
        <v>16</v>
      </c>
      <c r="D43">
        <v>5.4229550706213214E-2</v>
      </c>
      <c r="E43" t="s">
        <v>6</v>
      </c>
      <c r="G43" t="s">
        <v>668</v>
      </c>
      <c r="H43" t="s">
        <v>16</v>
      </c>
      <c r="I43">
        <v>2.8345755490469891E-2</v>
      </c>
      <c r="J43" t="s">
        <v>6</v>
      </c>
      <c r="L43" t="s">
        <v>669</v>
      </c>
      <c r="M43" t="s">
        <v>16</v>
      </c>
      <c r="N43">
        <v>3.221575461585683E-2</v>
      </c>
      <c r="O43" t="s">
        <v>6</v>
      </c>
    </row>
    <row r="44" spans="2:15" x14ac:dyDescent="0.45">
      <c r="B44" t="s">
        <v>667</v>
      </c>
      <c r="C44" t="s">
        <v>17</v>
      </c>
      <c r="D44">
        <v>0.10461772026852857</v>
      </c>
      <c r="E44" t="s">
        <v>6</v>
      </c>
      <c r="G44" t="s">
        <v>668</v>
      </c>
      <c r="H44" t="s">
        <v>17</v>
      </c>
      <c r="I44">
        <v>3.5054849897610749E-2</v>
      </c>
      <c r="J44" t="s">
        <v>6</v>
      </c>
      <c r="L44" t="s">
        <v>669</v>
      </c>
      <c r="M44" t="s">
        <v>17</v>
      </c>
      <c r="N44">
        <v>4.2500448383654757E-2</v>
      </c>
      <c r="O44" t="s">
        <v>6</v>
      </c>
    </row>
    <row r="45" spans="2:15" x14ac:dyDescent="0.45">
      <c r="B45" t="s">
        <v>667</v>
      </c>
      <c r="C45" t="s">
        <v>18</v>
      </c>
      <c r="D45">
        <v>8.7000679219835619E-2</v>
      </c>
      <c r="E45" t="s">
        <v>6</v>
      </c>
      <c r="G45" t="s">
        <v>668</v>
      </c>
      <c r="H45" t="s">
        <v>18</v>
      </c>
      <c r="I45">
        <v>4.8594629955896328E-2</v>
      </c>
      <c r="J45" t="s">
        <v>6</v>
      </c>
      <c r="L45" t="s">
        <v>669</v>
      </c>
      <c r="M45" t="s">
        <v>18</v>
      </c>
      <c r="N45">
        <v>5.2991543967245855E-2</v>
      </c>
      <c r="O45" t="s">
        <v>6</v>
      </c>
    </row>
    <row r="46" spans="2:15" x14ac:dyDescent="0.45">
      <c r="B46" t="s">
        <v>667</v>
      </c>
      <c r="C46" t="s">
        <v>19</v>
      </c>
      <c r="D46">
        <v>2.1684421141783688E-2</v>
      </c>
      <c r="E46" t="s">
        <v>6</v>
      </c>
      <c r="G46" t="s">
        <v>668</v>
      </c>
      <c r="H46" t="s">
        <v>19</v>
      </c>
      <c r="I46">
        <v>4.9497920779190269E-2</v>
      </c>
      <c r="J46" t="s">
        <v>6</v>
      </c>
      <c r="L46" t="s">
        <v>669</v>
      </c>
      <c r="M46" t="s">
        <v>19</v>
      </c>
      <c r="N46">
        <v>4.6875246999010543E-2</v>
      </c>
      <c r="O46" t="s">
        <v>6</v>
      </c>
    </row>
    <row r="47" spans="2:15" x14ac:dyDescent="0.45">
      <c r="B47" t="s">
        <v>667</v>
      </c>
      <c r="C47" t="s">
        <v>20</v>
      </c>
      <c r="D47">
        <v>1.3507040812089574E-4</v>
      </c>
      <c r="E47" t="s">
        <v>6</v>
      </c>
      <c r="G47" t="s">
        <v>668</v>
      </c>
      <c r="H47" t="s">
        <v>20</v>
      </c>
      <c r="I47">
        <v>7.1724268615703024E-2</v>
      </c>
      <c r="J47" t="s">
        <v>6</v>
      </c>
      <c r="L47" t="s">
        <v>669</v>
      </c>
      <c r="M47" t="s">
        <v>20</v>
      </c>
      <c r="N47">
        <v>4.2953738576431859E-2</v>
      </c>
      <c r="O47" t="s">
        <v>6</v>
      </c>
    </row>
    <row r="48" spans="2:15" x14ac:dyDescent="0.45">
      <c r="B48" t="s">
        <v>667</v>
      </c>
      <c r="C48" t="s">
        <v>21</v>
      </c>
      <c r="D48">
        <v>5.822543484015493E-3</v>
      </c>
      <c r="E48" t="s">
        <v>6</v>
      </c>
      <c r="G48" t="s">
        <v>668</v>
      </c>
      <c r="H48" t="s">
        <v>21</v>
      </c>
      <c r="I48">
        <v>2.0503865299493679E-2</v>
      </c>
      <c r="J48" t="s">
        <v>6</v>
      </c>
      <c r="L48" t="s">
        <v>669</v>
      </c>
      <c r="M48" t="s">
        <v>21</v>
      </c>
      <c r="N48">
        <v>2.4181513552333618E-2</v>
      </c>
      <c r="O48" t="s">
        <v>6</v>
      </c>
    </row>
    <row r="49" spans="2:15" x14ac:dyDescent="0.45">
      <c r="B49" t="s">
        <v>667</v>
      </c>
      <c r="C49" t="s">
        <v>22</v>
      </c>
      <c r="D49">
        <v>7.5442241297353441E-2</v>
      </c>
      <c r="E49" t="s">
        <v>6</v>
      </c>
      <c r="G49" t="s">
        <v>668</v>
      </c>
      <c r="H49" t="s">
        <v>22</v>
      </c>
      <c r="I49">
        <v>9.9867283581082881E-3</v>
      </c>
      <c r="J49" t="s">
        <v>6</v>
      </c>
      <c r="L49" t="s">
        <v>669</v>
      </c>
      <c r="M49" t="s">
        <v>22</v>
      </c>
      <c r="N49">
        <v>1.8487525121502181E-2</v>
      </c>
      <c r="O49" t="s">
        <v>6</v>
      </c>
    </row>
    <row r="50" spans="2:15" x14ac:dyDescent="0.45">
      <c r="B50" t="s">
        <v>667</v>
      </c>
      <c r="C50" t="s">
        <v>23</v>
      </c>
      <c r="D50">
        <v>0.1294727417070867</v>
      </c>
      <c r="E50" t="s">
        <v>6</v>
      </c>
      <c r="G50" t="s">
        <v>668</v>
      </c>
      <c r="H50" t="s">
        <v>23</v>
      </c>
      <c r="I50">
        <v>1.2341289827905609E-2</v>
      </c>
      <c r="J50" t="s">
        <v>6</v>
      </c>
      <c r="L50" t="s">
        <v>669</v>
      </c>
      <c r="M50" t="s">
        <v>23</v>
      </c>
      <c r="N50">
        <v>2.5349818529113957E-2</v>
      </c>
      <c r="O50" t="s">
        <v>6</v>
      </c>
    </row>
    <row r="51" spans="2:15" x14ac:dyDescent="0.45">
      <c r="B51" t="s">
        <v>667</v>
      </c>
      <c r="C51" t="s">
        <v>24</v>
      </c>
      <c r="D51">
        <v>0.10798651917613745</v>
      </c>
      <c r="E51" t="s">
        <v>6</v>
      </c>
      <c r="G51" t="s">
        <v>668</v>
      </c>
      <c r="H51" t="s">
        <v>24</v>
      </c>
      <c r="I51">
        <v>2.069326828325941E-2</v>
      </c>
      <c r="J51" t="s">
        <v>6</v>
      </c>
      <c r="L51" t="s">
        <v>669</v>
      </c>
      <c r="M51" t="s">
        <v>24</v>
      </c>
      <c r="N51">
        <v>2.854996084247214E-2</v>
      </c>
      <c r="O51" t="s">
        <v>6</v>
      </c>
    </row>
    <row r="52" spans="2:15" x14ac:dyDescent="0.45">
      <c r="B52" t="s">
        <v>667</v>
      </c>
      <c r="C52" t="s">
        <v>25</v>
      </c>
      <c r="D52">
        <v>3.295755352828255E-2</v>
      </c>
      <c r="E52" t="s">
        <v>6</v>
      </c>
      <c r="G52" t="s">
        <v>668</v>
      </c>
      <c r="H52" t="s">
        <v>25</v>
      </c>
      <c r="I52">
        <v>3.1167989043988615E-2</v>
      </c>
      <c r="J52" t="s">
        <v>6</v>
      </c>
      <c r="L52" t="s">
        <v>669</v>
      </c>
      <c r="M52" t="s">
        <v>25</v>
      </c>
      <c r="N52">
        <v>2.4205031752558635E-2</v>
      </c>
      <c r="O52" t="s">
        <v>6</v>
      </c>
    </row>
    <row r="53" spans="2:15" x14ac:dyDescent="0.45">
      <c r="B53" t="s">
        <v>667</v>
      </c>
      <c r="C53" t="s">
        <v>26</v>
      </c>
      <c r="D53">
        <v>0</v>
      </c>
      <c r="E53" t="s">
        <v>6</v>
      </c>
      <c r="G53" t="s">
        <v>668</v>
      </c>
      <c r="H53" t="s">
        <v>26</v>
      </c>
      <c r="I53">
        <v>7.9054250250240224E-2</v>
      </c>
      <c r="J53" t="s">
        <v>6</v>
      </c>
      <c r="L53" t="s">
        <v>669</v>
      </c>
      <c r="M53" t="s">
        <v>26</v>
      </c>
      <c r="N53">
        <v>5.7979036732100142E-2</v>
      </c>
      <c r="O53" t="s">
        <v>6</v>
      </c>
    </row>
    <row r="54" spans="2:15" x14ac:dyDescent="0.45">
      <c r="B54" t="s">
        <v>667</v>
      </c>
      <c r="C54" t="s">
        <v>27</v>
      </c>
      <c r="D54">
        <v>6.7334474377641934E-4</v>
      </c>
      <c r="E54" t="s">
        <v>6</v>
      </c>
      <c r="G54" t="s">
        <v>668</v>
      </c>
      <c r="H54" t="s">
        <v>27</v>
      </c>
      <c r="I54">
        <v>3.5561184614879594E-2</v>
      </c>
      <c r="J54" t="s">
        <v>6</v>
      </c>
      <c r="L54" t="s">
        <v>669</v>
      </c>
      <c r="M54" t="s">
        <v>27</v>
      </c>
      <c r="N54">
        <v>2.7256433831810867E-2</v>
      </c>
      <c r="O54" t="s">
        <v>6</v>
      </c>
    </row>
    <row r="55" spans="2:15" x14ac:dyDescent="0.45">
      <c r="B55" t="s">
        <v>667</v>
      </c>
      <c r="C55" t="s">
        <v>28</v>
      </c>
      <c r="D55">
        <v>4.3335564810477997E-2</v>
      </c>
      <c r="E55" t="s">
        <v>6</v>
      </c>
      <c r="G55" t="s">
        <v>668</v>
      </c>
      <c r="H55" t="s">
        <v>28</v>
      </c>
      <c r="I55">
        <v>2.1853482919799983E-2</v>
      </c>
      <c r="J55" t="s">
        <v>6</v>
      </c>
      <c r="L55" t="s">
        <v>669</v>
      </c>
      <c r="M55" t="s">
        <v>28</v>
      </c>
      <c r="N55">
        <v>1.9653425856812824E-2</v>
      </c>
      <c r="O55" t="s">
        <v>6</v>
      </c>
    </row>
    <row r="56" spans="2:15" x14ac:dyDescent="0.45">
      <c r="B56" t="s">
        <v>667</v>
      </c>
      <c r="C56" t="s">
        <v>29</v>
      </c>
      <c r="D56">
        <v>9.1519659132566447E-2</v>
      </c>
      <c r="E56" t="s">
        <v>6</v>
      </c>
      <c r="G56" t="s">
        <v>668</v>
      </c>
      <c r="H56" t="s">
        <v>29</v>
      </c>
      <c r="I56">
        <v>2.1448034938296178E-2</v>
      </c>
      <c r="J56" t="s">
        <v>6</v>
      </c>
      <c r="L56" t="s">
        <v>669</v>
      </c>
      <c r="M56" t="s">
        <v>29</v>
      </c>
      <c r="N56">
        <v>2.1074186130236882E-2</v>
      </c>
      <c r="O56" t="s">
        <v>6</v>
      </c>
    </row>
    <row r="57" spans="2:15" x14ac:dyDescent="0.45">
      <c r="B57" t="s">
        <v>667</v>
      </c>
      <c r="C57" t="s">
        <v>30</v>
      </c>
      <c r="D57">
        <v>6.6705593366761559E-2</v>
      </c>
      <c r="E57" t="s">
        <v>6</v>
      </c>
      <c r="G57" t="s">
        <v>668</v>
      </c>
      <c r="H57" t="s">
        <v>30</v>
      </c>
      <c r="I57">
        <v>2.5760443419146802E-2</v>
      </c>
      <c r="J57" t="s">
        <v>6</v>
      </c>
      <c r="L57" t="s">
        <v>669</v>
      </c>
      <c r="M57" t="s">
        <v>30</v>
      </c>
      <c r="N57">
        <v>2.6466962202441775E-2</v>
      </c>
      <c r="O57" t="s">
        <v>6</v>
      </c>
    </row>
    <row r="58" spans="2:15" x14ac:dyDescent="0.45">
      <c r="B58" t="s">
        <v>667</v>
      </c>
      <c r="C58" t="s">
        <v>31</v>
      </c>
      <c r="D58">
        <v>9.9087018985180558E-3</v>
      </c>
      <c r="E58" t="s">
        <v>6</v>
      </c>
      <c r="G58" t="s">
        <v>668</v>
      </c>
      <c r="H58" t="s">
        <v>31</v>
      </c>
      <c r="I58">
        <v>3.0076839789011336E-2</v>
      </c>
      <c r="J58" t="s">
        <v>6</v>
      </c>
      <c r="L58" t="s">
        <v>669</v>
      </c>
      <c r="M58" t="s">
        <v>31</v>
      </c>
      <c r="N58">
        <v>2.6470322205486396E-2</v>
      </c>
      <c r="O58" t="s">
        <v>6</v>
      </c>
    </row>
    <row r="59" spans="2:15" x14ac:dyDescent="0.45">
      <c r="B59" t="s">
        <v>670</v>
      </c>
      <c r="C59" t="s">
        <v>5</v>
      </c>
      <c r="D59">
        <v>0</v>
      </c>
      <c r="E59" t="s">
        <v>6</v>
      </c>
      <c r="G59" t="s">
        <v>671</v>
      </c>
      <c r="H59" t="s">
        <v>5</v>
      </c>
      <c r="I59">
        <v>0.12353963397683948</v>
      </c>
      <c r="J59" t="s">
        <v>6</v>
      </c>
      <c r="L59" t="s">
        <v>672</v>
      </c>
      <c r="M59" t="s">
        <v>5</v>
      </c>
      <c r="N59">
        <v>0.12452658672385183</v>
      </c>
      <c r="O59" t="s">
        <v>6</v>
      </c>
    </row>
    <row r="60" spans="2:15" x14ac:dyDescent="0.45">
      <c r="B60" t="s">
        <v>670</v>
      </c>
      <c r="C60" t="s">
        <v>9</v>
      </c>
      <c r="D60">
        <v>0</v>
      </c>
      <c r="E60" t="s">
        <v>6</v>
      </c>
      <c r="G60" t="s">
        <v>671</v>
      </c>
      <c r="H60" t="s">
        <v>9</v>
      </c>
      <c r="I60">
        <v>5.5561181708261929E-2</v>
      </c>
      <c r="J60" t="s">
        <v>6</v>
      </c>
      <c r="L60" t="s">
        <v>672</v>
      </c>
      <c r="M60" t="s">
        <v>9</v>
      </c>
      <c r="N60">
        <v>6.4224890167837334E-2</v>
      </c>
      <c r="O60" t="s">
        <v>6</v>
      </c>
    </row>
    <row r="61" spans="2:15" x14ac:dyDescent="0.45">
      <c r="B61" t="s">
        <v>670</v>
      </c>
      <c r="C61" t="s">
        <v>10</v>
      </c>
      <c r="D61">
        <v>2.375050923965951E-2</v>
      </c>
      <c r="E61" t="s">
        <v>6</v>
      </c>
      <c r="G61" t="s">
        <v>671</v>
      </c>
      <c r="H61" t="s">
        <v>10</v>
      </c>
      <c r="I61">
        <v>3.7118195577813262E-2</v>
      </c>
      <c r="J61" t="s">
        <v>6</v>
      </c>
      <c r="L61" t="s">
        <v>672</v>
      </c>
      <c r="M61" t="s">
        <v>10</v>
      </c>
      <c r="N61">
        <v>4.7914108877198242E-2</v>
      </c>
      <c r="O61" t="s">
        <v>6</v>
      </c>
    </row>
    <row r="62" spans="2:15" x14ac:dyDescent="0.45">
      <c r="B62" t="s">
        <v>670</v>
      </c>
      <c r="C62" t="s">
        <v>11</v>
      </c>
      <c r="D62">
        <v>8.0002120381917549E-2</v>
      </c>
      <c r="E62" t="s">
        <v>6</v>
      </c>
      <c r="G62" t="s">
        <v>671</v>
      </c>
      <c r="H62" t="s">
        <v>11</v>
      </c>
      <c r="I62">
        <v>3.5918098365833581E-2</v>
      </c>
      <c r="J62" t="s">
        <v>6</v>
      </c>
      <c r="L62" t="s">
        <v>672</v>
      </c>
      <c r="M62" t="s">
        <v>11</v>
      </c>
      <c r="N62">
        <v>4.3099543541922247E-2</v>
      </c>
      <c r="O62" t="s">
        <v>6</v>
      </c>
    </row>
    <row r="63" spans="2:15" x14ac:dyDescent="0.45">
      <c r="B63" t="s">
        <v>670</v>
      </c>
      <c r="C63" t="s">
        <v>12</v>
      </c>
      <c r="D63">
        <v>6.0656135539612278E-2</v>
      </c>
      <c r="E63" t="s">
        <v>6</v>
      </c>
      <c r="G63" t="s">
        <v>671</v>
      </c>
      <c r="H63" t="s">
        <v>12</v>
      </c>
      <c r="I63">
        <v>3.840129755525451E-2</v>
      </c>
      <c r="J63" t="s">
        <v>6</v>
      </c>
      <c r="L63" t="s">
        <v>672</v>
      </c>
      <c r="M63" t="s">
        <v>12</v>
      </c>
      <c r="N63">
        <v>3.9865355124170755E-2</v>
      </c>
      <c r="O63" t="s">
        <v>6</v>
      </c>
    </row>
    <row r="64" spans="2:15" x14ac:dyDescent="0.45">
      <c r="B64" t="s">
        <v>670</v>
      </c>
      <c r="C64" t="s">
        <v>13</v>
      </c>
      <c r="D64">
        <v>4.9371786938047935E-3</v>
      </c>
      <c r="E64" t="s">
        <v>6</v>
      </c>
      <c r="G64" t="s">
        <v>671</v>
      </c>
      <c r="H64" t="s">
        <v>13</v>
      </c>
      <c r="I64">
        <v>4.1839211442506512E-2</v>
      </c>
      <c r="J64" t="s">
        <v>6</v>
      </c>
      <c r="L64" t="s">
        <v>672</v>
      </c>
      <c r="M64" t="s">
        <v>13</v>
      </c>
      <c r="N64">
        <v>4.3314967922888789E-2</v>
      </c>
      <c r="O64" t="s">
        <v>6</v>
      </c>
    </row>
    <row r="65" spans="2:15" x14ac:dyDescent="0.45">
      <c r="B65" t="s">
        <v>670</v>
      </c>
      <c r="C65" t="s">
        <v>14</v>
      </c>
      <c r="D65">
        <v>2.0658037535384658E-6</v>
      </c>
      <c r="E65" t="s">
        <v>6</v>
      </c>
      <c r="G65" t="s">
        <v>671</v>
      </c>
      <c r="H65" t="s">
        <v>14</v>
      </c>
      <c r="I65">
        <v>0.11227911476757542</v>
      </c>
      <c r="J65" t="s">
        <v>6</v>
      </c>
      <c r="L65" t="s">
        <v>672</v>
      </c>
      <c r="M65" t="s">
        <v>14</v>
      </c>
      <c r="N65">
        <v>0.1113151687881546</v>
      </c>
      <c r="O65" t="s">
        <v>6</v>
      </c>
    </row>
    <row r="66" spans="2:15" x14ac:dyDescent="0.45">
      <c r="B66" t="s">
        <v>670</v>
      </c>
      <c r="C66" t="s">
        <v>15</v>
      </c>
      <c r="D66">
        <v>3.1122973816544866E-3</v>
      </c>
      <c r="E66" t="s">
        <v>6</v>
      </c>
      <c r="G66" t="s">
        <v>671</v>
      </c>
      <c r="H66" t="s">
        <v>15</v>
      </c>
      <c r="I66">
        <v>4.5605928127611772E-2</v>
      </c>
      <c r="J66" t="s">
        <v>6</v>
      </c>
      <c r="L66" t="s">
        <v>672</v>
      </c>
      <c r="M66" t="s">
        <v>15</v>
      </c>
      <c r="N66">
        <v>5.3055317484167579E-2</v>
      </c>
      <c r="O66" t="s">
        <v>6</v>
      </c>
    </row>
    <row r="67" spans="2:15" x14ac:dyDescent="0.45">
      <c r="B67" t="s">
        <v>670</v>
      </c>
      <c r="C67" t="s">
        <v>16</v>
      </c>
      <c r="D67">
        <v>5.6342029259922904E-2</v>
      </c>
      <c r="E67" t="s">
        <v>6</v>
      </c>
      <c r="G67" t="s">
        <v>671</v>
      </c>
      <c r="H67" t="s">
        <v>16</v>
      </c>
      <c r="I67">
        <v>3.2383867310603123E-2</v>
      </c>
      <c r="J67" t="s">
        <v>6</v>
      </c>
      <c r="L67" t="s">
        <v>672</v>
      </c>
      <c r="M67" t="s">
        <v>16</v>
      </c>
      <c r="N67">
        <v>3.5951109055421995E-2</v>
      </c>
      <c r="O67" t="s">
        <v>6</v>
      </c>
    </row>
    <row r="68" spans="2:15" x14ac:dyDescent="0.45">
      <c r="B68" t="s">
        <v>670</v>
      </c>
      <c r="C68" t="s">
        <v>17</v>
      </c>
      <c r="D68">
        <v>0.10820655933474255</v>
      </c>
      <c r="E68" t="s">
        <v>6</v>
      </c>
      <c r="G68" t="s">
        <v>671</v>
      </c>
      <c r="H68" t="s">
        <v>17</v>
      </c>
      <c r="I68">
        <v>3.6422110056113809E-2</v>
      </c>
      <c r="J68" t="s">
        <v>6</v>
      </c>
      <c r="L68" t="s">
        <v>672</v>
      </c>
      <c r="M68" t="s">
        <v>17</v>
      </c>
      <c r="N68">
        <v>3.7968005063460444E-2</v>
      </c>
      <c r="O68" t="s">
        <v>6</v>
      </c>
    </row>
    <row r="69" spans="2:15" x14ac:dyDescent="0.45">
      <c r="B69" t="s">
        <v>670</v>
      </c>
      <c r="C69" t="s">
        <v>18</v>
      </c>
      <c r="D69">
        <v>8.9261849774483551E-2</v>
      </c>
      <c r="E69" t="s">
        <v>6</v>
      </c>
      <c r="G69" t="s">
        <v>671</v>
      </c>
      <c r="H69" t="s">
        <v>18</v>
      </c>
      <c r="I69">
        <v>4.7091134834872518E-2</v>
      </c>
      <c r="J69" t="s">
        <v>6</v>
      </c>
      <c r="L69" t="s">
        <v>672</v>
      </c>
      <c r="M69" t="s">
        <v>18</v>
      </c>
      <c r="N69">
        <v>4.6135334615224094E-2</v>
      </c>
      <c r="O69" t="s">
        <v>6</v>
      </c>
    </row>
    <row r="70" spans="2:15" x14ac:dyDescent="0.45">
      <c r="B70" t="s">
        <v>670</v>
      </c>
      <c r="C70" t="s">
        <v>19</v>
      </c>
      <c r="D70">
        <v>2.1383941132734428E-2</v>
      </c>
      <c r="E70" t="s">
        <v>6</v>
      </c>
      <c r="G70" t="s">
        <v>671</v>
      </c>
      <c r="H70" t="s">
        <v>19</v>
      </c>
      <c r="I70">
        <v>4.6679696371096355E-2</v>
      </c>
      <c r="J70" t="s">
        <v>6</v>
      </c>
      <c r="L70" t="s">
        <v>672</v>
      </c>
      <c r="M70" t="s">
        <v>19</v>
      </c>
      <c r="N70">
        <v>4.7784775945781122E-2</v>
      </c>
      <c r="O70" t="s">
        <v>6</v>
      </c>
    </row>
    <row r="71" spans="2:15" x14ac:dyDescent="0.45">
      <c r="B71" t="s">
        <v>670</v>
      </c>
      <c r="C71" t="s">
        <v>20</v>
      </c>
      <c r="D71">
        <v>1.2101212937480849E-4</v>
      </c>
      <c r="E71" t="s">
        <v>6</v>
      </c>
      <c r="G71" t="s">
        <v>671</v>
      </c>
      <c r="H71" t="s">
        <v>20</v>
      </c>
      <c r="I71">
        <v>7.3089252267143107E-2</v>
      </c>
      <c r="J71" t="s">
        <v>6</v>
      </c>
      <c r="L71" t="s">
        <v>672</v>
      </c>
      <c r="M71" t="s">
        <v>20</v>
      </c>
      <c r="N71">
        <v>2.890053138386996E-2</v>
      </c>
      <c r="O71" t="s">
        <v>6</v>
      </c>
    </row>
    <row r="72" spans="2:15" x14ac:dyDescent="0.45">
      <c r="B72" t="s">
        <v>670</v>
      </c>
      <c r="C72" t="s">
        <v>21</v>
      </c>
      <c r="D72">
        <v>5.8730396319386013E-3</v>
      </c>
      <c r="E72" t="s">
        <v>6</v>
      </c>
      <c r="G72" t="s">
        <v>671</v>
      </c>
      <c r="H72" t="s">
        <v>21</v>
      </c>
      <c r="I72">
        <v>1.9256158172650407E-2</v>
      </c>
      <c r="J72" t="s">
        <v>6</v>
      </c>
      <c r="L72" t="s">
        <v>672</v>
      </c>
      <c r="M72" t="s">
        <v>21</v>
      </c>
      <c r="N72">
        <v>1.4406389252823077E-2</v>
      </c>
      <c r="O72" t="s">
        <v>6</v>
      </c>
    </row>
    <row r="73" spans="2:15" x14ac:dyDescent="0.45">
      <c r="B73" t="s">
        <v>670</v>
      </c>
      <c r="C73" t="s">
        <v>22</v>
      </c>
      <c r="D73">
        <v>7.2744399685363836E-2</v>
      </c>
      <c r="E73" t="s">
        <v>6</v>
      </c>
      <c r="G73" t="s">
        <v>671</v>
      </c>
      <c r="H73" t="s">
        <v>22</v>
      </c>
      <c r="I73">
        <v>7.1012404581596925E-3</v>
      </c>
      <c r="J73" t="s">
        <v>6</v>
      </c>
      <c r="L73" t="s">
        <v>672</v>
      </c>
      <c r="M73" t="s">
        <v>22</v>
      </c>
      <c r="N73">
        <v>9.3286267857389457E-3</v>
      </c>
      <c r="O73" t="s">
        <v>6</v>
      </c>
    </row>
    <row r="74" spans="2:15" x14ac:dyDescent="0.45">
      <c r="B74" t="s">
        <v>670</v>
      </c>
      <c r="C74" t="s">
        <v>23</v>
      </c>
      <c r="D74">
        <v>0.12633231379572746</v>
      </c>
      <c r="E74" t="s">
        <v>6</v>
      </c>
      <c r="G74" t="s">
        <v>671</v>
      </c>
      <c r="H74" t="s">
        <v>23</v>
      </c>
      <c r="I74">
        <v>7.9474167825153083E-3</v>
      </c>
      <c r="J74" t="s">
        <v>6</v>
      </c>
      <c r="L74" t="s">
        <v>672</v>
      </c>
      <c r="M74" t="s">
        <v>23</v>
      </c>
      <c r="N74">
        <v>1.3182385557750035E-2</v>
      </c>
      <c r="O74" t="s">
        <v>6</v>
      </c>
    </row>
    <row r="75" spans="2:15" x14ac:dyDescent="0.45">
      <c r="B75" t="s">
        <v>670</v>
      </c>
      <c r="C75" t="s">
        <v>24</v>
      </c>
      <c r="D75">
        <v>0.10700023200938641</v>
      </c>
      <c r="E75" t="s">
        <v>6</v>
      </c>
      <c r="G75" t="s">
        <v>671</v>
      </c>
      <c r="H75" t="s">
        <v>24</v>
      </c>
      <c r="I75">
        <v>1.2885970762060019E-2</v>
      </c>
      <c r="J75" t="s">
        <v>6</v>
      </c>
      <c r="L75" t="s">
        <v>672</v>
      </c>
      <c r="M75" t="s">
        <v>24</v>
      </c>
      <c r="N75">
        <v>1.8484600688920584E-2</v>
      </c>
      <c r="O75" t="s">
        <v>6</v>
      </c>
    </row>
    <row r="76" spans="2:15" x14ac:dyDescent="0.45">
      <c r="B76" t="s">
        <v>670</v>
      </c>
      <c r="C76" t="s">
        <v>25</v>
      </c>
      <c r="D76">
        <v>3.2705063963617512E-2</v>
      </c>
      <c r="E76" t="s">
        <v>6</v>
      </c>
      <c r="G76" t="s">
        <v>671</v>
      </c>
      <c r="H76" t="s">
        <v>25</v>
      </c>
      <c r="I76">
        <v>2.0754649935554408E-2</v>
      </c>
      <c r="J76" t="s">
        <v>6</v>
      </c>
      <c r="L76" t="s">
        <v>672</v>
      </c>
      <c r="M76" t="s">
        <v>25</v>
      </c>
      <c r="N76">
        <v>1.7454751080944731E-2</v>
      </c>
      <c r="O76" t="s">
        <v>6</v>
      </c>
    </row>
    <row r="77" spans="2:15" x14ac:dyDescent="0.45">
      <c r="B77" t="s">
        <v>670</v>
      </c>
      <c r="C77" t="s">
        <v>26</v>
      </c>
      <c r="D77">
        <v>0</v>
      </c>
      <c r="E77" t="s">
        <v>6</v>
      </c>
      <c r="G77" t="s">
        <v>671</v>
      </c>
      <c r="H77" t="s">
        <v>26</v>
      </c>
      <c r="I77">
        <v>8.0088758927027909E-2</v>
      </c>
      <c r="J77" t="s">
        <v>6</v>
      </c>
      <c r="L77" t="s">
        <v>672</v>
      </c>
      <c r="M77" t="s">
        <v>26</v>
      </c>
      <c r="N77">
        <v>7.0075966792099931E-2</v>
      </c>
      <c r="O77" t="s">
        <v>6</v>
      </c>
    </row>
    <row r="78" spans="2:15" x14ac:dyDescent="0.45">
      <c r="B78" t="s">
        <v>670</v>
      </c>
      <c r="C78" t="s">
        <v>27</v>
      </c>
      <c r="D78">
        <v>7.1180311304120867E-4</v>
      </c>
      <c r="E78" t="s">
        <v>6</v>
      </c>
      <c r="G78" t="s">
        <v>671</v>
      </c>
      <c r="H78" t="s">
        <v>27</v>
      </c>
      <c r="I78">
        <v>3.2184194916084832E-2</v>
      </c>
      <c r="J78" t="s">
        <v>6</v>
      </c>
      <c r="L78" t="s">
        <v>672</v>
      </c>
      <c r="M78" t="s">
        <v>27</v>
      </c>
      <c r="N78">
        <v>3.4809159170352946E-2</v>
      </c>
      <c r="O78" t="s">
        <v>6</v>
      </c>
    </row>
    <row r="79" spans="2:15" x14ac:dyDescent="0.45">
      <c r="B79" t="s">
        <v>670</v>
      </c>
      <c r="C79" t="s">
        <v>28</v>
      </c>
      <c r="D79">
        <v>4.4857060816488985E-2</v>
      </c>
      <c r="E79" t="s">
        <v>6</v>
      </c>
      <c r="G79" t="s">
        <v>671</v>
      </c>
      <c r="H79" t="s">
        <v>28</v>
      </c>
      <c r="I79">
        <v>2.0388970568597446E-2</v>
      </c>
      <c r="J79" t="s">
        <v>6</v>
      </c>
      <c r="L79" t="s">
        <v>672</v>
      </c>
      <c r="M79" t="s">
        <v>28</v>
      </c>
      <c r="N79">
        <v>2.4395793405071441E-2</v>
      </c>
      <c r="O79" t="s">
        <v>6</v>
      </c>
    </row>
    <row r="80" spans="2:15" x14ac:dyDescent="0.45">
      <c r="B80" t="s">
        <v>670</v>
      </c>
      <c r="C80" t="s">
        <v>29</v>
      </c>
      <c r="D80">
        <v>9.0101679998510237E-2</v>
      </c>
      <c r="E80" t="s">
        <v>6</v>
      </c>
      <c r="G80" t="s">
        <v>671</v>
      </c>
      <c r="H80" t="s">
        <v>29</v>
      </c>
      <c r="I80">
        <v>2.1583743739778956E-2</v>
      </c>
      <c r="J80" t="s">
        <v>6</v>
      </c>
      <c r="L80" t="s">
        <v>672</v>
      </c>
      <c r="M80" t="s">
        <v>29</v>
      </c>
      <c r="N80">
        <v>2.2736042157000546E-2</v>
      </c>
      <c r="O80" t="s">
        <v>6</v>
      </c>
    </row>
    <row r="81" spans="2:15" x14ac:dyDescent="0.45">
      <c r="B81" t="s">
        <v>670</v>
      </c>
      <c r="C81" t="s">
        <v>30</v>
      </c>
      <c r="D81">
        <v>6.3116422179227513E-2</v>
      </c>
      <c r="E81" t="s">
        <v>6</v>
      </c>
      <c r="G81" t="s">
        <v>671</v>
      </c>
      <c r="H81" t="s">
        <v>30</v>
      </c>
      <c r="I81">
        <v>2.439419378932731E-2</v>
      </c>
      <c r="J81" t="s">
        <v>6</v>
      </c>
      <c r="L81" t="s">
        <v>672</v>
      </c>
      <c r="M81" t="s">
        <v>30</v>
      </c>
      <c r="N81">
        <v>2.3854965850420181E-2</v>
      </c>
      <c r="O81" t="s">
        <v>6</v>
      </c>
    </row>
    <row r="82" spans="2:15" x14ac:dyDescent="0.45">
      <c r="B82" t="s">
        <v>670</v>
      </c>
      <c r="C82" t="s">
        <v>31</v>
      </c>
      <c r="D82">
        <v>8.782286135038472E-3</v>
      </c>
      <c r="E82" t="s">
        <v>6</v>
      </c>
      <c r="G82" t="s">
        <v>671</v>
      </c>
      <c r="H82" t="s">
        <v>31</v>
      </c>
      <c r="I82">
        <v>2.7485979586717644E-2</v>
      </c>
      <c r="J82" t="s">
        <v>6</v>
      </c>
      <c r="L82" t="s">
        <v>672</v>
      </c>
      <c r="M82" t="s">
        <v>31</v>
      </c>
      <c r="N82">
        <v>2.7215624564925663E-2</v>
      </c>
      <c r="O82" t="s">
        <v>6</v>
      </c>
    </row>
    <row r="83" spans="2:15" x14ac:dyDescent="0.45">
      <c r="B83" t="s">
        <v>673</v>
      </c>
      <c r="C83" t="s">
        <v>5</v>
      </c>
      <c r="D83">
        <v>0</v>
      </c>
      <c r="E83" t="s">
        <v>6</v>
      </c>
      <c r="G83" t="s">
        <v>674</v>
      </c>
      <c r="H83" t="s">
        <v>5</v>
      </c>
      <c r="I83">
        <v>0.12168084453549984</v>
      </c>
      <c r="J83" t="s">
        <v>6</v>
      </c>
      <c r="L83" t="s">
        <v>675</v>
      </c>
      <c r="M83" t="s">
        <v>5</v>
      </c>
      <c r="N83">
        <v>0.12006988074678038</v>
      </c>
      <c r="O83" t="s">
        <v>6</v>
      </c>
    </row>
    <row r="84" spans="2:15" x14ac:dyDescent="0.45">
      <c r="B84" t="s">
        <v>673</v>
      </c>
      <c r="C84" t="s">
        <v>9</v>
      </c>
      <c r="D84">
        <v>0</v>
      </c>
      <c r="E84" t="s">
        <v>6</v>
      </c>
      <c r="G84" t="s">
        <v>674</v>
      </c>
      <c r="H84" t="s">
        <v>9</v>
      </c>
      <c r="I84">
        <v>5.4147330499485703E-2</v>
      </c>
      <c r="J84" t="s">
        <v>6</v>
      </c>
      <c r="L84" t="s">
        <v>675</v>
      </c>
      <c r="M84" t="s">
        <v>9</v>
      </c>
      <c r="N84">
        <v>6.1470356609303174E-2</v>
      </c>
      <c r="O84" t="s">
        <v>6</v>
      </c>
    </row>
    <row r="85" spans="2:15" x14ac:dyDescent="0.45">
      <c r="B85" t="s">
        <v>673</v>
      </c>
      <c r="C85" t="s">
        <v>10</v>
      </c>
      <c r="D85">
        <v>1.7182012898956905E-2</v>
      </c>
      <c r="E85" t="s">
        <v>6</v>
      </c>
      <c r="G85" t="s">
        <v>674</v>
      </c>
      <c r="H85" t="s">
        <v>10</v>
      </c>
      <c r="I85">
        <v>3.4783296375266504E-2</v>
      </c>
      <c r="J85" t="s">
        <v>6</v>
      </c>
      <c r="L85" t="s">
        <v>675</v>
      </c>
      <c r="M85" t="s">
        <v>10</v>
      </c>
      <c r="N85">
        <v>4.6065988191444529E-2</v>
      </c>
      <c r="O85" t="s">
        <v>6</v>
      </c>
    </row>
    <row r="86" spans="2:15" x14ac:dyDescent="0.45">
      <c r="B86" t="s">
        <v>673</v>
      </c>
      <c r="C86" t="s">
        <v>11</v>
      </c>
      <c r="D86">
        <v>6.7060978035692734E-2</v>
      </c>
      <c r="E86" t="s">
        <v>6</v>
      </c>
      <c r="G86" t="s">
        <v>674</v>
      </c>
      <c r="H86" t="s">
        <v>11</v>
      </c>
      <c r="I86">
        <v>4.077054688747378E-2</v>
      </c>
      <c r="J86" t="s">
        <v>6</v>
      </c>
      <c r="L86" t="s">
        <v>675</v>
      </c>
      <c r="M86" t="s">
        <v>11</v>
      </c>
      <c r="N86">
        <v>4.5043243773356147E-2</v>
      </c>
      <c r="O86" t="s">
        <v>6</v>
      </c>
    </row>
    <row r="87" spans="2:15" x14ac:dyDescent="0.45">
      <c r="B87" t="s">
        <v>673</v>
      </c>
      <c r="C87" t="s">
        <v>12</v>
      </c>
      <c r="D87">
        <v>5.5614800093192029E-2</v>
      </c>
      <c r="E87" t="s">
        <v>6</v>
      </c>
      <c r="G87" t="s">
        <v>674</v>
      </c>
      <c r="H87" t="s">
        <v>12</v>
      </c>
      <c r="I87">
        <v>4.6473447247588423E-2</v>
      </c>
      <c r="J87" t="s">
        <v>6</v>
      </c>
      <c r="L87" t="s">
        <v>675</v>
      </c>
      <c r="M87" t="s">
        <v>12</v>
      </c>
      <c r="N87">
        <v>4.2650181991349415E-2</v>
      </c>
      <c r="O87" t="s">
        <v>6</v>
      </c>
    </row>
    <row r="88" spans="2:15" x14ac:dyDescent="0.45">
      <c r="B88" t="s">
        <v>673</v>
      </c>
      <c r="C88" t="s">
        <v>13</v>
      </c>
      <c r="D88">
        <v>7.6676827901450686E-3</v>
      </c>
      <c r="E88" t="s">
        <v>6</v>
      </c>
      <c r="G88" t="s">
        <v>674</v>
      </c>
      <c r="H88" t="s">
        <v>13</v>
      </c>
      <c r="I88">
        <v>4.2082194243829571E-2</v>
      </c>
      <c r="J88" t="s">
        <v>6</v>
      </c>
      <c r="L88" t="s">
        <v>675</v>
      </c>
      <c r="M88" t="s">
        <v>13</v>
      </c>
      <c r="N88">
        <v>4.2841813597958044E-2</v>
      </c>
      <c r="O88" t="s">
        <v>6</v>
      </c>
    </row>
    <row r="89" spans="2:15" x14ac:dyDescent="0.45">
      <c r="B89" t="s">
        <v>673</v>
      </c>
      <c r="C89" t="s">
        <v>14</v>
      </c>
      <c r="D89">
        <v>7.114050592704051E-5</v>
      </c>
      <c r="E89" t="s">
        <v>6</v>
      </c>
      <c r="G89" t="s">
        <v>674</v>
      </c>
      <c r="H89" t="s">
        <v>14</v>
      </c>
      <c r="I89">
        <v>0.11298743181873241</v>
      </c>
      <c r="J89" t="s">
        <v>6</v>
      </c>
      <c r="L89" t="s">
        <v>675</v>
      </c>
      <c r="M89" t="s">
        <v>14</v>
      </c>
      <c r="N89">
        <v>0.1123545501726354</v>
      </c>
      <c r="O89" t="s">
        <v>6</v>
      </c>
    </row>
    <row r="90" spans="2:15" x14ac:dyDescent="0.45">
      <c r="B90" t="s">
        <v>673</v>
      </c>
      <c r="C90" t="s">
        <v>15</v>
      </c>
      <c r="D90">
        <v>1.7172495880315029E-3</v>
      </c>
      <c r="E90" t="s">
        <v>6</v>
      </c>
      <c r="G90" t="s">
        <v>674</v>
      </c>
      <c r="H90" t="s">
        <v>15</v>
      </c>
      <c r="I90">
        <v>3.8394923929990221E-2</v>
      </c>
      <c r="J90" t="s">
        <v>6</v>
      </c>
      <c r="L90" t="s">
        <v>675</v>
      </c>
      <c r="M90" t="s">
        <v>15</v>
      </c>
      <c r="N90">
        <v>5.5180634391622845E-2</v>
      </c>
      <c r="O90" t="s">
        <v>6</v>
      </c>
    </row>
    <row r="91" spans="2:15" x14ac:dyDescent="0.45">
      <c r="B91" t="s">
        <v>673</v>
      </c>
      <c r="C91" t="s">
        <v>16</v>
      </c>
      <c r="D91">
        <v>4.863360646529867E-2</v>
      </c>
      <c r="E91" t="s">
        <v>6</v>
      </c>
      <c r="G91" t="s">
        <v>674</v>
      </c>
      <c r="H91" t="s">
        <v>16</v>
      </c>
      <c r="I91">
        <v>2.7560200369604972E-2</v>
      </c>
      <c r="J91" t="s">
        <v>6</v>
      </c>
      <c r="L91" t="s">
        <v>675</v>
      </c>
      <c r="M91" t="s">
        <v>16</v>
      </c>
      <c r="N91">
        <v>3.9087258422934625E-2</v>
      </c>
      <c r="O91" t="s">
        <v>6</v>
      </c>
    </row>
    <row r="92" spans="2:15" x14ac:dyDescent="0.45">
      <c r="B92" t="s">
        <v>673</v>
      </c>
      <c r="C92" t="s">
        <v>17</v>
      </c>
      <c r="D92">
        <v>0.10319568475334476</v>
      </c>
      <c r="E92" t="s">
        <v>6</v>
      </c>
      <c r="G92" t="s">
        <v>674</v>
      </c>
      <c r="H92" t="s">
        <v>17</v>
      </c>
      <c r="I92">
        <v>4.0125178953924437E-2</v>
      </c>
      <c r="J92" t="s">
        <v>6</v>
      </c>
      <c r="L92" t="s">
        <v>675</v>
      </c>
      <c r="M92" t="s">
        <v>17</v>
      </c>
      <c r="N92">
        <v>3.9228258518557796E-2</v>
      </c>
      <c r="O92" t="s">
        <v>6</v>
      </c>
    </row>
    <row r="93" spans="2:15" x14ac:dyDescent="0.45">
      <c r="B93" t="s">
        <v>673</v>
      </c>
      <c r="C93" t="s">
        <v>18</v>
      </c>
      <c r="D93">
        <v>9.2423869814687601E-2</v>
      </c>
      <c r="E93" t="s">
        <v>6</v>
      </c>
      <c r="G93" t="s">
        <v>674</v>
      </c>
      <c r="H93" t="s">
        <v>18</v>
      </c>
      <c r="I93">
        <v>5.5724411143744802E-2</v>
      </c>
      <c r="J93" t="s">
        <v>6</v>
      </c>
      <c r="L93" t="s">
        <v>675</v>
      </c>
      <c r="M93" t="s">
        <v>18</v>
      </c>
      <c r="N93">
        <v>3.9287492361886112E-2</v>
      </c>
      <c r="O93" t="s">
        <v>6</v>
      </c>
    </row>
    <row r="94" spans="2:15" x14ac:dyDescent="0.45">
      <c r="B94" t="s">
        <v>673</v>
      </c>
      <c r="C94" t="s">
        <v>19</v>
      </c>
      <c r="D94">
        <v>2.8838207334013554E-2</v>
      </c>
      <c r="E94" t="s">
        <v>6</v>
      </c>
      <c r="G94" t="s">
        <v>674</v>
      </c>
      <c r="H94" t="s">
        <v>19</v>
      </c>
      <c r="I94">
        <v>5.4612009360213716E-2</v>
      </c>
      <c r="J94" t="s">
        <v>6</v>
      </c>
      <c r="L94" t="s">
        <v>675</v>
      </c>
      <c r="M94" t="s">
        <v>19</v>
      </c>
      <c r="N94">
        <v>4.1676858663101314E-2</v>
      </c>
      <c r="O94" t="s">
        <v>6</v>
      </c>
    </row>
    <row r="95" spans="2:15" x14ac:dyDescent="0.45">
      <c r="B95" t="s">
        <v>673</v>
      </c>
      <c r="C95" t="s">
        <v>20</v>
      </c>
      <c r="D95">
        <v>4.5938541729320442E-4</v>
      </c>
      <c r="E95" t="s">
        <v>6</v>
      </c>
      <c r="G95" t="s">
        <v>674</v>
      </c>
      <c r="H95" t="s">
        <v>20</v>
      </c>
      <c r="I95">
        <v>7.5335712381390141E-2</v>
      </c>
      <c r="J95" t="s">
        <v>6</v>
      </c>
      <c r="L95" t="s">
        <v>675</v>
      </c>
      <c r="M95" t="s">
        <v>20</v>
      </c>
      <c r="N95">
        <v>3.2909516650209615E-2</v>
      </c>
      <c r="O95" t="s">
        <v>6</v>
      </c>
    </row>
    <row r="96" spans="2:15" x14ac:dyDescent="0.45">
      <c r="B96" t="s">
        <v>673</v>
      </c>
      <c r="C96" t="s">
        <v>21</v>
      </c>
      <c r="D96">
        <v>3.1298169636217671E-3</v>
      </c>
      <c r="E96" t="s">
        <v>6</v>
      </c>
      <c r="G96" t="s">
        <v>674</v>
      </c>
      <c r="H96" t="s">
        <v>21</v>
      </c>
      <c r="I96">
        <v>1.4335559270806044E-2</v>
      </c>
      <c r="J96" t="s">
        <v>6</v>
      </c>
      <c r="L96" t="s">
        <v>675</v>
      </c>
      <c r="M96" t="s">
        <v>21</v>
      </c>
      <c r="N96">
        <v>1.9730360773591894E-2</v>
      </c>
      <c r="O96" t="s">
        <v>6</v>
      </c>
    </row>
    <row r="97" spans="2:15" x14ac:dyDescent="0.45">
      <c r="B97" t="s">
        <v>673</v>
      </c>
      <c r="C97" t="s">
        <v>22</v>
      </c>
      <c r="D97">
        <v>6.6519699911028893E-2</v>
      </c>
      <c r="E97" t="s">
        <v>6</v>
      </c>
      <c r="G97" t="s">
        <v>674</v>
      </c>
      <c r="H97" t="s">
        <v>22</v>
      </c>
      <c r="I97">
        <v>7.5486425217912503E-3</v>
      </c>
      <c r="J97" t="s">
        <v>6</v>
      </c>
      <c r="L97" t="s">
        <v>675</v>
      </c>
      <c r="M97" t="s">
        <v>22</v>
      </c>
      <c r="N97">
        <v>1.3026683591127158E-2</v>
      </c>
      <c r="O97" t="s">
        <v>6</v>
      </c>
    </row>
    <row r="98" spans="2:15" x14ac:dyDescent="0.45">
      <c r="B98" t="s">
        <v>673</v>
      </c>
      <c r="C98" t="s">
        <v>23</v>
      </c>
      <c r="D98">
        <v>0.12754931661169921</v>
      </c>
      <c r="E98" t="s">
        <v>6</v>
      </c>
      <c r="G98" t="s">
        <v>674</v>
      </c>
      <c r="H98" t="s">
        <v>23</v>
      </c>
      <c r="I98">
        <v>1.1825329731644102E-2</v>
      </c>
      <c r="J98" t="s">
        <v>6</v>
      </c>
      <c r="L98" t="s">
        <v>675</v>
      </c>
      <c r="M98" t="s">
        <v>23</v>
      </c>
      <c r="N98">
        <v>1.2597735909511465E-2</v>
      </c>
      <c r="O98" t="s">
        <v>6</v>
      </c>
    </row>
    <row r="99" spans="2:15" x14ac:dyDescent="0.45">
      <c r="B99" t="s">
        <v>673</v>
      </c>
      <c r="C99" t="s">
        <v>24</v>
      </c>
      <c r="D99">
        <v>0.11668527661705942</v>
      </c>
      <c r="E99" t="s">
        <v>6</v>
      </c>
      <c r="G99" t="s">
        <v>674</v>
      </c>
      <c r="H99" t="s">
        <v>24</v>
      </c>
      <c r="I99">
        <v>2.0369759608392365E-2</v>
      </c>
      <c r="J99" t="s">
        <v>6</v>
      </c>
      <c r="L99" t="s">
        <v>675</v>
      </c>
      <c r="M99" t="s">
        <v>24</v>
      </c>
      <c r="N99">
        <v>1.2203577580393997E-2</v>
      </c>
      <c r="O99" t="s">
        <v>6</v>
      </c>
    </row>
    <row r="100" spans="2:15" x14ac:dyDescent="0.45">
      <c r="B100" t="s">
        <v>673</v>
      </c>
      <c r="C100" t="s">
        <v>25</v>
      </c>
      <c r="D100">
        <v>4.2863669701664719E-2</v>
      </c>
      <c r="E100" t="s">
        <v>6</v>
      </c>
      <c r="G100" t="s">
        <v>674</v>
      </c>
      <c r="H100" t="s">
        <v>25</v>
      </c>
      <c r="I100">
        <v>2.7495615536066696E-2</v>
      </c>
      <c r="J100" t="s">
        <v>6</v>
      </c>
      <c r="L100" t="s">
        <v>675</v>
      </c>
      <c r="M100" t="s">
        <v>25</v>
      </c>
      <c r="N100">
        <v>1.331033794647671E-2</v>
      </c>
      <c r="O100" t="s">
        <v>6</v>
      </c>
    </row>
    <row r="101" spans="2:15" x14ac:dyDescent="0.45">
      <c r="B101" t="s">
        <v>673</v>
      </c>
      <c r="C101" t="s">
        <v>26</v>
      </c>
      <c r="D101">
        <v>0</v>
      </c>
      <c r="E101" t="s">
        <v>6</v>
      </c>
      <c r="G101" t="s">
        <v>674</v>
      </c>
      <c r="H101" t="s">
        <v>26</v>
      </c>
      <c r="I101">
        <v>6.6707200325164764E-2</v>
      </c>
      <c r="J101" t="s">
        <v>6</v>
      </c>
      <c r="L101" t="s">
        <v>675</v>
      </c>
      <c r="M101" t="s">
        <v>26</v>
      </c>
      <c r="N101">
        <v>7.3969712772142607E-2</v>
      </c>
      <c r="O101" t="s">
        <v>6</v>
      </c>
    </row>
    <row r="102" spans="2:15" x14ac:dyDescent="0.45">
      <c r="B102" t="s">
        <v>673</v>
      </c>
      <c r="C102" t="s">
        <v>27</v>
      </c>
      <c r="D102">
        <v>1.4723217123064529E-4</v>
      </c>
      <c r="E102" t="s">
        <v>6</v>
      </c>
      <c r="G102" t="s">
        <v>674</v>
      </c>
      <c r="H102" t="s">
        <v>27</v>
      </c>
      <c r="I102">
        <v>2.2915282579792012E-2</v>
      </c>
      <c r="J102" t="s">
        <v>6</v>
      </c>
      <c r="L102" t="s">
        <v>675</v>
      </c>
      <c r="M102" t="s">
        <v>27</v>
      </c>
      <c r="N102">
        <v>3.6833206660733732E-2</v>
      </c>
      <c r="O102" t="s">
        <v>6</v>
      </c>
    </row>
    <row r="103" spans="2:15" x14ac:dyDescent="0.45">
      <c r="B103" t="s">
        <v>673</v>
      </c>
      <c r="C103" t="s">
        <v>28</v>
      </c>
      <c r="D103">
        <v>3.7451371942964266E-2</v>
      </c>
      <c r="E103" t="s">
        <v>6</v>
      </c>
      <c r="G103" t="s">
        <v>674</v>
      </c>
      <c r="H103" t="s">
        <v>28</v>
      </c>
      <c r="I103">
        <v>1.4083275026826266E-2</v>
      </c>
      <c r="J103" t="s">
        <v>6</v>
      </c>
      <c r="L103" t="s">
        <v>675</v>
      </c>
      <c r="M103" t="s">
        <v>28</v>
      </c>
      <c r="N103">
        <v>2.6282109336111501E-2</v>
      </c>
      <c r="O103" t="s">
        <v>6</v>
      </c>
    </row>
    <row r="104" spans="2:15" x14ac:dyDescent="0.45">
      <c r="B104" t="s">
        <v>673</v>
      </c>
      <c r="C104" t="s">
        <v>29</v>
      </c>
      <c r="D104">
        <v>9.3258342670109309E-2</v>
      </c>
      <c r="E104" t="s">
        <v>6</v>
      </c>
      <c r="G104" t="s">
        <v>674</v>
      </c>
      <c r="H104" t="s">
        <v>29</v>
      </c>
      <c r="I104">
        <v>1.8109858641964387E-2</v>
      </c>
      <c r="J104" t="s">
        <v>6</v>
      </c>
      <c r="L104" t="s">
        <v>675</v>
      </c>
      <c r="M104" t="s">
        <v>29</v>
      </c>
      <c r="N104">
        <v>2.5447790639387437E-2</v>
      </c>
      <c r="O104" t="s">
        <v>6</v>
      </c>
    </row>
    <row r="105" spans="2:15" x14ac:dyDescent="0.45">
      <c r="B105" t="s">
        <v>673</v>
      </c>
      <c r="C105" t="s">
        <v>30</v>
      </c>
      <c r="D105">
        <v>7.5675818325868963E-2</v>
      </c>
      <c r="E105" t="s">
        <v>6</v>
      </c>
      <c r="G105" t="s">
        <v>674</v>
      </c>
      <c r="H105" t="s">
        <v>30</v>
      </c>
      <c r="I105">
        <v>2.4164513877985312E-2</v>
      </c>
      <c r="J105" t="s">
        <v>6</v>
      </c>
      <c r="L105" t="s">
        <v>675</v>
      </c>
      <c r="M105" t="s">
        <v>30</v>
      </c>
      <c r="N105">
        <v>2.369776429942479E-2</v>
      </c>
      <c r="O105" t="s">
        <v>6</v>
      </c>
    </row>
    <row r="106" spans="2:15" x14ac:dyDescent="0.45">
      <c r="B106" t="s">
        <v>673</v>
      </c>
      <c r="C106" t="s">
        <v>31</v>
      </c>
      <c r="D106">
        <v>1.3854837388169962E-2</v>
      </c>
      <c r="E106" t="s">
        <v>6</v>
      </c>
      <c r="G106" t="s">
        <v>674</v>
      </c>
      <c r="H106" t="s">
        <v>31</v>
      </c>
      <c r="I106">
        <v>2.7767435132821722E-2</v>
      </c>
      <c r="J106" t="s">
        <v>6</v>
      </c>
      <c r="L106" t="s">
        <v>675</v>
      </c>
      <c r="M106" t="s">
        <v>31</v>
      </c>
      <c r="N106">
        <v>2.503468639995891E-2</v>
      </c>
      <c r="O106" t="s">
        <v>6</v>
      </c>
    </row>
    <row r="107" spans="2:15" x14ac:dyDescent="0.45">
      <c r="B107" t="s">
        <v>676</v>
      </c>
      <c r="C107" t="s">
        <v>5</v>
      </c>
      <c r="D107">
        <v>0</v>
      </c>
      <c r="E107" t="s">
        <v>6</v>
      </c>
      <c r="G107" t="s">
        <v>677</v>
      </c>
      <c r="H107" t="s">
        <v>5</v>
      </c>
      <c r="I107">
        <v>0.11956155874641165</v>
      </c>
      <c r="J107" t="s">
        <v>6</v>
      </c>
      <c r="L107" t="s">
        <v>678</v>
      </c>
      <c r="M107" t="s">
        <v>5</v>
      </c>
      <c r="N107">
        <v>9.4098777044510654E-2</v>
      </c>
      <c r="O107" t="s">
        <v>6</v>
      </c>
    </row>
    <row r="108" spans="2:15" x14ac:dyDescent="0.45">
      <c r="B108" t="s">
        <v>676</v>
      </c>
      <c r="C108" t="s">
        <v>9</v>
      </c>
      <c r="D108">
        <v>0</v>
      </c>
      <c r="E108" t="s">
        <v>6</v>
      </c>
      <c r="G108" t="s">
        <v>677</v>
      </c>
      <c r="H108" t="s">
        <v>9</v>
      </c>
      <c r="I108">
        <v>5.5567988630895182E-2</v>
      </c>
      <c r="J108" t="s">
        <v>6</v>
      </c>
      <c r="L108" t="s">
        <v>678</v>
      </c>
      <c r="M108" t="s">
        <v>9</v>
      </c>
      <c r="N108">
        <v>4.3950362201323874E-2</v>
      </c>
      <c r="O108" t="s">
        <v>6</v>
      </c>
    </row>
    <row r="109" spans="2:15" x14ac:dyDescent="0.45">
      <c r="B109" t="s">
        <v>676</v>
      </c>
      <c r="C109" t="s">
        <v>10</v>
      </c>
      <c r="D109">
        <v>2.7204168308229446E-2</v>
      </c>
      <c r="E109" t="s">
        <v>6</v>
      </c>
      <c r="G109" t="s">
        <v>677</v>
      </c>
      <c r="H109" t="s">
        <v>10</v>
      </c>
      <c r="I109">
        <v>3.6204313336369788E-2</v>
      </c>
      <c r="J109" t="s">
        <v>6</v>
      </c>
      <c r="L109" t="s">
        <v>678</v>
      </c>
      <c r="M109" t="s">
        <v>10</v>
      </c>
      <c r="N109">
        <v>3.2381179621961922E-2</v>
      </c>
      <c r="O109" t="s">
        <v>6</v>
      </c>
    </row>
    <row r="110" spans="2:15" x14ac:dyDescent="0.45">
      <c r="B110" t="s">
        <v>676</v>
      </c>
      <c r="C110" t="s">
        <v>11</v>
      </c>
      <c r="D110">
        <v>7.9424027973086883E-2</v>
      </c>
      <c r="E110" t="s">
        <v>6</v>
      </c>
      <c r="G110" t="s">
        <v>677</v>
      </c>
      <c r="H110" t="s">
        <v>11</v>
      </c>
      <c r="I110">
        <v>3.8662068295450359E-2</v>
      </c>
      <c r="J110" t="s">
        <v>6</v>
      </c>
      <c r="L110" t="s">
        <v>678</v>
      </c>
      <c r="M110" t="s">
        <v>11</v>
      </c>
      <c r="N110">
        <v>3.2379728803480216E-2</v>
      </c>
      <c r="O110" t="s">
        <v>6</v>
      </c>
    </row>
    <row r="111" spans="2:15" x14ac:dyDescent="0.45">
      <c r="B111" t="s">
        <v>676</v>
      </c>
      <c r="C111" t="s">
        <v>12</v>
      </c>
      <c r="D111">
        <v>6.206459673053441E-2</v>
      </c>
      <c r="E111" t="s">
        <v>6</v>
      </c>
      <c r="G111" t="s">
        <v>677</v>
      </c>
      <c r="H111" t="s">
        <v>12</v>
      </c>
      <c r="I111">
        <v>4.0063855974376443E-2</v>
      </c>
      <c r="J111" t="s">
        <v>6</v>
      </c>
      <c r="L111" t="s">
        <v>678</v>
      </c>
      <c r="M111" t="s">
        <v>12</v>
      </c>
      <c r="N111">
        <v>3.3888778958236089E-2</v>
      </c>
      <c r="O111" t="s">
        <v>6</v>
      </c>
    </row>
    <row r="112" spans="2:15" x14ac:dyDescent="0.45">
      <c r="B112" t="s">
        <v>676</v>
      </c>
      <c r="C112" t="s">
        <v>13</v>
      </c>
      <c r="D112">
        <v>6.8183846247717164E-3</v>
      </c>
      <c r="E112" t="s">
        <v>6</v>
      </c>
      <c r="G112" t="s">
        <v>677</v>
      </c>
      <c r="H112" t="s">
        <v>13</v>
      </c>
      <c r="I112">
        <v>4.1961789559886886E-2</v>
      </c>
      <c r="J112" t="s">
        <v>6</v>
      </c>
      <c r="L112" t="s">
        <v>678</v>
      </c>
      <c r="M112" t="s">
        <v>13</v>
      </c>
      <c r="N112">
        <v>3.5072078001059694E-2</v>
      </c>
      <c r="O112" t="s">
        <v>6</v>
      </c>
    </row>
    <row r="113" spans="2:15" x14ac:dyDescent="0.45">
      <c r="B113" t="s">
        <v>676</v>
      </c>
      <c r="C113" t="s">
        <v>14</v>
      </c>
      <c r="D113">
        <v>3.1807833978618126E-7</v>
      </c>
      <c r="E113" t="s">
        <v>6</v>
      </c>
      <c r="G113" t="s">
        <v>677</v>
      </c>
      <c r="H113" t="s">
        <v>14</v>
      </c>
      <c r="I113">
        <v>0.11599315358645303</v>
      </c>
      <c r="J113" t="s">
        <v>6</v>
      </c>
      <c r="L113" t="s">
        <v>678</v>
      </c>
      <c r="M113" t="s">
        <v>14</v>
      </c>
      <c r="N113">
        <v>8.4946025677640799E-2</v>
      </c>
      <c r="O113" t="s">
        <v>6</v>
      </c>
    </row>
    <row r="114" spans="2:15" x14ac:dyDescent="0.45">
      <c r="B114" t="s">
        <v>676</v>
      </c>
      <c r="C114" t="s">
        <v>15</v>
      </c>
      <c r="D114">
        <v>3.2684747355174438E-3</v>
      </c>
      <c r="E114" t="s">
        <v>6</v>
      </c>
      <c r="G114" t="s">
        <v>677</v>
      </c>
      <c r="H114" t="s">
        <v>15</v>
      </c>
      <c r="I114">
        <v>4.6639384927892061E-2</v>
      </c>
      <c r="J114" t="s">
        <v>6</v>
      </c>
      <c r="L114" t="s">
        <v>678</v>
      </c>
      <c r="M114" t="s">
        <v>15</v>
      </c>
      <c r="N114">
        <v>4.3693679284311511E-2</v>
      </c>
      <c r="O114" t="s">
        <v>6</v>
      </c>
    </row>
    <row r="115" spans="2:15" x14ac:dyDescent="0.45">
      <c r="B115" t="s">
        <v>676</v>
      </c>
      <c r="C115" t="s">
        <v>16</v>
      </c>
      <c r="D115">
        <v>5.6162491516643646E-2</v>
      </c>
      <c r="E115" t="s">
        <v>6</v>
      </c>
      <c r="G115" t="s">
        <v>677</v>
      </c>
      <c r="H115" t="s">
        <v>16</v>
      </c>
      <c r="I115">
        <v>3.2106160084238687E-2</v>
      </c>
      <c r="J115" t="s">
        <v>6</v>
      </c>
      <c r="L115" t="s">
        <v>678</v>
      </c>
      <c r="M115" t="s">
        <v>16</v>
      </c>
      <c r="N115">
        <v>3.0320103794211944E-2</v>
      </c>
      <c r="O115" t="s">
        <v>6</v>
      </c>
    </row>
    <row r="116" spans="2:15" x14ac:dyDescent="0.45">
      <c r="B116" t="s">
        <v>676</v>
      </c>
      <c r="C116" t="s">
        <v>17</v>
      </c>
      <c r="D116">
        <v>0.10132165488382366</v>
      </c>
      <c r="E116" t="s">
        <v>6</v>
      </c>
      <c r="G116" t="s">
        <v>677</v>
      </c>
      <c r="H116" t="s">
        <v>17</v>
      </c>
      <c r="I116">
        <v>3.9642668473640924E-2</v>
      </c>
      <c r="J116" t="s">
        <v>6</v>
      </c>
      <c r="L116" t="s">
        <v>678</v>
      </c>
      <c r="M116" t="s">
        <v>17</v>
      </c>
      <c r="N116">
        <v>2.9499020263175902E-2</v>
      </c>
      <c r="O116" t="s">
        <v>6</v>
      </c>
    </row>
    <row r="117" spans="2:15" x14ac:dyDescent="0.45">
      <c r="B117" t="s">
        <v>676</v>
      </c>
      <c r="C117" t="s">
        <v>18</v>
      </c>
      <c r="D117">
        <v>8.1625963426385728E-2</v>
      </c>
      <c r="E117" t="s">
        <v>6</v>
      </c>
      <c r="G117" t="s">
        <v>677</v>
      </c>
      <c r="H117" t="s">
        <v>18</v>
      </c>
      <c r="I117">
        <v>4.6909615638509643E-2</v>
      </c>
      <c r="J117" t="s">
        <v>6</v>
      </c>
      <c r="L117" t="s">
        <v>678</v>
      </c>
      <c r="M117" t="s">
        <v>18</v>
      </c>
      <c r="N117">
        <v>3.198495995053479E-2</v>
      </c>
      <c r="O117" t="s">
        <v>6</v>
      </c>
    </row>
    <row r="118" spans="2:15" x14ac:dyDescent="0.45">
      <c r="B118" t="s">
        <v>676</v>
      </c>
      <c r="C118" t="s">
        <v>19</v>
      </c>
      <c r="D118">
        <v>2.0482004446665043E-2</v>
      </c>
      <c r="E118" t="s">
        <v>6</v>
      </c>
      <c r="G118" t="s">
        <v>677</v>
      </c>
      <c r="H118" t="s">
        <v>19</v>
      </c>
      <c r="I118">
        <v>4.464031814585976E-2</v>
      </c>
      <c r="J118" t="s">
        <v>6</v>
      </c>
      <c r="L118" t="s">
        <v>678</v>
      </c>
      <c r="M118" t="s">
        <v>19</v>
      </c>
      <c r="N118">
        <v>3.317951385403442E-2</v>
      </c>
      <c r="O118" t="s">
        <v>6</v>
      </c>
    </row>
    <row r="119" spans="2:15" x14ac:dyDescent="0.45">
      <c r="B119" t="s">
        <v>676</v>
      </c>
      <c r="C119" t="s">
        <v>20</v>
      </c>
      <c r="D119">
        <v>8.031712070957379E-5</v>
      </c>
      <c r="E119" t="s">
        <v>6</v>
      </c>
      <c r="G119" t="s">
        <v>677</v>
      </c>
      <c r="H119" t="s">
        <v>20</v>
      </c>
      <c r="I119">
        <v>7.9361202884029036E-2</v>
      </c>
      <c r="J119" t="s">
        <v>6</v>
      </c>
      <c r="L119" t="s">
        <v>678</v>
      </c>
      <c r="M119" t="s">
        <v>20</v>
      </c>
      <c r="N119">
        <v>6.7495325738105322E-2</v>
      </c>
      <c r="O119" t="s">
        <v>6</v>
      </c>
    </row>
    <row r="120" spans="2:15" x14ac:dyDescent="0.45">
      <c r="B120" t="s">
        <v>676</v>
      </c>
      <c r="C120" t="s">
        <v>21</v>
      </c>
      <c r="D120">
        <v>5.9136903623015743E-3</v>
      </c>
      <c r="E120" t="s">
        <v>6</v>
      </c>
      <c r="G120" t="s">
        <v>677</v>
      </c>
      <c r="H120" t="s">
        <v>21</v>
      </c>
      <c r="I120">
        <v>2.713433277927044E-2</v>
      </c>
      <c r="J120" t="s">
        <v>6</v>
      </c>
      <c r="L120" t="s">
        <v>678</v>
      </c>
      <c r="M120" t="s">
        <v>21</v>
      </c>
      <c r="N120">
        <v>3.3052777086925604E-2</v>
      </c>
      <c r="O120" t="s">
        <v>6</v>
      </c>
    </row>
    <row r="121" spans="2:15" x14ac:dyDescent="0.45">
      <c r="B121" t="s">
        <v>676</v>
      </c>
      <c r="C121" t="s">
        <v>22</v>
      </c>
      <c r="D121">
        <v>7.4660530616476053E-2</v>
      </c>
      <c r="E121" t="s">
        <v>6</v>
      </c>
      <c r="G121" t="s">
        <v>677</v>
      </c>
      <c r="H121" t="s">
        <v>22</v>
      </c>
      <c r="I121">
        <v>8.4072563003917324E-3</v>
      </c>
      <c r="J121" t="s">
        <v>6</v>
      </c>
      <c r="L121" t="s">
        <v>678</v>
      </c>
      <c r="M121" t="s">
        <v>22</v>
      </c>
      <c r="N121">
        <v>2.2783673143360286E-2</v>
      </c>
      <c r="O121" t="s">
        <v>6</v>
      </c>
    </row>
    <row r="122" spans="2:15" x14ac:dyDescent="0.45">
      <c r="B122" t="s">
        <v>676</v>
      </c>
      <c r="C122" t="s">
        <v>23</v>
      </c>
      <c r="D122">
        <v>0.12215527080764847</v>
      </c>
      <c r="E122" t="s">
        <v>6</v>
      </c>
      <c r="G122" t="s">
        <v>677</v>
      </c>
      <c r="H122" t="s">
        <v>23</v>
      </c>
      <c r="I122">
        <v>8.8923176110466511E-3</v>
      </c>
      <c r="J122" t="s">
        <v>6</v>
      </c>
      <c r="L122" t="s">
        <v>678</v>
      </c>
      <c r="M122" t="s">
        <v>23</v>
      </c>
      <c r="N122">
        <v>2.2177416456767102E-2</v>
      </c>
      <c r="O122" t="s">
        <v>6</v>
      </c>
    </row>
    <row r="123" spans="2:15" x14ac:dyDescent="0.45">
      <c r="B123" t="s">
        <v>676</v>
      </c>
      <c r="C123" t="s">
        <v>24</v>
      </c>
      <c r="D123">
        <v>0.10016426335903746</v>
      </c>
      <c r="E123" t="s">
        <v>6</v>
      </c>
      <c r="G123" t="s">
        <v>677</v>
      </c>
      <c r="H123" t="s">
        <v>24</v>
      </c>
      <c r="I123">
        <v>1.3980648656355905E-2</v>
      </c>
      <c r="J123" t="s">
        <v>6</v>
      </c>
      <c r="L123" t="s">
        <v>678</v>
      </c>
      <c r="M123" t="s">
        <v>24</v>
      </c>
      <c r="N123">
        <v>2.4308642512074992E-2</v>
      </c>
      <c r="O123" t="s">
        <v>6</v>
      </c>
    </row>
    <row r="124" spans="2:15" x14ac:dyDescent="0.45">
      <c r="B124" t="s">
        <v>676</v>
      </c>
      <c r="C124" t="s">
        <v>25</v>
      </c>
      <c r="D124">
        <v>2.9791130064547977E-2</v>
      </c>
      <c r="E124" t="s">
        <v>6</v>
      </c>
      <c r="G124" t="s">
        <v>677</v>
      </c>
      <c r="H124" t="s">
        <v>25</v>
      </c>
      <c r="I124">
        <v>1.7702707931584172E-2</v>
      </c>
      <c r="J124" t="s">
        <v>6</v>
      </c>
      <c r="L124" t="s">
        <v>678</v>
      </c>
      <c r="M124" t="s">
        <v>25</v>
      </c>
      <c r="N124">
        <v>2.6478551282202716E-2</v>
      </c>
      <c r="O124" t="s">
        <v>6</v>
      </c>
    </row>
    <row r="125" spans="2:15" x14ac:dyDescent="0.45">
      <c r="B125" t="s">
        <v>676</v>
      </c>
      <c r="C125" t="s">
        <v>26</v>
      </c>
      <c r="D125">
        <v>0</v>
      </c>
      <c r="E125" t="s">
        <v>6</v>
      </c>
      <c r="G125" t="s">
        <v>677</v>
      </c>
      <c r="H125" t="s">
        <v>26</v>
      </c>
      <c r="I125">
        <v>7.4317699496659687E-2</v>
      </c>
      <c r="J125" t="s">
        <v>6</v>
      </c>
      <c r="L125" t="s">
        <v>678</v>
      </c>
      <c r="M125" t="s">
        <v>26</v>
      </c>
      <c r="N125">
        <v>9.7371201222498607E-2</v>
      </c>
      <c r="O125" t="s">
        <v>6</v>
      </c>
    </row>
    <row r="126" spans="2:15" x14ac:dyDescent="0.45">
      <c r="B126" t="s">
        <v>676</v>
      </c>
      <c r="C126" t="s">
        <v>27</v>
      </c>
      <c r="D126">
        <v>9.7190541063042887E-4</v>
      </c>
      <c r="E126" t="s">
        <v>6</v>
      </c>
      <c r="G126" t="s">
        <v>677</v>
      </c>
      <c r="H126" t="s">
        <v>27</v>
      </c>
      <c r="I126">
        <v>3.0965800233766688E-2</v>
      </c>
      <c r="J126" t="s">
        <v>6</v>
      </c>
      <c r="L126" t="s">
        <v>678</v>
      </c>
      <c r="M126" t="s">
        <v>27</v>
      </c>
      <c r="N126">
        <v>4.7539199422650419E-2</v>
      </c>
      <c r="O126" t="s">
        <v>6</v>
      </c>
    </row>
    <row r="127" spans="2:15" x14ac:dyDescent="0.45">
      <c r="B127" t="s">
        <v>676</v>
      </c>
      <c r="C127" t="s">
        <v>28</v>
      </c>
      <c r="D127">
        <v>4.8682532393971689E-2</v>
      </c>
      <c r="E127" t="s">
        <v>6</v>
      </c>
      <c r="G127" t="s">
        <v>677</v>
      </c>
      <c r="H127" t="s">
        <v>28</v>
      </c>
      <c r="I127">
        <v>1.5608194618481005E-2</v>
      </c>
      <c r="J127" t="s">
        <v>6</v>
      </c>
      <c r="L127" t="s">
        <v>678</v>
      </c>
      <c r="M127" t="s">
        <v>28</v>
      </c>
      <c r="N127">
        <v>3.3341445871395467E-2</v>
      </c>
      <c r="O127" t="s">
        <v>6</v>
      </c>
    </row>
    <row r="128" spans="2:15" x14ac:dyDescent="0.45">
      <c r="B128" t="s">
        <v>676</v>
      </c>
      <c r="C128" t="s">
        <v>29</v>
      </c>
      <c r="D128">
        <v>9.6525273853875632E-2</v>
      </c>
      <c r="E128" t="s">
        <v>6</v>
      </c>
      <c r="G128" t="s">
        <v>677</v>
      </c>
      <c r="H128" t="s">
        <v>29</v>
      </c>
      <c r="I128">
        <v>1.8988156774434189E-2</v>
      </c>
      <c r="J128" t="s">
        <v>6</v>
      </c>
      <c r="L128" t="s">
        <v>678</v>
      </c>
      <c r="M128" t="s">
        <v>29</v>
      </c>
      <c r="N128">
        <v>3.1838566664000409E-2</v>
      </c>
      <c r="O128" t="s">
        <v>6</v>
      </c>
    </row>
    <row r="129" spans="2:15" x14ac:dyDescent="0.45">
      <c r="B129" t="s">
        <v>676</v>
      </c>
      <c r="C129" t="s">
        <v>30</v>
      </c>
      <c r="D129">
        <v>7.2511927205100898E-2</v>
      </c>
      <c r="E129" t="s">
        <v>6</v>
      </c>
      <c r="G129" t="s">
        <v>677</v>
      </c>
      <c r="H129" t="s">
        <v>30</v>
      </c>
      <c r="I129">
        <v>2.1767307080049522E-2</v>
      </c>
      <c r="J129" t="s">
        <v>6</v>
      </c>
      <c r="L129" t="s">
        <v>678</v>
      </c>
      <c r="M129" t="s">
        <v>30</v>
      </c>
      <c r="N129">
        <v>3.2898332928313276E-2</v>
      </c>
      <c r="O129" t="s">
        <v>6</v>
      </c>
    </row>
    <row r="130" spans="2:15" x14ac:dyDescent="0.45">
      <c r="B130" t="s">
        <v>676</v>
      </c>
      <c r="C130" t="s">
        <v>31</v>
      </c>
      <c r="D130">
        <v>1.0171074081700726E-2</v>
      </c>
      <c r="E130" t="s">
        <v>6</v>
      </c>
      <c r="G130" t="s">
        <v>677</v>
      </c>
      <c r="H130" t="s">
        <v>31</v>
      </c>
      <c r="I130">
        <v>2.492150023394572E-2</v>
      </c>
      <c r="J130" t="s">
        <v>6</v>
      </c>
      <c r="L130" t="s">
        <v>678</v>
      </c>
      <c r="M130" t="s">
        <v>31</v>
      </c>
      <c r="N130">
        <v>3.5320660217224548E-2</v>
      </c>
      <c r="O130" t="s">
        <v>6</v>
      </c>
    </row>
    <row r="131" spans="2:15" x14ac:dyDescent="0.45">
      <c r="B131" t="s">
        <v>679</v>
      </c>
      <c r="C131" t="s">
        <v>5</v>
      </c>
      <c r="D131">
        <v>0</v>
      </c>
      <c r="E131" t="s">
        <v>6</v>
      </c>
      <c r="G131" t="s">
        <v>680</v>
      </c>
      <c r="H131" t="s">
        <v>5</v>
      </c>
      <c r="I131">
        <v>0.11452958658137345</v>
      </c>
      <c r="J131" t="s">
        <v>6</v>
      </c>
      <c r="L131" t="s">
        <v>681</v>
      </c>
      <c r="M131" t="s">
        <v>5</v>
      </c>
      <c r="N131">
        <v>0.11172016541491517</v>
      </c>
      <c r="O131" t="s">
        <v>6</v>
      </c>
    </row>
    <row r="132" spans="2:15" x14ac:dyDescent="0.45">
      <c r="B132" t="s">
        <v>679</v>
      </c>
      <c r="C132" t="s">
        <v>9</v>
      </c>
      <c r="D132">
        <v>0</v>
      </c>
      <c r="E132" t="s">
        <v>6</v>
      </c>
      <c r="G132" t="s">
        <v>680</v>
      </c>
      <c r="H132" t="s">
        <v>9</v>
      </c>
      <c r="I132">
        <v>5.2928477768368606E-2</v>
      </c>
      <c r="J132" t="s">
        <v>6</v>
      </c>
      <c r="L132" t="s">
        <v>681</v>
      </c>
      <c r="M132" t="s">
        <v>9</v>
      </c>
      <c r="N132">
        <v>5.5084870018039127E-2</v>
      </c>
      <c r="O132" t="s">
        <v>6</v>
      </c>
    </row>
    <row r="133" spans="2:15" x14ac:dyDescent="0.45">
      <c r="B133" t="s">
        <v>679</v>
      </c>
      <c r="C133" t="s">
        <v>10</v>
      </c>
      <c r="D133">
        <v>2.3642962171950711E-2</v>
      </c>
      <c r="E133" t="s">
        <v>6</v>
      </c>
      <c r="G133" t="s">
        <v>680</v>
      </c>
      <c r="H133" t="s">
        <v>10</v>
      </c>
      <c r="I133">
        <v>3.538804962835377E-2</v>
      </c>
      <c r="J133" t="s">
        <v>6</v>
      </c>
      <c r="L133" t="s">
        <v>681</v>
      </c>
      <c r="M133" t="s">
        <v>10</v>
      </c>
      <c r="N133">
        <v>4.0643993136399284E-2</v>
      </c>
      <c r="O133" t="s">
        <v>6</v>
      </c>
    </row>
    <row r="134" spans="2:15" x14ac:dyDescent="0.45">
      <c r="B134" t="s">
        <v>679</v>
      </c>
      <c r="C134" t="s">
        <v>11</v>
      </c>
      <c r="D134">
        <v>7.4694246772624845E-2</v>
      </c>
      <c r="E134" t="s">
        <v>6</v>
      </c>
      <c r="G134" t="s">
        <v>680</v>
      </c>
      <c r="H134" t="s">
        <v>11</v>
      </c>
      <c r="I134">
        <v>3.8214402835104813E-2</v>
      </c>
      <c r="J134" t="s">
        <v>6</v>
      </c>
      <c r="L134" t="s">
        <v>681</v>
      </c>
      <c r="M134" t="s">
        <v>11</v>
      </c>
      <c r="N134">
        <v>4.0459164241860482E-2</v>
      </c>
      <c r="O134" t="s">
        <v>6</v>
      </c>
    </row>
    <row r="135" spans="2:15" x14ac:dyDescent="0.45">
      <c r="B135" t="s">
        <v>679</v>
      </c>
      <c r="C135" t="s">
        <v>12</v>
      </c>
      <c r="D135">
        <v>5.9448720929798915E-2</v>
      </c>
      <c r="E135" t="s">
        <v>6</v>
      </c>
      <c r="G135" t="s">
        <v>680</v>
      </c>
      <c r="H135" t="s">
        <v>12</v>
      </c>
      <c r="I135">
        <v>4.2301500189376111E-2</v>
      </c>
      <c r="J135" t="s">
        <v>6</v>
      </c>
      <c r="L135" t="s">
        <v>681</v>
      </c>
      <c r="M135" t="s">
        <v>12</v>
      </c>
      <c r="N135">
        <v>4.3651245604256615E-2</v>
      </c>
      <c r="O135" t="s">
        <v>6</v>
      </c>
    </row>
    <row r="136" spans="2:15" x14ac:dyDescent="0.45">
      <c r="B136" t="s">
        <v>679</v>
      </c>
      <c r="C136" t="s">
        <v>13</v>
      </c>
      <c r="D136">
        <v>7.4740617678488884E-3</v>
      </c>
      <c r="E136" t="s">
        <v>6</v>
      </c>
      <c r="G136" t="s">
        <v>680</v>
      </c>
      <c r="H136" t="s">
        <v>13</v>
      </c>
      <c r="I136">
        <v>4.6327404330745496E-2</v>
      </c>
      <c r="J136" t="s">
        <v>6</v>
      </c>
      <c r="L136" t="s">
        <v>681</v>
      </c>
      <c r="M136" t="s">
        <v>13</v>
      </c>
      <c r="N136">
        <v>4.6194636638673792E-2</v>
      </c>
      <c r="O136" t="s">
        <v>6</v>
      </c>
    </row>
    <row r="137" spans="2:15" x14ac:dyDescent="0.45">
      <c r="B137" t="s">
        <v>679</v>
      </c>
      <c r="C137" t="s">
        <v>14</v>
      </c>
      <c r="D137">
        <v>6.2730705771049588E-6</v>
      </c>
      <c r="E137" t="s">
        <v>6</v>
      </c>
      <c r="G137" t="s">
        <v>680</v>
      </c>
      <c r="H137" t="s">
        <v>14</v>
      </c>
      <c r="I137">
        <v>0.10785875643144954</v>
      </c>
      <c r="J137" t="s">
        <v>6</v>
      </c>
      <c r="L137" t="s">
        <v>681</v>
      </c>
      <c r="M137" t="s">
        <v>14</v>
      </c>
      <c r="N137">
        <v>9.1017358362777245E-2</v>
      </c>
      <c r="O137" t="s">
        <v>6</v>
      </c>
    </row>
    <row r="138" spans="2:15" x14ac:dyDescent="0.45">
      <c r="B138" t="s">
        <v>679</v>
      </c>
      <c r="C138" t="s">
        <v>15</v>
      </c>
      <c r="D138">
        <v>2.7803059836073729E-3</v>
      </c>
      <c r="E138" t="s">
        <v>6</v>
      </c>
      <c r="G138" t="s">
        <v>680</v>
      </c>
      <c r="H138" t="s">
        <v>15</v>
      </c>
      <c r="I138">
        <v>4.4287979811545398E-2</v>
      </c>
      <c r="J138" t="s">
        <v>6</v>
      </c>
      <c r="L138" t="s">
        <v>681</v>
      </c>
      <c r="M138" t="s">
        <v>15</v>
      </c>
      <c r="N138">
        <v>4.994591374161568E-2</v>
      </c>
      <c r="O138" t="s">
        <v>6</v>
      </c>
    </row>
    <row r="139" spans="2:15" x14ac:dyDescent="0.45">
      <c r="B139" t="s">
        <v>679</v>
      </c>
      <c r="C139" t="s">
        <v>16</v>
      </c>
      <c r="D139">
        <v>5.4642330325609965E-2</v>
      </c>
      <c r="E139" t="s">
        <v>6</v>
      </c>
      <c r="G139" t="s">
        <v>680</v>
      </c>
      <c r="H139" t="s">
        <v>16</v>
      </c>
      <c r="I139">
        <v>3.3689847735281934E-2</v>
      </c>
      <c r="J139" t="s">
        <v>6</v>
      </c>
      <c r="L139" t="s">
        <v>681</v>
      </c>
      <c r="M139" t="s">
        <v>16</v>
      </c>
      <c r="N139">
        <v>3.5544480519360495E-2</v>
      </c>
      <c r="O139" t="s">
        <v>6</v>
      </c>
    </row>
    <row r="140" spans="2:15" x14ac:dyDescent="0.45">
      <c r="B140" t="s">
        <v>679</v>
      </c>
      <c r="C140" t="s">
        <v>17</v>
      </c>
      <c r="D140">
        <v>9.9930529562376955E-2</v>
      </c>
      <c r="E140" t="s">
        <v>6</v>
      </c>
      <c r="G140" t="s">
        <v>680</v>
      </c>
      <c r="H140" t="s">
        <v>17</v>
      </c>
      <c r="I140">
        <v>4.5180996232319304E-2</v>
      </c>
      <c r="J140" t="s">
        <v>6</v>
      </c>
      <c r="L140" t="s">
        <v>681</v>
      </c>
      <c r="M140" t="s">
        <v>17</v>
      </c>
      <c r="N140">
        <v>4.698005700373336E-2</v>
      </c>
      <c r="O140" t="s">
        <v>6</v>
      </c>
    </row>
    <row r="141" spans="2:15" x14ac:dyDescent="0.45">
      <c r="B141" t="s">
        <v>679</v>
      </c>
      <c r="C141" t="s">
        <v>18</v>
      </c>
      <c r="D141">
        <v>8.2589489287647519E-2</v>
      </c>
      <c r="E141" t="s">
        <v>6</v>
      </c>
      <c r="G141" t="s">
        <v>680</v>
      </c>
      <c r="H141" t="s">
        <v>18</v>
      </c>
      <c r="I141">
        <v>5.3706100423349508E-2</v>
      </c>
      <c r="J141" t="s">
        <v>6</v>
      </c>
      <c r="L141" t="s">
        <v>681</v>
      </c>
      <c r="M141" t="s">
        <v>18</v>
      </c>
      <c r="N141">
        <v>5.7360360458313948E-2</v>
      </c>
      <c r="O141" t="s">
        <v>6</v>
      </c>
    </row>
    <row r="142" spans="2:15" x14ac:dyDescent="0.45">
      <c r="B142" t="s">
        <v>679</v>
      </c>
      <c r="C142" t="s">
        <v>19</v>
      </c>
      <c r="D142">
        <v>2.2163915727704913E-2</v>
      </c>
      <c r="E142" t="s">
        <v>6</v>
      </c>
      <c r="G142" t="s">
        <v>680</v>
      </c>
      <c r="H142" t="s">
        <v>19</v>
      </c>
      <c r="I142">
        <v>4.9537694063470548E-2</v>
      </c>
      <c r="J142" t="s">
        <v>6</v>
      </c>
      <c r="L142" t="s">
        <v>681</v>
      </c>
      <c r="M142" t="s">
        <v>19</v>
      </c>
      <c r="N142">
        <v>4.5904795008731236E-2</v>
      </c>
      <c r="O142" t="s">
        <v>6</v>
      </c>
    </row>
    <row r="143" spans="2:15" x14ac:dyDescent="0.45">
      <c r="B143" t="s">
        <v>679</v>
      </c>
      <c r="C143" t="s">
        <v>20</v>
      </c>
      <c r="D143">
        <v>1.5218373360159979E-4</v>
      </c>
      <c r="E143" t="s">
        <v>6</v>
      </c>
      <c r="G143" t="s">
        <v>680</v>
      </c>
      <c r="H143" t="s">
        <v>20</v>
      </c>
      <c r="I143">
        <v>6.740656825315125E-2</v>
      </c>
      <c r="J143" t="s">
        <v>6</v>
      </c>
      <c r="L143" t="s">
        <v>681</v>
      </c>
      <c r="M143" t="s">
        <v>20</v>
      </c>
      <c r="N143">
        <v>2.3371120763832375E-2</v>
      </c>
      <c r="O143" t="s">
        <v>6</v>
      </c>
    </row>
    <row r="144" spans="2:15" x14ac:dyDescent="0.45">
      <c r="B144" t="s">
        <v>679</v>
      </c>
      <c r="C144" t="s">
        <v>21</v>
      </c>
      <c r="D144">
        <v>5.1456814313787496E-3</v>
      </c>
      <c r="E144" t="s">
        <v>6</v>
      </c>
      <c r="G144" t="s">
        <v>680</v>
      </c>
      <c r="H144" t="s">
        <v>21</v>
      </c>
      <c r="I144">
        <v>3.689848243876568E-2</v>
      </c>
      <c r="J144" t="s">
        <v>6</v>
      </c>
      <c r="L144" t="s">
        <v>681</v>
      </c>
      <c r="M144" t="s">
        <v>21</v>
      </c>
      <c r="N144">
        <v>1.2254419892838648E-2</v>
      </c>
      <c r="O144" t="s">
        <v>6</v>
      </c>
    </row>
    <row r="145" spans="2:15" x14ac:dyDescent="0.45">
      <c r="B145" t="s">
        <v>679</v>
      </c>
      <c r="C145" t="s">
        <v>22</v>
      </c>
      <c r="D145">
        <v>7.3632307556105114E-2</v>
      </c>
      <c r="E145" t="s">
        <v>6</v>
      </c>
      <c r="G145" t="s">
        <v>680</v>
      </c>
      <c r="H145" t="s">
        <v>22</v>
      </c>
      <c r="I145">
        <v>1.5120841023827112E-2</v>
      </c>
      <c r="J145" t="s">
        <v>6</v>
      </c>
      <c r="L145" t="s">
        <v>681</v>
      </c>
      <c r="M145" t="s">
        <v>22</v>
      </c>
      <c r="N145">
        <v>9.1491158780739202E-3</v>
      </c>
      <c r="O145" t="s">
        <v>6</v>
      </c>
    </row>
    <row r="146" spans="2:15" x14ac:dyDescent="0.45">
      <c r="B146" t="s">
        <v>679</v>
      </c>
      <c r="C146" t="s">
        <v>23</v>
      </c>
      <c r="D146">
        <v>0.12587213481712767</v>
      </c>
      <c r="E146" t="s">
        <v>6</v>
      </c>
      <c r="G146" t="s">
        <v>680</v>
      </c>
      <c r="H146" t="s">
        <v>23</v>
      </c>
      <c r="I146">
        <v>1.3556487542194481E-2</v>
      </c>
      <c r="J146" t="s">
        <v>6</v>
      </c>
      <c r="L146" t="s">
        <v>681</v>
      </c>
      <c r="M146" t="s">
        <v>23</v>
      </c>
      <c r="N146">
        <v>1.798410693352508E-2</v>
      </c>
      <c r="O146" t="s">
        <v>6</v>
      </c>
    </row>
    <row r="147" spans="2:15" x14ac:dyDescent="0.45">
      <c r="B147" t="s">
        <v>679</v>
      </c>
      <c r="C147" t="s">
        <v>24</v>
      </c>
      <c r="D147">
        <v>0.1071329793994093</v>
      </c>
      <c r="E147" t="s">
        <v>6</v>
      </c>
      <c r="G147" t="s">
        <v>680</v>
      </c>
      <c r="H147" t="s">
        <v>24</v>
      </c>
      <c r="I147">
        <v>2.0700602028399493E-2</v>
      </c>
      <c r="J147" t="s">
        <v>6</v>
      </c>
      <c r="L147" t="s">
        <v>681</v>
      </c>
      <c r="M147" t="s">
        <v>24</v>
      </c>
      <c r="N147">
        <v>2.3365097194868154E-2</v>
      </c>
      <c r="O147" t="s">
        <v>6</v>
      </c>
    </row>
    <row r="148" spans="2:15" x14ac:dyDescent="0.45">
      <c r="B148" t="s">
        <v>679</v>
      </c>
      <c r="C148" t="s">
        <v>25</v>
      </c>
      <c r="D148">
        <v>3.3970035769099578E-2</v>
      </c>
      <c r="E148" t="s">
        <v>6</v>
      </c>
      <c r="G148" t="s">
        <v>680</v>
      </c>
      <c r="H148" t="s">
        <v>25</v>
      </c>
      <c r="I148">
        <v>2.3924736771731861E-2</v>
      </c>
      <c r="J148" t="s">
        <v>6</v>
      </c>
      <c r="L148" t="s">
        <v>681</v>
      </c>
      <c r="M148" t="s">
        <v>25</v>
      </c>
      <c r="N148">
        <v>1.5200384607922921E-2</v>
      </c>
      <c r="O148" t="s">
        <v>6</v>
      </c>
    </row>
    <row r="149" spans="2:15" x14ac:dyDescent="0.45">
      <c r="B149" t="s">
        <v>679</v>
      </c>
      <c r="C149" t="s">
        <v>26</v>
      </c>
      <c r="D149">
        <v>0</v>
      </c>
      <c r="E149" t="s">
        <v>6</v>
      </c>
      <c r="G149" t="s">
        <v>680</v>
      </c>
      <c r="H149" t="s">
        <v>26</v>
      </c>
      <c r="I149">
        <v>5.4223203892264614E-2</v>
      </c>
      <c r="J149" t="s">
        <v>6</v>
      </c>
      <c r="L149" t="s">
        <v>681</v>
      </c>
      <c r="M149" t="s">
        <v>26</v>
      </c>
      <c r="N149">
        <v>7.9854728628562119E-2</v>
      </c>
      <c r="O149" t="s">
        <v>6</v>
      </c>
    </row>
    <row r="150" spans="2:15" x14ac:dyDescent="0.45">
      <c r="B150" t="s">
        <v>679</v>
      </c>
      <c r="C150" t="s">
        <v>27</v>
      </c>
      <c r="D150">
        <v>6.3527712862587239E-4</v>
      </c>
      <c r="E150" t="s">
        <v>6</v>
      </c>
      <c r="G150" t="s">
        <v>680</v>
      </c>
      <c r="H150" t="s">
        <v>27</v>
      </c>
      <c r="I150">
        <v>2.9190829378838934E-2</v>
      </c>
      <c r="J150" t="s">
        <v>6</v>
      </c>
      <c r="L150" t="s">
        <v>681</v>
      </c>
      <c r="M150" t="s">
        <v>27</v>
      </c>
      <c r="N150">
        <v>3.6574722692889659E-2</v>
      </c>
      <c r="O150" t="s">
        <v>6</v>
      </c>
    </row>
    <row r="151" spans="2:15" x14ac:dyDescent="0.45">
      <c r="B151" t="s">
        <v>679</v>
      </c>
      <c r="C151" t="s">
        <v>28</v>
      </c>
      <c r="D151">
        <v>4.6334911888942162E-2</v>
      </c>
      <c r="E151" t="s">
        <v>6</v>
      </c>
      <c r="G151" t="s">
        <v>680</v>
      </c>
      <c r="H151" t="s">
        <v>28</v>
      </c>
      <c r="I151">
        <v>1.5238731088495626E-2</v>
      </c>
      <c r="J151" t="s">
        <v>6</v>
      </c>
      <c r="L151" t="s">
        <v>681</v>
      </c>
      <c r="M151" t="s">
        <v>28</v>
      </c>
      <c r="N151">
        <v>2.3317471452758216E-2</v>
      </c>
      <c r="O151" t="s">
        <v>6</v>
      </c>
    </row>
    <row r="152" spans="2:15" x14ac:dyDescent="0.45">
      <c r="B152" t="s">
        <v>679</v>
      </c>
      <c r="C152" t="s">
        <v>29</v>
      </c>
      <c r="D152">
        <v>9.620522434940737E-2</v>
      </c>
      <c r="E152" t="s">
        <v>6</v>
      </c>
      <c r="G152" t="s">
        <v>680</v>
      </c>
      <c r="H152" t="s">
        <v>29</v>
      </c>
      <c r="I152">
        <v>1.6725053883975834E-2</v>
      </c>
      <c r="J152" t="s">
        <v>6</v>
      </c>
      <c r="L152" t="s">
        <v>681</v>
      </c>
      <c r="M152" t="s">
        <v>29</v>
      </c>
      <c r="N152">
        <v>2.6762191291212281E-2</v>
      </c>
      <c r="O152" t="s">
        <v>6</v>
      </c>
    </row>
    <row r="153" spans="2:15" x14ac:dyDescent="0.45">
      <c r="B153" t="s">
        <v>679</v>
      </c>
      <c r="C153" t="s">
        <v>30</v>
      </c>
      <c r="D153">
        <v>7.2423506389402231E-2</v>
      </c>
      <c r="E153" t="s">
        <v>6</v>
      </c>
      <c r="G153" t="s">
        <v>680</v>
      </c>
      <c r="H153" t="s">
        <v>30</v>
      </c>
      <c r="I153">
        <v>2.0684894424732876E-2</v>
      </c>
      <c r="J153" t="s">
        <v>6</v>
      </c>
      <c r="L153" t="s">
        <v>681</v>
      </c>
      <c r="M153" t="s">
        <v>30</v>
      </c>
      <c r="N153">
        <v>3.3982445823892954E-2</v>
      </c>
      <c r="O153" t="s">
        <v>6</v>
      </c>
    </row>
    <row r="154" spans="2:15" x14ac:dyDescent="0.45">
      <c r="B154" t="s">
        <v>679</v>
      </c>
      <c r="C154" t="s">
        <v>31</v>
      </c>
      <c r="D154">
        <v>1.1122921937152384E-2</v>
      </c>
      <c r="E154" t="s">
        <v>6</v>
      </c>
      <c r="G154" t="s">
        <v>680</v>
      </c>
      <c r="H154" t="s">
        <v>31</v>
      </c>
      <c r="I154">
        <v>2.2378773242886719E-2</v>
      </c>
      <c r="J154" t="s">
        <v>6</v>
      </c>
      <c r="L154" t="s">
        <v>681</v>
      </c>
      <c r="M154" t="s">
        <v>31</v>
      </c>
      <c r="N154">
        <v>3.3677154690948986E-2</v>
      </c>
      <c r="O154" t="s">
        <v>6</v>
      </c>
    </row>
    <row r="155" spans="2:15" x14ac:dyDescent="0.45">
      <c r="B155" t="s">
        <v>682</v>
      </c>
      <c r="C155" t="s">
        <v>5</v>
      </c>
      <c r="D155">
        <v>0</v>
      </c>
      <c r="E155" t="s">
        <v>6</v>
      </c>
      <c r="G155" t="s">
        <v>683</v>
      </c>
      <c r="H155" t="s">
        <v>5</v>
      </c>
      <c r="I155">
        <v>0.12634500306990487</v>
      </c>
      <c r="J155" t="s">
        <v>6</v>
      </c>
      <c r="L155" t="s">
        <v>684</v>
      </c>
      <c r="M155" t="s">
        <v>5</v>
      </c>
      <c r="N155">
        <v>0.11469039896753572</v>
      </c>
      <c r="O155" t="s">
        <v>6</v>
      </c>
    </row>
    <row r="156" spans="2:15" x14ac:dyDescent="0.45">
      <c r="B156" t="s">
        <v>682</v>
      </c>
      <c r="C156" t="s">
        <v>9</v>
      </c>
      <c r="D156">
        <v>0</v>
      </c>
      <c r="E156" t="s">
        <v>6</v>
      </c>
      <c r="G156" t="s">
        <v>683</v>
      </c>
      <c r="H156" t="s">
        <v>9</v>
      </c>
      <c r="I156">
        <v>5.6117196756403136E-2</v>
      </c>
      <c r="J156" t="s">
        <v>6</v>
      </c>
      <c r="L156" t="s">
        <v>684</v>
      </c>
      <c r="M156" t="s">
        <v>9</v>
      </c>
      <c r="N156">
        <v>5.9087191841364808E-2</v>
      </c>
      <c r="O156" t="s">
        <v>6</v>
      </c>
    </row>
    <row r="157" spans="2:15" x14ac:dyDescent="0.45">
      <c r="B157" t="s">
        <v>682</v>
      </c>
      <c r="C157" t="s">
        <v>10</v>
      </c>
      <c r="D157">
        <v>2.2015603678822535E-2</v>
      </c>
      <c r="E157" t="s">
        <v>6</v>
      </c>
      <c r="G157" t="s">
        <v>683</v>
      </c>
      <c r="H157" t="s">
        <v>10</v>
      </c>
      <c r="I157">
        <v>3.7247290356911426E-2</v>
      </c>
      <c r="J157" t="s">
        <v>6</v>
      </c>
      <c r="L157" t="s">
        <v>684</v>
      </c>
      <c r="M157" t="s">
        <v>10</v>
      </c>
      <c r="N157">
        <v>4.4387159667217964E-2</v>
      </c>
      <c r="O157" t="s">
        <v>6</v>
      </c>
    </row>
    <row r="158" spans="2:15" x14ac:dyDescent="0.45">
      <c r="B158" t="s">
        <v>682</v>
      </c>
      <c r="C158" t="s">
        <v>11</v>
      </c>
      <c r="D158">
        <v>7.5458450256276982E-2</v>
      </c>
      <c r="E158" t="s">
        <v>6</v>
      </c>
      <c r="G158" t="s">
        <v>683</v>
      </c>
      <c r="H158" t="s">
        <v>11</v>
      </c>
      <c r="I158">
        <v>3.9843957269311607E-2</v>
      </c>
      <c r="J158" t="s">
        <v>6</v>
      </c>
      <c r="L158" t="s">
        <v>684</v>
      </c>
      <c r="M158" t="s">
        <v>11</v>
      </c>
      <c r="N158">
        <v>4.2186525224104245E-2</v>
      </c>
      <c r="O158" t="s">
        <v>6</v>
      </c>
    </row>
    <row r="159" spans="2:15" x14ac:dyDescent="0.45">
      <c r="B159" t="s">
        <v>682</v>
      </c>
      <c r="C159" t="s">
        <v>12</v>
      </c>
      <c r="D159">
        <v>6.0722768786685866E-2</v>
      </c>
      <c r="E159" t="s">
        <v>6</v>
      </c>
      <c r="G159" t="s">
        <v>683</v>
      </c>
      <c r="H159" t="s">
        <v>12</v>
      </c>
      <c r="I159">
        <v>4.2677272619395662E-2</v>
      </c>
      <c r="J159" t="s">
        <v>6</v>
      </c>
      <c r="L159" t="s">
        <v>684</v>
      </c>
      <c r="M159" t="s">
        <v>12</v>
      </c>
      <c r="N159">
        <v>4.1959886506195095E-2</v>
      </c>
      <c r="O159" t="s">
        <v>6</v>
      </c>
    </row>
    <row r="160" spans="2:15" x14ac:dyDescent="0.45">
      <c r="B160" t="s">
        <v>682</v>
      </c>
      <c r="C160" t="s">
        <v>13</v>
      </c>
      <c r="D160">
        <v>7.3338956696409018E-3</v>
      </c>
      <c r="E160" t="s">
        <v>6</v>
      </c>
      <c r="G160" t="s">
        <v>683</v>
      </c>
      <c r="H160" t="s">
        <v>13</v>
      </c>
      <c r="I160">
        <v>4.2945263024425993E-2</v>
      </c>
      <c r="J160" t="s">
        <v>6</v>
      </c>
      <c r="L160" t="s">
        <v>684</v>
      </c>
      <c r="M160" t="s">
        <v>13</v>
      </c>
      <c r="N160">
        <v>4.3358892428923129E-2</v>
      </c>
      <c r="O160" t="s">
        <v>6</v>
      </c>
    </row>
    <row r="161" spans="2:15" x14ac:dyDescent="0.45">
      <c r="B161" t="s">
        <v>682</v>
      </c>
      <c r="C161" t="s">
        <v>14</v>
      </c>
      <c r="D161">
        <v>1.5124414340237502E-5</v>
      </c>
      <c r="E161" t="s">
        <v>6</v>
      </c>
      <c r="G161" t="s">
        <v>683</v>
      </c>
      <c r="H161" t="s">
        <v>14</v>
      </c>
      <c r="I161">
        <v>0.11178731533533401</v>
      </c>
      <c r="J161" t="s">
        <v>6</v>
      </c>
      <c r="L161" t="s">
        <v>684</v>
      </c>
      <c r="M161" t="s">
        <v>14</v>
      </c>
      <c r="N161">
        <v>0.10321228447531861</v>
      </c>
      <c r="O161" t="s">
        <v>6</v>
      </c>
    </row>
    <row r="162" spans="2:15" x14ac:dyDescent="0.45">
      <c r="B162" t="s">
        <v>682</v>
      </c>
      <c r="C162" t="s">
        <v>15</v>
      </c>
      <c r="D162">
        <v>2.6074579074174382E-3</v>
      </c>
      <c r="E162" t="s">
        <v>6</v>
      </c>
      <c r="G162" t="s">
        <v>683</v>
      </c>
      <c r="H162" t="s">
        <v>15</v>
      </c>
      <c r="I162">
        <v>4.5833574011053431E-2</v>
      </c>
      <c r="J162" t="s">
        <v>6</v>
      </c>
      <c r="L162" t="s">
        <v>684</v>
      </c>
      <c r="M162" t="s">
        <v>15</v>
      </c>
      <c r="N162">
        <v>5.359448490378773E-2</v>
      </c>
      <c r="O162" t="s">
        <v>6</v>
      </c>
    </row>
    <row r="163" spans="2:15" x14ac:dyDescent="0.45">
      <c r="B163" t="s">
        <v>682</v>
      </c>
      <c r="C163" t="s">
        <v>16</v>
      </c>
      <c r="D163">
        <v>5.317077844860247E-2</v>
      </c>
      <c r="E163" t="s">
        <v>6</v>
      </c>
      <c r="G163" t="s">
        <v>683</v>
      </c>
      <c r="H163" t="s">
        <v>16</v>
      </c>
      <c r="I163">
        <v>3.3735386718827018E-2</v>
      </c>
      <c r="J163" t="s">
        <v>6</v>
      </c>
      <c r="L163" t="s">
        <v>684</v>
      </c>
      <c r="M163" t="s">
        <v>16</v>
      </c>
      <c r="N163">
        <v>3.5694852215760263E-2</v>
      </c>
      <c r="O163" t="s">
        <v>6</v>
      </c>
    </row>
    <row r="164" spans="2:15" x14ac:dyDescent="0.45">
      <c r="B164" t="s">
        <v>682</v>
      </c>
      <c r="C164" t="s">
        <v>17</v>
      </c>
      <c r="D164">
        <v>0.10350015590969212</v>
      </c>
      <c r="E164" t="s">
        <v>6</v>
      </c>
      <c r="G164" t="s">
        <v>683</v>
      </c>
      <c r="H164" t="s">
        <v>17</v>
      </c>
      <c r="I164">
        <v>4.0935341746601218E-2</v>
      </c>
      <c r="J164" t="s">
        <v>6</v>
      </c>
      <c r="L164" t="s">
        <v>684</v>
      </c>
      <c r="M164" t="s">
        <v>17</v>
      </c>
      <c r="N164">
        <v>3.6832842219536532E-2</v>
      </c>
      <c r="O164" t="s">
        <v>6</v>
      </c>
    </row>
    <row r="165" spans="2:15" x14ac:dyDescent="0.45">
      <c r="B165" t="s">
        <v>682</v>
      </c>
      <c r="C165" t="s">
        <v>18</v>
      </c>
      <c r="D165">
        <v>8.8383962997169163E-2</v>
      </c>
      <c r="E165" t="s">
        <v>6</v>
      </c>
      <c r="G165" t="s">
        <v>683</v>
      </c>
      <c r="H165" t="s">
        <v>18</v>
      </c>
      <c r="I165">
        <v>4.9791299805188337E-2</v>
      </c>
      <c r="J165" t="s">
        <v>6</v>
      </c>
      <c r="L165" t="s">
        <v>684</v>
      </c>
      <c r="M165" t="s">
        <v>18</v>
      </c>
      <c r="N165">
        <v>4.3749738860616581E-2</v>
      </c>
      <c r="O165" t="s">
        <v>6</v>
      </c>
    </row>
    <row r="166" spans="2:15" x14ac:dyDescent="0.45">
      <c r="B166" t="s">
        <v>682</v>
      </c>
      <c r="C166" t="s">
        <v>19</v>
      </c>
      <c r="D166">
        <v>2.3019582915380695E-2</v>
      </c>
      <c r="E166" t="s">
        <v>6</v>
      </c>
      <c r="G166" t="s">
        <v>683</v>
      </c>
      <c r="H166" t="s">
        <v>19</v>
      </c>
      <c r="I166">
        <v>4.8641247944240254E-2</v>
      </c>
      <c r="J166" t="s">
        <v>6</v>
      </c>
      <c r="L166" t="s">
        <v>684</v>
      </c>
      <c r="M166" t="s">
        <v>19</v>
      </c>
      <c r="N166">
        <v>4.3647714322698108E-2</v>
      </c>
      <c r="O166" t="s">
        <v>6</v>
      </c>
    </row>
    <row r="167" spans="2:15" x14ac:dyDescent="0.45">
      <c r="B167" t="s">
        <v>682</v>
      </c>
      <c r="C167" t="s">
        <v>20</v>
      </c>
      <c r="D167">
        <v>2.0757322419123867E-4</v>
      </c>
      <c r="E167" t="s">
        <v>6</v>
      </c>
      <c r="G167" t="s">
        <v>683</v>
      </c>
      <c r="H167" t="s">
        <v>20</v>
      </c>
      <c r="I167">
        <v>6.0081609901955157E-2</v>
      </c>
      <c r="J167" t="s">
        <v>6</v>
      </c>
      <c r="L167" t="s">
        <v>684</v>
      </c>
      <c r="M167" t="s">
        <v>20</v>
      </c>
      <c r="N167">
        <v>3.1564141672505514E-2</v>
      </c>
      <c r="O167" t="s">
        <v>6</v>
      </c>
    </row>
    <row r="168" spans="2:15" x14ac:dyDescent="0.45">
      <c r="B168" t="s">
        <v>682</v>
      </c>
      <c r="C168" t="s">
        <v>21</v>
      </c>
      <c r="D168">
        <v>4.9847851440531473E-3</v>
      </c>
      <c r="E168" t="s">
        <v>6</v>
      </c>
      <c r="G168" t="s">
        <v>683</v>
      </c>
      <c r="H168" t="s">
        <v>21</v>
      </c>
      <c r="I168">
        <v>1.8952593144061784E-2</v>
      </c>
      <c r="J168" t="s">
        <v>6</v>
      </c>
      <c r="L168" t="s">
        <v>684</v>
      </c>
      <c r="M168" t="s">
        <v>21</v>
      </c>
      <c r="N168">
        <v>1.6542867901888605E-2</v>
      </c>
      <c r="O168" t="s">
        <v>6</v>
      </c>
    </row>
    <row r="169" spans="2:15" x14ac:dyDescent="0.45">
      <c r="B169" t="s">
        <v>682</v>
      </c>
      <c r="C169" t="s">
        <v>22</v>
      </c>
      <c r="D169">
        <v>7.297122510996655E-2</v>
      </c>
      <c r="E169" t="s">
        <v>6</v>
      </c>
      <c r="G169" t="s">
        <v>683</v>
      </c>
      <c r="H169" t="s">
        <v>22</v>
      </c>
      <c r="I169">
        <v>7.826868573115521E-3</v>
      </c>
      <c r="J169" t="s">
        <v>6</v>
      </c>
      <c r="L169" t="s">
        <v>684</v>
      </c>
      <c r="M169" t="s">
        <v>22</v>
      </c>
      <c r="N169">
        <v>8.9353636283951501E-3</v>
      </c>
      <c r="O169" t="s">
        <v>6</v>
      </c>
    </row>
    <row r="170" spans="2:15" x14ac:dyDescent="0.45">
      <c r="B170" t="s">
        <v>682</v>
      </c>
      <c r="C170" t="s">
        <v>23</v>
      </c>
      <c r="D170">
        <v>0.12698852437678737</v>
      </c>
      <c r="E170" t="s">
        <v>6</v>
      </c>
      <c r="G170" t="s">
        <v>683</v>
      </c>
      <c r="H170" t="s">
        <v>23</v>
      </c>
      <c r="I170">
        <v>1.0329262348692095E-2</v>
      </c>
      <c r="J170" t="s">
        <v>6</v>
      </c>
      <c r="L170" t="s">
        <v>684</v>
      </c>
      <c r="M170" t="s">
        <v>23</v>
      </c>
      <c r="N170">
        <v>1.0983699436965646E-2</v>
      </c>
      <c r="O170" t="s">
        <v>6</v>
      </c>
    </row>
    <row r="171" spans="2:15" x14ac:dyDescent="0.45">
      <c r="B171" t="s">
        <v>682</v>
      </c>
      <c r="C171" t="s">
        <v>24</v>
      </c>
      <c r="D171">
        <v>0.10678877309600283</v>
      </c>
      <c r="E171" t="s">
        <v>6</v>
      </c>
      <c r="G171" t="s">
        <v>683</v>
      </c>
      <c r="H171" t="s">
        <v>24</v>
      </c>
      <c r="I171">
        <v>1.6028402983377252E-2</v>
      </c>
      <c r="J171" t="s">
        <v>6</v>
      </c>
      <c r="L171" t="s">
        <v>684</v>
      </c>
      <c r="M171" t="s">
        <v>24</v>
      </c>
      <c r="N171">
        <v>1.6871678176198411E-2</v>
      </c>
      <c r="O171" t="s">
        <v>6</v>
      </c>
    </row>
    <row r="172" spans="2:15" x14ac:dyDescent="0.45">
      <c r="B172" t="s">
        <v>682</v>
      </c>
      <c r="C172" t="s">
        <v>25</v>
      </c>
      <c r="D172">
        <v>3.3587782823366885E-2</v>
      </c>
      <c r="E172" t="s">
        <v>6</v>
      </c>
      <c r="G172" t="s">
        <v>683</v>
      </c>
      <c r="H172" t="s">
        <v>25</v>
      </c>
      <c r="I172">
        <v>1.8951064208578516E-2</v>
      </c>
      <c r="J172" t="s">
        <v>6</v>
      </c>
      <c r="L172" t="s">
        <v>684</v>
      </c>
      <c r="M172" t="s">
        <v>25</v>
      </c>
      <c r="N172">
        <v>1.4817967389539922E-2</v>
      </c>
      <c r="O172" t="s">
        <v>6</v>
      </c>
    </row>
    <row r="173" spans="2:15" x14ac:dyDescent="0.45">
      <c r="B173" t="s">
        <v>682</v>
      </c>
      <c r="C173" t="s">
        <v>26</v>
      </c>
      <c r="D173">
        <v>0</v>
      </c>
      <c r="E173" t="s">
        <v>6</v>
      </c>
      <c r="G173" t="s">
        <v>683</v>
      </c>
      <c r="H173" t="s">
        <v>26</v>
      </c>
      <c r="I173">
        <v>7.3821628518049923E-2</v>
      </c>
      <c r="J173" t="s">
        <v>6</v>
      </c>
      <c r="L173" t="s">
        <v>684</v>
      </c>
      <c r="M173" t="s">
        <v>26</v>
      </c>
      <c r="N173">
        <v>8.0493375621985927E-2</v>
      </c>
      <c r="O173" t="s">
        <v>6</v>
      </c>
    </row>
    <row r="174" spans="2:15" x14ac:dyDescent="0.45">
      <c r="B174" t="s">
        <v>682</v>
      </c>
      <c r="C174" t="s">
        <v>27</v>
      </c>
      <c r="D174">
        <v>4.8304420677666699E-4</v>
      </c>
      <c r="E174" t="s">
        <v>6</v>
      </c>
      <c r="G174" t="s">
        <v>683</v>
      </c>
      <c r="H174" t="s">
        <v>27</v>
      </c>
      <c r="I174">
        <v>2.9184267549905319E-2</v>
      </c>
      <c r="J174" t="s">
        <v>6</v>
      </c>
      <c r="L174" t="s">
        <v>684</v>
      </c>
      <c r="M174" t="s">
        <v>27</v>
      </c>
      <c r="N174">
        <v>4.3303766204191046E-2</v>
      </c>
      <c r="O174" t="s">
        <v>6</v>
      </c>
    </row>
    <row r="175" spans="2:15" x14ac:dyDescent="0.45">
      <c r="B175" t="s">
        <v>682</v>
      </c>
      <c r="C175" t="s">
        <v>28</v>
      </c>
      <c r="D175">
        <v>4.3761588673545175E-2</v>
      </c>
      <c r="E175" t="s">
        <v>6</v>
      </c>
      <c r="G175" t="s">
        <v>683</v>
      </c>
      <c r="H175" t="s">
        <v>28</v>
      </c>
      <c r="I175">
        <v>1.7364357697075488E-2</v>
      </c>
      <c r="J175" t="s">
        <v>6</v>
      </c>
      <c r="L175" t="s">
        <v>684</v>
      </c>
      <c r="M175" t="s">
        <v>28</v>
      </c>
      <c r="N175">
        <v>2.9143255938161635E-2</v>
      </c>
      <c r="O175" t="s">
        <v>6</v>
      </c>
    </row>
    <row r="176" spans="2:15" x14ac:dyDescent="0.45">
      <c r="B176" t="s">
        <v>682</v>
      </c>
      <c r="C176" t="s">
        <v>29</v>
      </c>
      <c r="D176">
        <v>9.3217213406535535E-2</v>
      </c>
      <c r="E176" t="s">
        <v>6</v>
      </c>
      <c r="G176" t="s">
        <v>683</v>
      </c>
      <c r="H176" t="s">
        <v>29</v>
      </c>
      <c r="I176">
        <v>2.2220203405929773E-2</v>
      </c>
      <c r="J176" t="s">
        <v>6</v>
      </c>
      <c r="L176" t="s">
        <v>684</v>
      </c>
      <c r="M176" t="s">
        <v>29</v>
      </c>
      <c r="N176">
        <v>2.6163738510845028E-2</v>
      </c>
      <c r="O176" t="s">
        <v>6</v>
      </c>
    </row>
    <row r="177" spans="2:15" x14ac:dyDescent="0.45">
      <c r="B177" t="s">
        <v>682</v>
      </c>
      <c r="C177" t="s">
        <v>30</v>
      </c>
      <c r="D177">
        <v>7.0161804358327001E-2</v>
      </c>
      <c r="E177" t="s">
        <v>6</v>
      </c>
      <c r="G177" t="s">
        <v>683</v>
      </c>
      <c r="H177" t="s">
        <v>30</v>
      </c>
      <c r="I177">
        <v>2.4323371793279699E-2</v>
      </c>
      <c r="J177" t="s">
        <v>6</v>
      </c>
      <c r="L177" t="s">
        <v>684</v>
      </c>
      <c r="M177" t="s">
        <v>30</v>
      </c>
      <c r="N177">
        <v>2.8570753547996382E-2</v>
      </c>
      <c r="O177" t="s">
        <v>6</v>
      </c>
    </row>
    <row r="178" spans="2:15" x14ac:dyDescent="0.45">
      <c r="B178" t="s">
        <v>682</v>
      </c>
      <c r="C178" t="s">
        <v>31</v>
      </c>
      <c r="D178">
        <v>1.0619904596419363E-2</v>
      </c>
      <c r="E178" t="s">
        <v>6</v>
      </c>
      <c r="G178" t="s">
        <v>683</v>
      </c>
      <c r="H178" t="s">
        <v>31</v>
      </c>
      <c r="I178">
        <v>2.5016221218386068E-2</v>
      </c>
      <c r="J178" t="s">
        <v>6</v>
      </c>
      <c r="L178" t="s">
        <v>684</v>
      </c>
      <c r="M178" t="s">
        <v>31</v>
      </c>
      <c r="N178">
        <v>3.0207420338266559E-2</v>
      </c>
      <c r="O178" t="s">
        <v>6</v>
      </c>
    </row>
    <row r="179" spans="2:15" x14ac:dyDescent="0.45">
      <c r="B179" t="s">
        <v>685</v>
      </c>
      <c r="C179" t="s">
        <v>5</v>
      </c>
      <c r="D179">
        <v>0</v>
      </c>
      <c r="E179" t="s">
        <v>6</v>
      </c>
      <c r="G179" t="s">
        <v>686</v>
      </c>
      <c r="H179" t="s">
        <v>5</v>
      </c>
      <c r="I179">
        <v>8.6372149443974519E-2</v>
      </c>
      <c r="J179" t="s">
        <v>6</v>
      </c>
      <c r="L179" t="s">
        <v>687</v>
      </c>
      <c r="M179" t="s">
        <v>5</v>
      </c>
      <c r="N179">
        <v>9.9498024801014967E-2</v>
      </c>
      <c r="O179" t="s">
        <v>6</v>
      </c>
    </row>
    <row r="180" spans="2:15" x14ac:dyDescent="0.45">
      <c r="B180" t="s">
        <v>685</v>
      </c>
      <c r="C180" t="s">
        <v>9</v>
      </c>
      <c r="D180">
        <v>0</v>
      </c>
      <c r="E180" t="s">
        <v>6</v>
      </c>
      <c r="G180" t="s">
        <v>686</v>
      </c>
      <c r="H180" t="s">
        <v>9</v>
      </c>
      <c r="I180">
        <v>4.0666145470164762E-2</v>
      </c>
      <c r="J180" t="s">
        <v>6</v>
      </c>
      <c r="L180" t="s">
        <v>687</v>
      </c>
      <c r="M180" t="s">
        <v>9</v>
      </c>
      <c r="N180">
        <v>4.7737155964527718E-2</v>
      </c>
      <c r="O180" t="s">
        <v>6</v>
      </c>
    </row>
    <row r="181" spans="2:15" x14ac:dyDescent="0.45">
      <c r="B181" t="s">
        <v>685</v>
      </c>
      <c r="C181" t="s">
        <v>10</v>
      </c>
      <c r="D181">
        <v>1.9979682729549211E-2</v>
      </c>
      <c r="E181" t="s">
        <v>6</v>
      </c>
      <c r="G181" t="s">
        <v>686</v>
      </c>
      <c r="H181" t="s">
        <v>10</v>
      </c>
      <c r="I181">
        <v>3.0138534722245713E-2</v>
      </c>
      <c r="J181" t="s">
        <v>6</v>
      </c>
      <c r="L181" t="s">
        <v>687</v>
      </c>
      <c r="M181" t="s">
        <v>10</v>
      </c>
      <c r="N181">
        <v>3.4589581492899785E-2</v>
      </c>
      <c r="O181" t="s">
        <v>6</v>
      </c>
    </row>
    <row r="182" spans="2:15" x14ac:dyDescent="0.45">
      <c r="B182" t="s">
        <v>685</v>
      </c>
      <c r="C182" t="s">
        <v>11</v>
      </c>
      <c r="D182">
        <v>7.0041349162066474E-2</v>
      </c>
      <c r="E182" t="s">
        <v>6</v>
      </c>
      <c r="G182" t="s">
        <v>686</v>
      </c>
      <c r="H182" t="s">
        <v>11</v>
      </c>
      <c r="I182">
        <v>3.3089483617781558E-2</v>
      </c>
      <c r="J182" t="s">
        <v>6</v>
      </c>
      <c r="L182" t="s">
        <v>687</v>
      </c>
      <c r="M182" t="s">
        <v>11</v>
      </c>
      <c r="N182">
        <v>3.2637459156788014E-2</v>
      </c>
      <c r="O182" t="s">
        <v>6</v>
      </c>
    </row>
    <row r="183" spans="2:15" x14ac:dyDescent="0.45">
      <c r="B183" t="s">
        <v>685</v>
      </c>
      <c r="C183" t="s">
        <v>12</v>
      </c>
      <c r="D183">
        <v>5.9276670533938723E-2</v>
      </c>
      <c r="E183" t="s">
        <v>6</v>
      </c>
      <c r="G183" t="s">
        <v>686</v>
      </c>
      <c r="H183" t="s">
        <v>12</v>
      </c>
      <c r="I183">
        <v>3.7102073870247623E-2</v>
      </c>
      <c r="J183" t="s">
        <v>6</v>
      </c>
      <c r="L183" t="s">
        <v>687</v>
      </c>
      <c r="M183" t="s">
        <v>12</v>
      </c>
      <c r="N183">
        <v>3.3645164572410007E-2</v>
      </c>
      <c r="O183" t="s">
        <v>6</v>
      </c>
    </row>
    <row r="184" spans="2:15" x14ac:dyDescent="0.45">
      <c r="B184" t="s">
        <v>685</v>
      </c>
      <c r="C184" t="s">
        <v>13</v>
      </c>
      <c r="D184">
        <v>7.9320035522855489E-3</v>
      </c>
      <c r="E184" t="s">
        <v>6</v>
      </c>
      <c r="G184" t="s">
        <v>686</v>
      </c>
      <c r="H184" t="s">
        <v>13</v>
      </c>
      <c r="I184">
        <v>3.4908133258596964E-2</v>
      </c>
      <c r="J184" t="s">
        <v>6</v>
      </c>
      <c r="L184" t="s">
        <v>687</v>
      </c>
      <c r="M184" t="s">
        <v>13</v>
      </c>
      <c r="N184">
        <v>3.6467145387717163E-2</v>
      </c>
      <c r="O184" t="s">
        <v>6</v>
      </c>
    </row>
    <row r="185" spans="2:15" x14ac:dyDescent="0.45">
      <c r="B185" t="s">
        <v>685</v>
      </c>
      <c r="C185" t="s">
        <v>14</v>
      </c>
      <c r="D185">
        <v>3.5171080341125631E-5</v>
      </c>
      <c r="E185" t="s">
        <v>6</v>
      </c>
      <c r="G185" t="s">
        <v>686</v>
      </c>
      <c r="H185" t="s">
        <v>14</v>
      </c>
      <c r="I185">
        <v>9.1410625137937906E-2</v>
      </c>
      <c r="J185" t="s">
        <v>6</v>
      </c>
      <c r="L185" t="s">
        <v>687</v>
      </c>
      <c r="M185" t="s">
        <v>14</v>
      </c>
      <c r="N185">
        <v>9.9357863591834225E-2</v>
      </c>
      <c r="O185" t="s">
        <v>6</v>
      </c>
    </row>
    <row r="186" spans="2:15" x14ac:dyDescent="0.45">
      <c r="B186" t="s">
        <v>685</v>
      </c>
      <c r="C186" t="s">
        <v>15</v>
      </c>
      <c r="D186">
        <v>2.0777022806601347E-3</v>
      </c>
      <c r="E186" t="s">
        <v>6</v>
      </c>
      <c r="G186" t="s">
        <v>686</v>
      </c>
      <c r="H186" t="s">
        <v>15</v>
      </c>
      <c r="I186">
        <v>4.0541782368347663E-2</v>
      </c>
      <c r="J186" t="s">
        <v>6</v>
      </c>
      <c r="L186" t="s">
        <v>687</v>
      </c>
      <c r="M186" t="s">
        <v>15</v>
      </c>
      <c r="N186">
        <v>4.3915781138520911E-2</v>
      </c>
      <c r="O186" t="s">
        <v>6</v>
      </c>
    </row>
    <row r="187" spans="2:15" x14ac:dyDescent="0.45">
      <c r="B187" t="s">
        <v>685</v>
      </c>
      <c r="C187" t="s">
        <v>16</v>
      </c>
      <c r="D187">
        <v>5.1100232703885494E-2</v>
      </c>
      <c r="E187" t="s">
        <v>6</v>
      </c>
      <c r="G187" t="s">
        <v>686</v>
      </c>
      <c r="H187" t="s">
        <v>16</v>
      </c>
      <c r="I187">
        <v>3.114822608704735E-2</v>
      </c>
      <c r="J187" t="s">
        <v>6</v>
      </c>
      <c r="L187" t="s">
        <v>687</v>
      </c>
      <c r="M187" t="s">
        <v>16</v>
      </c>
      <c r="N187">
        <v>3.2556894496342345E-2</v>
      </c>
      <c r="O187" t="s">
        <v>6</v>
      </c>
    </row>
    <row r="188" spans="2:15" x14ac:dyDescent="0.45">
      <c r="B188" t="s">
        <v>685</v>
      </c>
      <c r="C188" t="s">
        <v>17</v>
      </c>
      <c r="D188">
        <v>0.10020990699334513</v>
      </c>
      <c r="E188" t="s">
        <v>6</v>
      </c>
      <c r="G188" t="s">
        <v>686</v>
      </c>
      <c r="H188" t="s">
        <v>17</v>
      </c>
      <c r="I188">
        <v>3.4304011812246321E-2</v>
      </c>
      <c r="J188" t="s">
        <v>6</v>
      </c>
      <c r="L188" t="s">
        <v>687</v>
      </c>
      <c r="M188" t="s">
        <v>17</v>
      </c>
      <c r="N188">
        <v>4.4109872265827126E-2</v>
      </c>
      <c r="O188" t="s">
        <v>6</v>
      </c>
    </row>
    <row r="189" spans="2:15" x14ac:dyDescent="0.45">
      <c r="B189" t="s">
        <v>685</v>
      </c>
      <c r="C189" t="s">
        <v>18</v>
      </c>
      <c r="D189">
        <v>8.8395690320141496E-2</v>
      </c>
      <c r="E189" t="s">
        <v>6</v>
      </c>
      <c r="G189" t="s">
        <v>686</v>
      </c>
      <c r="H189" t="s">
        <v>18</v>
      </c>
      <c r="I189">
        <v>4.0064143694185428E-2</v>
      </c>
      <c r="J189" t="s">
        <v>6</v>
      </c>
      <c r="L189" t="s">
        <v>687</v>
      </c>
      <c r="M189" t="s">
        <v>18</v>
      </c>
      <c r="N189">
        <v>5.5176554498892229E-2</v>
      </c>
      <c r="O189" t="s">
        <v>6</v>
      </c>
    </row>
    <row r="190" spans="2:15" x14ac:dyDescent="0.45">
      <c r="B190" t="s">
        <v>685</v>
      </c>
      <c r="C190" t="s">
        <v>19</v>
      </c>
      <c r="D190">
        <v>2.5426292137638803E-2</v>
      </c>
      <c r="E190" t="s">
        <v>6</v>
      </c>
      <c r="G190" t="s">
        <v>686</v>
      </c>
      <c r="H190" t="s">
        <v>19</v>
      </c>
      <c r="I190">
        <v>4.0331171021966206E-2</v>
      </c>
      <c r="J190" t="s">
        <v>6</v>
      </c>
      <c r="L190" t="s">
        <v>687</v>
      </c>
      <c r="M190" t="s">
        <v>19</v>
      </c>
      <c r="N190">
        <v>5.2002151182266428E-2</v>
      </c>
      <c r="O190" t="s">
        <v>6</v>
      </c>
    </row>
    <row r="191" spans="2:15" x14ac:dyDescent="0.45">
      <c r="B191" t="s">
        <v>685</v>
      </c>
      <c r="C191" t="s">
        <v>20</v>
      </c>
      <c r="D191">
        <v>2.9692519208562829E-4</v>
      </c>
      <c r="E191" t="s">
        <v>6</v>
      </c>
      <c r="G191" t="s">
        <v>686</v>
      </c>
      <c r="H191" t="s">
        <v>20</v>
      </c>
      <c r="I191">
        <v>6.6518587039664373E-2</v>
      </c>
      <c r="J191" t="s">
        <v>6</v>
      </c>
      <c r="L191" t="s">
        <v>687</v>
      </c>
      <c r="M191" t="s">
        <v>20</v>
      </c>
      <c r="N191">
        <v>3.5307740594330492E-2</v>
      </c>
      <c r="O191" t="s">
        <v>6</v>
      </c>
    </row>
    <row r="192" spans="2:15" x14ac:dyDescent="0.45">
      <c r="B192" t="s">
        <v>685</v>
      </c>
      <c r="C192" t="s">
        <v>21</v>
      </c>
      <c r="D192">
        <v>3.8268081291562162E-3</v>
      </c>
      <c r="E192" t="s">
        <v>6</v>
      </c>
      <c r="G192" t="s">
        <v>686</v>
      </c>
      <c r="H192" t="s">
        <v>21</v>
      </c>
      <c r="I192">
        <v>2.7798940005107596E-2</v>
      </c>
      <c r="J192" t="s">
        <v>6</v>
      </c>
      <c r="L192" t="s">
        <v>687</v>
      </c>
      <c r="M192" t="s">
        <v>21</v>
      </c>
      <c r="N192">
        <v>1.5941182349198633E-2</v>
      </c>
      <c r="O192" t="s">
        <v>6</v>
      </c>
    </row>
    <row r="193" spans="2:15" x14ac:dyDescent="0.45">
      <c r="B193" t="s">
        <v>685</v>
      </c>
      <c r="C193" t="s">
        <v>22</v>
      </c>
      <c r="D193">
        <v>7.0335936522102044E-2</v>
      </c>
      <c r="E193" t="s">
        <v>6</v>
      </c>
      <c r="G193" t="s">
        <v>686</v>
      </c>
      <c r="H193" t="s">
        <v>22</v>
      </c>
      <c r="I193">
        <v>1.9559727670672045E-2</v>
      </c>
      <c r="J193" t="s">
        <v>6</v>
      </c>
      <c r="L193" t="s">
        <v>687</v>
      </c>
      <c r="M193" t="s">
        <v>22</v>
      </c>
      <c r="N193">
        <v>1.2021809969909848E-2</v>
      </c>
      <c r="O193" t="s">
        <v>6</v>
      </c>
    </row>
    <row r="194" spans="2:15" x14ac:dyDescent="0.45">
      <c r="B194" t="s">
        <v>685</v>
      </c>
      <c r="C194" t="s">
        <v>23</v>
      </c>
      <c r="D194">
        <v>0.12771645237214921</v>
      </c>
      <c r="E194" t="s">
        <v>6</v>
      </c>
      <c r="G194" t="s">
        <v>686</v>
      </c>
      <c r="H194" t="s">
        <v>23</v>
      </c>
      <c r="I194">
        <v>2.1512196550429217E-2</v>
      </c>
      <c r="J194" t="s">
        <v>6</v>
      </c>
      <c r="L194" t="s">
        <v>687</v>
      </c>
      <c r="M194" t="s">
        <v>23</v>
      </c>
      <c r="N194">
        <v>1.7668382555221046E-2</v>
      </c>
      <c r="O194" t="s">
        <v>6</v>
      </c>
    </row>
    <row r="195" spans="2:15" x14ac:dyDescent="0.45">
      <c r="B195" t="s">
        <v>685</v>
      </c>
      <c r="C195" t="s">
        <v>24</v>
      </c>
      <c r="D195">
        <v>0.11067062033222907</v>
      </c>
      <c r="E195" t="s">
        <v>6</v>
      </c>
      <c r="G195" t="s">
        <v>686</v>
      </c>
      <c r="H195" t="s">
        <v>24</v>
      </c>
      <c r="I195">
        <v>2.6572743788760015E-2</v>
      </c>
      <c r="J195" t="s">
        <v>6</v>
      </c>
      <c r="L195" t="s">
        <v>687</v>
      </c>
      <c r="M195" t="s">
        <v>24</v>
      </c>
      <c r="N195">
        <v>1.8358796275139862E-2</v>
      </c>
      <c r="O195" t="s">
        <v>6</v>
      </c>
    </row>
    <row r="196" spans="2:15" x14ac:dyDescent="0.45">
      <c r="B196" t="s">
        <v>685</v>
      </c>
      <c r="C196" t="s">
        <v>25</v>
      </c>
      <c r="D196">
        <v>3.7451998856738007E-2</v>
      </c>
      <c r="E196" t="s">
        <v>6</v>
      </c>
      <c r="G196" t="s">
        <v>686</v>
      </c>
      <c r="H196" t="s">
        <v>25</v>
      </c>
      <c r="I196">
        <v>3.0088681029043701E-2</v>
      </c>
      <c r="J196" t="s">
        <v>6</v>
      </c>
      <c r="L196" t="s">
        <v>687</v>
      </c>
      <c r="M196" t="s">
        <v>25</v>
      </c>
      <c r="N196">
        <v>1.4557040720044181E-2</v>
      </c>
      <c r="O196" t="s">
        <v>6</v>
      </c>
    </row>
    <row r="197" spans="2:15" x14ac:dyDescent="0.45">
      <c r="B197" t="s">
        <v>685</v>
      </c>
      <c r="C197" t="s">
        <v>26</v>
      </c>
      <c r="D197">
        <v>0</v>
      </c>
      <c r="E197" t="s">
        <v>6</v>
      </c>
      <c r="G197" t="s">
        <v>686</v>
      </c>
      <c r="H197" t="s">
        <v>26</v>
      </c>
      <c r="I197">
        <v>8.9031234838723758E-2</v>
      </c>
      <c r="J197" t="s">
        <v>6</v>
      </c>
      <c r="L197" t="s">
        <v>687</v>
      </c>
      <c r="M197" t="s">
        <v>26</v>
      </c>
      <c r="N197">
        <v>9.47594010538019E-2</v>
      </c>
      <c r="O197" t="s">
        <v>6</v>
      </c>
    </row>
    <row r="198" spans="2:15" x14ac:dyDescent="0.45">
      <c r="B198" t="s">
        <v>685</v>
      </c>
      <c r="C198" t="s">
        <v>27</v>
      </c>
      <c r="D198">
        <v>3.0558027407240877E-4</v>
      </c>
      <c r="E198" t="s">
        <v>6</v>
      </c>
      <c r="G198" t="s">
        <v>686</v>
      </c>
      <c r="H198" t="s">
        <v>27</v>
      </c>
      <c r="I198">
        <v>4.1766937968400628E-2</v>
      </c>
      <c r="J198" t="s">
        <v>6</v>
      </c>
      <c r="L198" t="s">
        <v>687</v>
      </c>
      <c r="M198" t="s">
        <v>27</v>
      </c>
      <c r="N198">
        <v>4.5877039956638194E-2</v>
      </c>
      <c r="O198" t="s">
        <v>6</v>
      </c>
    </row>
    <row r="199" spans="2:15" x14ac:dyDescent="0.45">
      <c r="B199" t="s">
        <v>685</v>
      </c>
      <c r="C199" t="s">
        <v>28</v>
      </c>
      <c r="D199">
        <v>4.2273737938357675E-2</v>
      </c>
      <c r="E199" t="s">
        <v>6</v>
      </c>
      <c r="G199" t="s">
        <v>686</v>
      </c>
      <c r="H199" t="s">
        <v>28</v>
      </c>
      <c r="I199">
        <v>3.0662201758432622E-2</v>
      </c>
      <c r="J199" t="s">
        <v>6</v>
      </c>
      <c r="L199" t="s">
        <v>687</v>
      </c>
      <c r="M199" t="s">
        <v>28</v>
      </c>
      <c r="N199">
        <v>3.2199296582089823E-2</v>
      </c>
      <c r="O199" t="s">
        <v>6</v>
      </c>
    </row>
    <row r="200" spans="2:15" x14ac:dyDescent="0.45">
      <c r="B200" t="s">
        <v>685</v>
      </c>
      <c r="C200" t="s">
        <v>29</v>
      </c>
      <c r="D200">
        <v>9.5403407013312097E-2</v>
      </c>
      <c r="E200" t="s">
        <v>6</v>
      </c>
      <c r="G200" t="s">
        <v>686</v>
      </c>
      <c r="H200" t="s">
        <v>29</v>
      </c>
      <c r="I200">
        <v>3.3770202679538085E-2</v>
      </c>
      <c r="J200" t="s">
        <v>6</v>
      </c>
      <c r="L200" t="s">
        <v>687</v>
      </c>
      <c r="M200" t="s">
        <v>29</v>
      </c>
      <c r="N200">
        <v>3.06091769471241E-2</v>
      </c>
      <c r="O200" t="s">
        <v>6</v>
      </c>
    </row>
    <row r="201" spans="2:15" x14ac:dyDescent="0.45">
      <c r="B201" t="s">
        <v>685</v>
      </c>
      <c r="C201" t="s">
        <v>30</v>
      </c>
      <c r="D201">
        <v>7.4771230097506497E-2</v>
      </c>
      <c r="E201" t="s">
        <v>6</v>
      </c>
      <c r="G201" t="s">
        <v>686</v>
      </c>
      <c r="H201" t="s">
        <v>30</v>
      </c>
      <c r="I201">
        <v>3.6569669394971034E-2</v>
      </c>
      <c r="J201" t="s">
        <v>6</v>
      </c>
      <c r="L201" t="s">
        <v>687</v>
      </c>
      <c r="M201" t="s">
        <v>30</v>
      </c>
      <c r="N201">
        <v>3.3902360706701981E-2</v>
      </c>
      <c r="O201" t="s">
        <v>6</v>
      </c>
    </row>
    <row r="202" spans="2:15" x14ac:dyDescent="0.45">
      <c r="B202" t="s">
        <v>685</v>
      </c>
      <c r="C202" t="s">
        <v>31</v>
      </c>
      <c r="D202">
        <v>1.2472601778441577E-2</v>
      </c>
      <c r="E202" t="s">
        <v>6</v>
      </c>
      <c r="G202" t="s">
        <v>686</v>
      </c>
      <c r="H202" t="s">
        <v>31</v>
      </c>
      <c r="I202">
        <v>3.6072396771517808E-2</v>
      </c>
      <c r="J202" t="s">
        <v>6</v>
      </c>
      <c r="L202" t="s">
        <v>687</v>
      </c>
      <c r="M202" t="s">
        <v>31</v>
      </c>
      <c r="N202">
        <v>3.7104123740758832E-2</v>
      </c>
      <c r="O202" t="s">
        <v>6</v>
      </c>
    </row>
    <row r="203" spans="2:15" x14ac:dyDescent="0.45">
      <c r="B203" t="s">
        <v>688</v>
      </c>
      <c r="C203" t="s">
        <v>5</v>
      </c>
      <c r="D203">
        <v>0</v>
      </c>
      <c r="E203" t="s">
        <v>6</v>
      </c>
      <c r="G203" t="s">
        <v>689</v>
      </c>
      <c r="H203" t="s">
        <v>5</v>
      </c>
      <c r="I203">
        <v>0.11724525616347062</v>
      </c>
      <c r="J203" t="s">
        <v>6</v>
      </c>
      <c r="L203" t="s">
        <v>690</v>
      </c>
      <c r="M203" t="s">
        <v>5</v>
      </c>
      <c r="N203">
        <v>0.10996727165410179</v>
      </c>
      <c r="O203" t="s">
        <v>6</v>
      </c>
    </row>
    <row r="204" spans="2:15" x14ac:dyDescent="0.45">
      <c r="B204" t="s">
        <v>688</v>
      </c>
      <c r="C204" t="s">
        <v>9</v>
      </c>
      <c r="D204">
        <v>0</v>
      </c>
      <c r="E204" t="s">
        <v>6</v>
      </c>
      <c r="G204" t="s">
        <v>689</v>
      </c>
      <c r="H204" t="s">
        <v>9</v>
      </c>
      <c r="I204">
        <v>5.8218708335152441E-2</v>
      </c>
      <c r="J204" t="s">
        <v>6</v>
      </c>
      <c r="L204" t="s">
        <v>690</v>
      </c>
      <c r="M204" t="s">
        <v>9</v>
      </c>
      <c r="N204">
        <v>5.1859196990619076E-2</v>
      </c>
      <c r="O204" t="s">
        <v>6</v>
      </c>
    </row>
    <row r="205" spans="2:15" x14ac:dyDescent="0.45">
      <c r="B205" t="s">
        <v>688</v>
      </c>
      <c r="C205" t="s">
        <v>10</v>
      </c>
      <c r="D205">
        <v>2.1873045064182702E-2</v>
      </c>
      <c r="E205" t="s">
        <v>6</v>
      </c>
      <c r="G205" t="s">
        <v>689</v>
      </c>
      <c r="H205" t="s">
        <v>10</v>
      </c>
      <c r="I205">
        <v>3.9359430341266211E-2</v>
      </c>
      <c r="J205" t="s">
        <v>6</v>
      </c>
      <c r="L205" t="s">
        <v>690</v>
      </c>
      <c r="M205" t="s">
        <v>10</v>
      </c>
      <c r="N205">
        <v>3.9202149867892097E-2</v>
      </c>
      <c r="O205" t="s">
        <v>6</v>
      </c>
    </row>
    <row r="206" spans="2:15" x14ac:dyDescent="0.45">
      <c r="B206" t="s">
        <v>688</v>
      </c>
      <c r="C206" t="s">
        <v>11</v>
      </c>
      <c r="D206">
        <v>7.2634383402010505E-2</v>
      </c>
      <c r="E206" t="s">
        <v>6</v>
      </c>
      <c r="G206" t="s">
        <v>689</v>
      </c>
      <c r="H206" t="s">
        <v>11</v>
      </c>
      <c r="I206">
        <v>4.3914765500548229E-2</v>
      </c>
      <c r="J206" t="s">
        <v>6</v>
      </c>
      <c r="L206" t="s">
        <v>690</v>
      </c>
      <c r="M206" t="s">
        <v>11</v>
      </c>
      <c r="N206">
        <v>4.0010726529465489E-2</v>
      </c>
      <c r="O206" t="s">
        <v>6</v>
      </c>
    </row>
    <row r="207" spans="2:15" x14ac:dyDescent="0.45">
      <c r="B207" t="s">
        <v>688</v>
      </c>
      <c r="C207" t="s">
        <v>12</v>
      </c>
      <c r="D207">
        <v>6.0460697593540509E-2</v>
      </c>
      <c r="E207" t="s">
        <v>6</v>
      </c>
      <c r="G207" t="s">
        <v>689</v>
      </c>
      <c r="H207" t="s">
        <v>12</v>
      </c>
      <c r="I207">
        <v>5.0026795992502725E-2</v>
      </c>
      <c r="J207" t="s">
        <v>6</v>
      </c>
      <c r="L207" t="s">
        <v>690</v>
      </c>
      <c r="M207" t="s">
        <v>12</v>
      </c>
      <c r="N207">
        <v>3.8270145678806704E-2</v>
      </c>
      <c r="O207" t="s">
        <v>6</v>
      </c>
    </row>
    <row r="208" spans="2:15" x14ac:dyDescent="0.45">
      <c r="B208" t="s">
        <v>688</v>
      </c>
      <c r="C208" t="s">
        <v>13</v>
      </c>
      <c r="D208">
        <v>8.2882485165128219E-3</v>
      </c>
      <c r="E208" t="s">
        <v>6</v>
      </c>
      <c r="G208" t="s">
        <v>689</v>
      </c>
      <c r="H208" t="s">
        <v>13</v>
      </c>
      <c r="I208">
        <v>4.6576631324232703E-2</v>
      </c>
      <c r="J208" t="s">
        <v>6</v>
      </c>
      <c r="L208" t="s">
        <v>690</v>
      </c>
      <c r="M208" t="s">
        <v>13</v>
      </c>
      <c r="N208">
        <v>3.847417731676557E-2</v>
      </c>
      <c r="O208" t="s">
        <v>6</v>
      </c>
    </row>
    <row r="209" spans="2:15" x14ac:dyDescent="0.45">
      <c r="B209" t="s">
        <v>688</v>
      </c>
      <c r="C209" t="s">
        <v>14</v>
      </c>
      <c r="D209">
        <v>2.1138234314420981E-5</v>
      </c>
      <c r="E209" t="s">
        <v>6</v>
      </c>
      <c r="G209" t="s">
        <v>689</v>
      </c>
      <c r="H209" t="s">
        <v>14</v>
      </c>
      <c r="I209">
        <v>8.1027687223782313E-2</v>
      </c>
      <c r="J209" t="s">
        <v>6</v>
      </c>
      <c r="L209" t="s">
        <v>690</v>
      </c>
      <c r="M209" t="s">
        <v>14</v>
      </c>
      <c r="N209">
        <v>9.6386807889196888E-2</v>
      </c>
      <c r="O209" t="s">
        <v>6</v>
      </c>
    </row>
    <row r="210" spans="2:15" x14ac:dyDescent="0.45">
      <c r="B210" t="s">
        <v>688</v>
      </c>
      <c r="C210" t="s">
        <v>15</v>
      </c>
      <c r="D210">
        <v>2.269320171769583E-3</v>
      </c>
      <c r="E210" t="s">
        <v>6</v>
      </c>
      <c r="G210" t="s">
        <v>689</v>
      </c>
      <c r="H210" t="s">
        <v>15</v>
      </c>
      <c r="I210">
        <v>4.0031918453113907E-2</v>
      </c>
      <c r="J210" t="s">
        <v>6</v>
      </c>
      <c r="L210" t="s">
        <v>690</v>
      </c>
      <c r="M210" t="s">
        <v>15</v>
      </c>
      <c r="N210">
        <v>5.0428826468605026E-2</v>
      </c>
      <c r="O210" t="s">
        <v>6</v>
      </c>
    </row>
    <row r="211" spans="2:15" x14ac:dyDescent="0.45">
      <c r="B211" t="s">
        <v>688</v>
      </c>
      <c r="C211" t="s">
        <v>16</v>
      </c>
      <c r="D211">
        <v>5.238038279543529E-2</v>
      </c>
      <c r="E211" t="s">
        <v>6</v>
      </c>
      <c r="G211" t="s">
        <v>689</v>
      </c>
      <c r="H211" t="s">
        <v>16</v>
      </c>
      <c r="I211">
        <v>3.4472770669835215E-2</v>
      </c>
      <c r="J211" t="s">
        <v>6</v>
      </c>
      <c r="L211" t="s">
        <v>690</v>
      </c>
      <c r="M211" t="s">
        <v>16</v>
      </c>
      <c r="N211">
        <v>3.6479305008395954E-2</v>
      </c>
      <c r="O211" t="s">
        <v>6</v>
      </c>
    </row>
    <row r="212" spans="2:15" x14ac:dyDescent="0.45">
      <c r="B212" t="s">
        <v>688</v>
      </c>
      <c r="C212" t="s">
        <v>17</v>
      </c>
      <c r="D212">
        <v>9.7917927012874731E-2</v>
      </c>
      <c r="E212" t="s">
        <v>6</v>
      </c>
      <c r="G212" t="s">
        <v>689</v>
      </c>
      <c r="H212" t="s">
        <v>17</v>
      </c>
      <c r="I212">
        <v>4.4239635967422364E-2</v>
      </c>
      <c r="J212" t="s">
        <v>6</v>
      </c>
      <c r="L212" t="s">
        <v>690</v>
      </c>
      <c r="M212" t="s">
        <v>17</v>
      </c>
      <c r="N212">
        <v>3.4266603616029359E-2</v>
      </c>
      <c r="O212" t="s">
        <v>6</v>
      </c>
    </row>
    <row r="213" spans="2:15" x14ac:dyDescent="0.45">
      <c r="B213" t="s">
        <v>688</v>
      </c>
      <c r="C213" t="s">
        <v>18</v>
      </c>
      <c r="D213">
        <v>8.4783869684588606E-2</v>
      </c>
      <c r="E213" t="s">
        <v>6</v>
      </c>
      <c r="G213" t="s">
        <v>689</v>
      </c>
      <c r="H213" t="s">
        <v>18</v>
      </c>
      <c r="I213">
        <v>4.8036732620679576E-2</v>
      </c>
      <c r="J213" t="s">
        <v>6</v>
      </c>
      <c r="L213" t="s">
        <v>690</v>
      </c>
      <c r="M213" t="s">
        <v>18</v>
      </c>
      <c r="N213">
        <v>3.3024523103892429E-2</v>
      </c>
      <c r="O213" t="s">
        <v>6</v>
      </c>
    </row>
    <row r="214" spans="2:15" x14ac:dyDescent="0.45">
      <c r="B214" t="s">
        <v>688</v>
      </c>
      <c r="C214" t="s">
        <v>19</v>
      </c>
      <c r="D214">
        <v>2.4341527632861699E-2</v>
      </c>
      <c r="E214" t="s">
        <v>6</v>
      </c>
      <c r="G214" t="s">
        <v>689</v>
      </c>
      <c r="H214" t="s">
        <v>19</v>
      </c>
      <c r="I214">
        <v>3.973124145778769E-2</v>
      </c>
      <c r="J214" t="s">
        <v>6</v>
      </c>
      <c r="L214" t="s">
        <v>690</v>
      </c>
      <c r="M214" t="s">
        <v>19</v>
      </c>
      <c r="N214">
        <v>3.3322383876938234E-2</v>
      </c>
      <c r="O214" t="s">
        <v>6</v>
      </c>
    </row>
    <row r="215" spans="2:15" x14ac:dyDescent="0.45">
      <c r="B215" t="s">
        <v>688</v>
      </c>
      <c r="C215" t="s">
        <v>20</v>
      </c>
      <c r="D215">
        <v>2.3006247408492719E-4</v>
      </c>
      <c r="E215" t="s">
        <v>6</v>
      </c>
      <c r="G215" t="s">
        <v>689</v>
      </c>
      <c r="H215" t="s">
        <v>20</v>
      </c>
      <c r="I215">
        <v>3.0653026079084895E-2</v>
      </c>
      <c r="J215" t="s">
        <v>6</v>
      </c>
      <c r="L215" t="s">
        <v>690</v>
      </c>
      <c r="M215" t="s">
        <v>20</v>
      </c>
      <c r="N215">
        <v>4.0543702620060171E-2</v>
      </c>
      <c r="O215" t="s">
        <v>6</v>
      </c>
    </row>
    <row r="216" spans="2:15" x14ac:dyDescent="0.45">
      <c r="B216" t="s">
        <v>688</v>
      </c>
      <c r="C216" t="s">
        <v>21</v>
      </c>
      <c r="D216">
        <v>4.0878881365257356E-3</v>
      </c>
      <c r="E216" t="s">
        <v>6</v>
      </c>
      <c r="G216" t="s">
        <v>689</v>
      </c>
      <c r="H216" t="s">
        <v>21</v>
      </c>
      <c r="I216">
        <v>1.1221123155481637E-2</v>
      </c>
      <c r="J216" t="s">
        <v>6</v>
      </c>
      <c r="L216" t="s">
        <v>690</v>
      </c>
      <c r="M216" t="s">
        <v>21</v>
      </c>
      <c r="N216">
        <v>2.5884693891989198E-2</v>
      </c>
      <c r="O216" t="s">
        <v>6</v>
      </c>
    </row>
    <row r="217" spans="2:15" x14ac:dyDescent="0.45">
      <c r="B217" t="s">
        <v>688</v>
      </c>
      <c r="C217" t="s">
        <v>22</v>
      </c>
      <c r="D217">
        <v>7.1033377577161605E-2</v>
      </c>
      <c r="E217" t="s">
        <v>6</v>
      </c>
      <c r="G217" t="s">
        <v>689</v>
      </c>
      <c r="H217" t="s">
        <v>22</v>
      </c>
      <c r="I217">
        <v>9.032971722792011E-3</v>
      </c>
      <c r="J217" t="s">
        <v>6</v>
      </c>
      <c r="L217" t="s">
        <v>690</v>
      </c>
      <c r="M217" t="s">
        <v>22</v>
      </c>
      <c r="N217">
        <v>1.8961462227294158E-2</v>
      </c>
      <c r="O217" t="s">
        <v>6</v>
      </c>
    </row>
    <row r="218" spans="2:15" x14ac:dyDescent="0.45">
      <c r="B218" t="s">
        <v>688</v>
      </c>
      <c r="C218" t="s">
        <v>23</v>
      </c>
      <c r="D218">
        <v>0.12592045894062046</v>
      </c>
      <c r="E218" t="s">
        <v>6</v>
      </c>
      <c r="G218" t="s">
        <v>689</v>
      </c>
      <c r="H218" t="s">
        <v>23</v>
      </c>
      <c r="I218">
        <v>1.5414882954451174E-2</v>
      </c>
      <c r="J218" t="s">
        <v>6</v>
      </c>
      <c r="L218" t="s">
        <v>690</v>
      </c>
      <c r="M218" t="s">
        <v>23</v>
      </c>
      <c r="N218">
        <v>1.6714904073806228E-2</v>
      </c>
      <c r="O218" t="s">
        <v>6</v>
      </c>
    </row>
    <row r="219" spans="2:15" x14ac:dyDescent="0.45">
      <c r="B219" t="s">
        <v>688</v>
      </c>
      <c r="C219" t="s">
        <v>24</v>
      </c>
      <c r="D219">
        <v>0.10919494874546366</v>
      </c>
      <c r="E219" t="s">
        <v>6</v>
      </c>
      <c r="G219" t="s">
        <v>689</v>
      </c>
      <c r="H219" t="s">
        <v>24</v>
      </c>
      <c r="I219">
        <v>2.0217947527245414E-2</v>
      </c>
      <c r="J219" t="s">
        <v>6</v>
      </c>
      <c r="L219" t="s">
        <v>690</v>
      </c>
      <c r="M219" t="s">
        <v>24</v>
      </c>
      <c r="N219">
        <v>1.3609684133564098E-2</v>
      </c>
      <c r="O219" t="s">
        <v>6</v>
      </c>
    </row>
    <row r="220" spans="2:15" x14ac:dyDescent="0.45">
      <c r="B220" t="s">
        <v>688</v>
      </c>
      <c r="C220" t="s">
        <v>25</v>
      </c>
      <c r="D220">
        <v>3.6710909454526396E-2</v>
      </c>
      <c r="E220" t="s">
        <v>6</v>
      </c>
      <c r="G220" t="s">
        <v>689</v>
      </c>
      <c r="H220" t="s">
        <v>25</v>
      </c>
      <c r="I220">
        <v>2.0048884558863011E-2</v>
      </c>
      <c r="J220" t="s">
        <v>6</v>
      </c>
      <c r="L220" t="s">
        <v>690</v>
      </c>
      <c r="M220" t="s">
        <v>25</v>
      </c>
      <c r="N220">
        <v>1.2857659121202056E-2</v>
      </c>
      <c r="O220" t="s">
        <v>6</v>
      </c>
    </row>
    <row r="221" spans="2:15" x14ac:dyDescent="0.45">
      <c r="B221" t="s">
        <v>688</v>
      </c>
      <c r="C221" t="s">
        <v>26</v>
      </c>
      <c r="D221">
        <v>0</v>
      </c>
      <c r="E221" t="s">
        <v>6</v>
      </c>
      <c r="G221" t="s">
        <v>689</v>
      </c>
      <c r="H221" t="s">
        <v>26</v>
      </c>
      <c r="I221">
        <v>7.3967735961558645E-2</v>
      </c>
      <c r="J221" t="s">
        <v>6</v>
      </c>
      <c r="L221" t="s">
        <v>690</v>
      </c>
      <c r="M221" t="s">
        <v>26</v>
      </c>
      <c r="N221">
        <v>8.9190179533947478E-2</v>
      </c>
      <c r="O221" t="s">
        <v>6</v>
      </c>
    </row>
    <row r="222" spans="2:15" x14ac:dyDescent="0.45">
      <c r="B222" t="s">
        <v>688</v>
      </c>
      <c r="C222" t="s">
        <v>27</v>
      </c>
      <c r="D222">
        <v>3.8385991832112402E-4</v>
      </c>
      <c r="E222" t="s">
        <v>6</v>
      </c>
      <c r="G222" t="s">
        <v>689</v>
      </c>
      <c r="H222" t="s">
        <v>27</v>
      </c>
      <c r="I222">
        <v>3.6505521449020008E-2</v>
      </c>
      <c r="J222" t="s">
        <v>6</v>
      </c>
      <c r="L222" t="s">
        <v>690</v>
      </c>
      <c r="M222" t="s">
        <v>27</v>
      </c>
      <c r="N222">
        <v>4.6438615323412959E-2</v>
      </c>
      <c r="O222" t="s">
        <v>6</v>
      </c>
    </row>
    <row r="223" spans="2:15" x14ac:dyDescent="0.45">
      <c r="B223" t="s">
        <v>688</v>
      </c>
      <c r="C223" t="s">
        <v>28</v>
      </c>
      <c r="D223">
        <v>4.4912835610893508E-2</v>
      </c>
      <c r="E223" t="s">
        <v>6</v>
      </c>
      <c r="G223" t="s">
        <v>689</v>
      </c>
      <c r="H223" t="s">
        <v>28</v>
      </c>
      <c r="I223">
        <v>2.8505695032924314E-2</v>
      </c>
      <c r="J223" t="s">
        <v>6</v>
      </c>
      <c r="L223" t="s">
        <v>690</v>
      </c>
      <c r="M223" t="s">
        <v>28</v>
      </c>
      <c r="N223">
        <v>3.4389367601260511E-2</v>
      </c>
      <c r="O223" t="s">
        <v>6</v>
      </c>
    </row>
    <row r="224" spans="2:15" x14ac:dyDescent="0.45">
      <c r="B224" t="s">
        <v>688</v>
      </c>
      <c r="C224" t="s">
        <v>29</v>
      </c>
      <c r="D224">
        <v>9.6553297392925147E-2</v>
      </c>
      <c r="E224" t="s">
        <v>6</v>
      </c>
      <c r="G224" t="s">
        <v>689</v>
      </c>
      <c r="H224" t="s">
        <v>29</v>
      </c>
      <c r="I224">
        <v>3.8319724003559458E-2</v>
      </c>
      <c r="J224" t="s">
        <v>6</v>
      </c>
      <c r="L224" t="s">
        <v>690</v>
      </c>
      <c r="M224" t="s">
        <v>29</v>
      </c>
      <c r="N224">
        <v>3.4005965278399275E-2</v>
      </c>
      <c r="O224" t="s">
        <v>6</v>
      </c>
    </row>
    <row r="225" spans="2:15" x14ac:dyDescent="0.45">
      <c r="B225" t="s">
        <v>688</v>
      </c>
      <c r="C225" t="s">
        <v>30</v>
      </c>
      <c r="D225">
        <v>7.3864458363443644E-2</v>
      </c>
      <c r="E225" t="s">
        <v>6</v>
      </c>
      <c r="G225" t="s">
        <v>689</v>
      </c>
      <c r="H225" t="s">
        <v>30</v>
      </c>
      <c r="I225">
        <v>4.020591338402079E-2</v>
      </c>
      <c r="J225" t="s">
        <v>6</v>
      </c>
      <c r="L225" t="s">
        <v>690</v>
      </c>
      <c r="M225" t="s">
        <v>30</v>
      </c>
      <c r="N225">
        <v>3.3399638967689271E-2</v>
      </c>
      <c r="O225" t="s">
        <v>6</v>
      </c>
    </row>
    <row r="226" spans="2:15" x14ac:dyDescent="0.45">
      <c r="B226" t="s">
        <v>688</v>
      </c>
      <c r="C226" t="s">
        <v>31</v>
      </c>
      <c r="D226">
        <v>1.2137363277940816E-2</v>
      </c>
      <c r="E226" t="s">
        <v>6</v>
      </c>
      <c r="G226" t="s">
        <v>689</v>
      </c>
      <c r="H226" t="s">
        <v>31</v>
      </c>
      <c r="I226">
        <v>3.3025000121207904E-2</v>
      </c>
      <c r="J226" t="s">
        <v>6</v>
      </c>
      <c r="L226" t="s">
        <v>690</v>
      </c>
      <c r="M226" t="s">
        <v>31</v>
      </c>
      <c r="N226">
        <v>3.2312009226665904E-2</v>
      </c>
      <c r="O226" t="s">
        <v>6</v>
      </c>
    </row>
    <row r="227" spans="2:15" x14ac:dyDescent="0.45">
      <c r="B227" t="s">
        <v>691</v>
      </c>
      <c r="C227" t="s">
        <v>5</v>
      </c>
      <c r="D227">
        <v>0</v>
      </c>
      <c r="E227" t="s">
        <v>6</v>
      </c>
      <c r="G227" t="s">
        <v>692</v>
      </c>
      <c r="H227" t="s">
        <v>5</v>
      </c>
      <c r="I227">
        <v>0.11723807930339775</v>
      </c>
      <c r="J227" t="s">
        <v>6</v>
      </c>
      <c r="L227" t="s">
        <v>693</v>
      </c>
      <c r="M227" t="s">
        <v>5</v>
      </c>
      <c r="N227">
        <v>0.10913893223124728</v>
      </c>
      <c r="O227" t="s">
        <v>6</v>
      </c>
    </row>
    <row r="228" spans="2:15" x14ac:dyDescent="0.45">
      <c r="B228" t="s">
        <v>691</v>
      </c>
      <c r="C228" t="s">
        <v>9</v>
      </c>
      <c r="D228">
        <v>0</v>
      </c>
      <c r="E228" t="s">
        <v>6</v>
      </c>
      <c r="G228" t="s">
        <v>692</v>
      </c>
      <c r="H228" t="s">
        <v>9</v>
      </c>
      <c r="I228">
        <v>6.2842611369916521E-2</v>
      </c>
      <c r="J228" t="s">
        <v>6</v>
      </c>
      <c r="L228" t="s">
        <v>693</v>
      </c>
      <c r="M228" t="s">
        <v>9</v>
      </c>
      <c r="N228">
        <v>5.3912847234944987E-2</v>
      </c>
      <c r="O228" t="s">
        <v>6</v>
      </c>
    </row>
    <row r="229" spans="2:15" x14ac:dyDescent="0.45">
      <c r="B229" t="s">
        <v>691</v>
      </c>
      <c r="C229" t="s">
        <v>10</v>
      </c>
      <c r="D229">
        <v>2.8691632801535999E-2</v>
      </c>
      <c r="E229" t="s">
        <v>6</v>
      </c>
      <c r="G229" t="s">
        <v>692</v>
      </c>
      <c r="H229" t="s">
        <v>10</v>
      </c>
      <c r="I229">
        <v>4.3882063504403483E-2</v>
      </c>
      <c r="J229" t="s">
        <v>6</v>
      </c>
      <c r="L229" t="s">
        <v>693</v>
      </c>
      <c r="M229" t="s">
        <v>10</v>
      </c>
      <c r="N229">
        <v>4.1925667023817684E-2</v>
      </c>
      <c r="O229" t="s">
        <v>6</v>
      </c>
    </row>
    <row r="230" spans="2:15" x14ac:dyDescent="0.45">
      <c r="B230" t="s">
        <v>691</v>
      </c>
      <c r="C230" t="s">
        <v>11</v>
      </c>
      <c r="D230">
        <v>8.30331315831071E-2</v>
      </c>
      <c r="E230" t="s">
        <v>6</v>
      </c>
      <c r="G230" t="s">
        <v>692</v>
      </c>
      <c r="H230" t="s">
        <v>11</v>
      </c>
      <c r="I230">
        <v>4.7917272172437256E-2</v>
      </c>
      <c r="J230" t="s">
        <v>6</v>
      </c>
      <c r="L230" t="s">
        <v>693</v>
      </c>
      <c r="M230" t="s">
        <v>11</v>
      </c>
      <c r="N230">
        <v>4.1758450390482607E-2</v>
      </c>
      <c r="O230" t="s">
        <v>6</v>
      </c>
    </row>
    <row r="231" spans="2:15" x14ac:dyDescent="0.45">
      <c r="B231" t="s">
        <v>691</v>
      </c>
      <c r="C231" t="s">
        <v>12</v>
      </c>
      <c r="D231">
        <v>6.7640604486340947E-2</v>
      </c>
      <c r="E231" t="s">
        <v>6</v>
      </c>
      <c r="G231" t="s">
        <v>692</v>
      </c>
      <c r="H231" t="s">
        <v>12</v>
      </c>
      <c r="I231">
        <v>4.7735829512025714E-2</v>
      </c>
      <c r="J231" t="s">
        <v>6</v>
      </c>
      <c r="L231" t="s">
        <v>693</v>
      </c>
      <c r="M231" t="s">
        <v>12</v>
      </c>
      <c r="N231">
        <v>3.864366732497939E-2</v>
      </c>
      <c r="O231" t="s">
        <v>6</v>
      </c>
    </row>
    <row r="232" spans="2:15" x14ac:dyDescent="0.45">
      <c r="B232" t="s">
        <v>691</v>
      </c>
      <c r="C232" t="s">
        <v>13</v>
      </c>
      <c r="D232">
        <v>9.6186008501020059E-3</v>
      </c>
      <c r="E232" t="s">
        <v>6</v>
      </c>
      <c r="G232" t="s">
        <v>692</v>
      </c>
      <c r="H232" t="s">
        <v>13</v>
      </c>
      <c r="I232">
        <v>4.4237184158799667E-2</v>
      </c>
      <c r="J232" t="s">
        <v>6</v>
      </c>
      <c r="L232" t="s">
        <v>693</v>
      </c>
      <c r="M232" t="s">
        <v>13</v>
      </c>
      <c r="N232">
        <v>3.8056198869018718E-2</v>
      </c>
      <c r="O232" t="s">
        <v>6</v>
      </c>
    </row>
    <row r="233" spans="2:15" x14ac:dyDescent="0.45">
      <c r="B233" t="s">
        <v>691</v>
      </c>
      <c r="C233" t="s">
        <v>14</v>
      </c>
      <c r="D233">
        <v>2.2178386771266352E-8</v>
      </c>
      <c r="E233" t="s">
        <v>6</v>
      </c>
      <c r="G233" t="s">
        <v>692</v>
      </c>
      <c r="H233" t="s">
        <v>14</v>
      </c>
      <c r="I233">
        <v>8.0425443972847122E-2</v>
      </c>
      <c r="J233" t="s">
        <v>6</v>
      </c>
      <c r="L233" t="s">
        <v>693</v>
      </c>
      <c r="M233" t="s">
        <v>14</v>
      </c>
      <c r="N233">
        <v>0.10213368656089497</v>
      </c>
      <c r="O233" t="s">
        <v>6</v>
      </c>
    </row>
    <row r="234" spans="2:15" x14ac:dyDescent="0.45">
      <c r="B234" t="s">
        <v>691</v>
      </c>
      <c r="C234" t="s">
        <v>15</v>
      </c>
      <c r="D234">
        <v>2.4216880163023644E-3</v>
      </c>
      <c r="E234" t="s">
        <v>6</v>
      </c>
      <c r="G234" t="s">
        <v>692</v>
      </c>
      <c r="H234" t="s">
        <v>15</v>
      </c>
      <c r="I234">
        <v>4.4288528452835874E-2</v>
      </c>
      <c r="J234" t="s">
        <v>6</v>
      </c>
      <c r="L234" t="s">
        <v>693</v>
      </c>
      <c r="M234" t="s">
        <v>15</v>
      </c>
      <c r="N234">
        <v>4.8544574044662517E-2</v>
      </c>
      <c r="O234" t="s">
        <v>6</v>
      </c>
    </row>
    <row r="235" spans="2:15" x14ac:dyDescent="0.45">
      <c r="B235" t="s">
        <v>691</v>
      </c>
      <c r="C235" t="s">
        <v>16</v>
      </c>
      <c r="D235">
        <v>5.4519149342716178E-2</v>
      </c>
      <c r="E235" t="s">
        <v>6</v>
      </c>
      <c r="G235" t="s">
        <v>692</v>
      </c>
      <c r="H235" t="s">
        <v>16</v>
      </c>
      <c r="I235">
        <v>3.878923916534123E-2</v>
      </c>
      <c r="J235" t="s">
        <v>6</v>
      </c>
      <c r="L235" t="s">
        <v>693</v>
      </c>
      <c r="M235" t="s">
        <v>16</v>
      </c>
      <c r="N235">
        <v>3.4972282856474794E-2</v>
      </c>
      <c r="O235" t="s">
        <v>6</v>
      </c>
    </row>
    <row r="236" spans="2:15" x14ac:dyDescent="0.45">
      <c r="B236" t="s">
        <v>691</v>
      </c>
      <c r="C236" t="s">
        <v>17</v>
      </c>
      <c r="D236">
        <v>9.7071222027609205E-2</v>
      </c>
      <c r="E236" t="s">
        <v>6</v>
      </c>
      <c r="G236" t="s">
        <v>692</v>
      </c>
      <c r="H236" t="s">
        <v>17</v>
      </c>
      <c r="I236">
        <v>4.6792501938393433E-2</v>
      </c>
      <c r="J236" t="s">
        <v>6</v>
      </c>
      <c r="L236" t="s">
        <v>693</v>
      </c>
      <c r="M236" t="s">
        <v>17</v>
      </c>
      <c r="N236">
        <v>3.6040724523561038E-2</v>
      </c>
      <c r="O236" t="s">
        <v>6</v>
      </c>
    </row>
    <row r="237" spans="2:15" x14ac:dyDescent="0.45">
      <c r="B237" t="s">
        <v>691</v>
      </c>
      <c r="C237" t="s">
        <v>18</v>
      </c>
      <c r="D237">
        <v>8.1103122527607804E-2</v>
      </c>
      <c r="E237" t="s">
        <v>6</v>
      </c>
      <c r="G237" t="s">
        <v>692</v>
      </c>
      <c r="H237" t="s">
        <v>18</v>
      </c>
      <c r="I237">
        <v>4.6933153035954391E-2</v>
      </c>
      <c r="J237" t="s">
        <v>6</v>
      </c>
      <c r="L237" t="s">
        <v>693</v>
      </c>
      <c r="M237" t="s">
        <v>18</v>
      </c>
      <c r="N237">
        <v>3.7256796154898811E-2</v>
      </c>
      <c r="O237" t="s">
        <v>6</v>
      </c>
    </row>
    <row r="238" spans="2:15" x14ac:dyDescent="0.45">
      <c r="B238" t="s">
        <v>691</v>
      </c>
      <c r="C238" t="s">
        <v>19</v>
      </c>
      <c r="D238">
        <v>2.2005806846994835E-2</v>
      </c>
      <c r="E238" t="s">
        <v>6</v>
      </c>
      <c r="G238" t="s">
        <v>692</v>
      </c>
      <c r="H238" t="s">
        <v>19</v>
      </c>
      <c r="I238">
        <v>3.7922916126276268E-2</v>
      </c>
      <c r="J238" t="s">
        <v>6</v>
      </c>
      <c r="L238" t="s">
        <v>693</v>
      </c>
      <c r="M238" t="s">
        <v>19</v>
      </c>
      <c r="N238">
        <v>3.7359418704273388E-2</v>
      </c>
      <c r="O238" t="s">
        <v>6</v>
      </c>
    </row>
    <row r="239" spans="2:15" x14ac:dyDescent="0.45">
      <c r="B239" t="s">
        <v>691</v>
      </c>
      <c r="C239" t="s">
        <v>20</v>
      </c>
      <c r="D239">
        <v>6.4629668879208891E-5</v>
      </c>
      <c r="E239" t="s">
        <v>6</v>
      </c>
      <c r="G239" t="s">
        <v>692</v>
      </c>
      <c r="H239" t="s">
        <v>20</v>
      </c>
      <c r="I239">
        <v>2.3280622746985065E-2</v>
      </c>
      <c r="J239" t="s">
        <v>6</v>
      </c>
      <c r="L239" t="s">
        <v>693</v>
      </c>
      <c r="M239" t="s">
        <v>20</v>
      </c>
      <c r="N239">
        <v>3.1628347409715485E-2</v>
      </c>
      <c r="O239" t="s">
        <v>6</v>
      </c>
    </row>
    <row r="240" spans="2:15" x14ac:dyDescent="0.45">
      <c r="B240" t="s">
        <v>691</v>
      </c>
      <c r="C240" t="s">
        <v>21</v>
      </c>
      <c r="D240">
        <v>3.9356625691242637E-3</v>
      </c>
      <c r="E240" t="s">
        <v>6</v>
      </c>
      <c r="G240" t="s">
        <v>692</v>
      </c>
      <c r="H240" t="s">
        <v>21</v>
      </c>
      <c r="I240">
        <v>1.0331684313292367E-2</v>
      </c>
      <c r="J240" t="s">
        <v>6</v>
      </c>
      <c r="L240" t="s">
        <v>693</v>
      </c>
      <c r="M240" t="s">
        <v>21</v>
      </c>
      <c r="N240">
        <v>1.9846914408686186E-2</v>
      </c>
      <c r="O240" t="s">
        <v>6</v>
      </c>
    </row>
    <row r="241" spans="2:15" x14ac:dyDescent="0.45">
      <c r="B241" t="s">
        <v>691</v>
      </c>
      <c r="C241" t="s">
        <v>22</v>
      </c>
      <c r="D241">
        <v>6.640715226676476E-2</v>
      </c>
      <c r="E241" t="s">
        <v>6</v>
      </c>
      <c r="G241" t="s">
        <v>692</v>
      </c>
      <c r="H241" t="s">
        <v>22</v>
      </c>
      <c r="I241">
        <v>8.5340267545862825E-3</v>
      </c>
      <c r="J241" t="s">
        <v>6</v>
      </c>
      <c r="L241" t="s">
        <v>693</v>
      </c>
      <c r="M241" t="s">
        <v>22</v>
      </c>
      <c r="N241">
        <v>1.5473206098611053E-2</v>
      </c>
      <c r="O241" t="s">
        <v>6</v>
      </c>
    </row>
    <row r="242" spans="2:15" x14ac:dyDescent="0.45">
      <c r="B242" t="s">
        <v>691</v>
      </c>
      <c r="C242" t="s">
        <v>23</v>
      </c>
      <c r="D242">
        <v>0.11390897928618995</v>
      </c>
      <c r="E242" t="s">
        <v>6</v>
      </c>
      <c r="G242" t="s">
        <v>692</v>
      </c>
      <c r="H242" t="s">
        <v>23</v>
      </c>
      <c r="I242">
        <v>1.2249748027483309E-2</v>
      </c>
      <c r="J242" t="s">
        <v>6</v>
      </c>
      <c r="L242" t="s">
        <v>693</v>
      </c>
      <c r="M242" t="s">
        <v>23</v>
      </c>
      <c r="N242">
        <v>1.6100427600914614E-2</v>
      </c>
      <c r="O242" t="s">
        <v>6</v>
      </c>
    </row>
    <row r="243" spans="2:15" x14ac:dyDescent="0.45">
      <c r="B243" t="s">
        <v>691</v>
      </c>
      <c r="C243" t="s">
        <v>24</v>
      </c>
      <c r="D243">
        <v>9.954775872877196E-2</v>
      </c>
      <c r="E243" t="s">
        <v>6</v>
      </c>
      <c r="G243" t="s">
        <v>692</v>
      </c>
      <c r="H243" t="s">
        <v>24</v>
      </c>
      <c r="I243">
        <v>1.7073952413966819E-2</v>
      </c>
      <c r="J243" t="s">
        <v>6</v>
      </c>
      <c r="L243" t="s">
        <v>693</v>
      </c>
      <c r="M243" t="s">
        <v>24</v>
      </c>
      <c r="N243">
        <v>1.4923429555351531E-2</v>
      </c>
      <c r="O243" t="s">
        <v>6</v>
      </c>
    </row>
    <row r="244" spans="2:15" x14ac:dyDescent="0.45">
      <c r="B244" t="s">
        <v>691</v>
      </c>
      <c r="C244" t="s">
        <v>25</v>
      </c>
      <c r="D244">
        <v>3.1955818384383203E-2</v>
      </c>
      <c r="E244" t="s">
        <v>6</v>
      </c>
      <c r="G244" t="s">
        <v>692</v>
      </c>
      <c r="H244" t="s">
        <v>25</v>
      </c>
      <c r="I244">
        <v>1.8366384909413801E-2</v>
      </c>
      <c r="J244" t="s">
        <v>6</v>
      </c>
      <c r="L244" t="s">
        <v>693</v>
      </c>
      <c r="M244" t="s">
        <v>25</v>
      </c>
      <c r="N244">
        <v>1.2990232571810138E-2</v>
      </c>
      <c r="O244" t="s">
        <v>6</v>
      </c>
    </row>
    <row r="245" spans="2:15" x14ac:dyDescent="0.45">
      <c r="B245" t="s">
        <v>691</v>
      </c>
      <c r="C245" t="s">
        <v>26</v>
      </c>
      <c r="D245">
        <v>0</v>
      </c>
      <c r="E245" t="s">
        <v>6</v>
      </c>
      <c r="G245" t="s">
        <v>692</v>
      </c>
      <c r="H245" t="s">
        <v>26</v>
      </c>
      <c r="I245">
        <v>7.5872162977567825E-2</v>
      </c>
      <c r="J245" t="s">
        <v>6</v>
      </c>
      <c r="L245" t="s">
        <v>693</v>
      </c>
      <c r="M245" t="s">
        <v>26</v>
      </c>
      <c r="N245">
        <v>8.773963235137687E-2</v>
      </c>
      <c r="O245" t="s">
        <v>6</v>
      </c>
    </row>
    <row r="246" spans="2:15" x14ac:dyDescent="0.45">
      <c r="B246" t="s">
        <v>691</v>
      </c>
      <c r="C246" t="s">
        <v>27</v>
      </c>
      <c r="D246">
        <v>5.140963570515639E-4</v>
      </c>
      <c r="E246" t="s">
        <v>6</v>
      </c>
      <c r="G246" t="s">
        <v>692</v>
      </c>
      <c r="H246" t="s">
        <v>27</v>
      </c>
      <c r="I246">
        <v>3.9280697082470575E-2</v>
      </c>
      <c r="J246" t="s">
        <v>6</v>
      </c>
      <c r="L246" t="s">
        <v>693</v>
      </c>
      <c r="M246" t="s">
        <v>27</v>
      </c>
      <c r="N246">
        <v>4.5692640774117249E-2</v>
      </c>
      <c r="O246" t="s">
        <v>6</v>
      </c>
    </row>
    <row r="247" spans="2:15" x14ac:dyDescent="0.45">
      <c r="B247" t="s">
        <v>691</v>
      </c>
      <c r="C247" t="s">
        <v>28</v>
      </c>
      <c r="D247">
        <v>5.0083520825471052E-2</v>
      </c>
      <c r="E247" t="s">
        <v>6</v>
      </c>
      <c r="G247" t="s">
        <v>692</v>
      </c>
      <c r="H247" t="s">
        <v>28</v>
      </c>
      <c r="I247">
        <v>2.9405551793230494E-2</v>
      </c>
      <c r="J247" t="s">
        <v>6</v>
      </c>
      <c r="L247" t="s">
        <v>693</v>
      </c>
      <c r="M247" t="s">
        <v>28</v>
      </c>
      <c r="N247">
        <v>3.4533256052787849E-2</v>
      </c>
      <c r="O247" t="s">
        <v>6</v>
      </c>
    </row>
    <row r="248" spans="2:15" x14ac:dyDescent="0.45">
      <c r="B248" t="s">
        <v>691</v>
      </c>
      <c r="C248" t="s">
        <v>29</v>
      </c>
      <c r="D248">
        <v>9.956263255091144E-2</v>
      </c>
      <c r="E248" t="s">
        <v>6</v>
      </c>
      <c r="G248" t="s">
        <v>692</v>
      </c>
      <c r="H248" t="s">
        <v>29</v>
      </c>
      <c r="I248">
        <v>3.7560734130012471E-2</v>
      </c>
      <c r="J248" t="s">
        <v>6</v>
      </c>
      <c r="L248" t="s">
        <v>693</v>
      </c>
      <c r="M248" t="s">
        <v>29</v>
      </c>
      <c r="N248">
        <v>3.4248625595916467E-2</v>
      </c>
      <c r="O248" t="s">
        <v>6</v>
      </c>
    </row>
    <row r="249" spans="2:15" x14ac:dyDescent="0.45">
      <c r="B249" t="s">
        <v>691</v>
      </c>
      <c r="C249" t="s">
        <v>30</v>
      </c>
      <c r="D249">
        <v>7.6144094782905444E-2</v>
      </c>
      <c r="E249" t="s">
        <v>6</v>
      </c>
      <c r="G249" t="s">
        <v>692</v>
      </c>
      <c r="H249" t="s">
        <v>30</v>
      </c>
      <c r="I249">
        <v>3.8241650371226447E-2</v>
      </c>
      <c r="J249" t="s">
        <v>6</v>
      </c>
      <c r="L249" t="s">
        <v>693</v>
      </c>
      <c r="M249" t="s">
        <v>30</v>
      </c>
      <c r="N249">
        <v>3.3656827371376707E-2</v>
      </c>
      <c r="O249" t="s">
        <v>6</v>
      </c>
    </row>
    <row r="250" spans="2:15" x14ac:dyDescent="0.45">
      <c r="B250" t="s">
        <v>691</v>
      </c>
      <c r="C250" t="s">
        <v>31</v>
      </c>
      <c r="D250">
        <v>1.1770673918844007E-2</v>
      </c>
      <c r="E250" t="s">
        <v>6</v>
      </c>
      <c r="G250" t="s">
        <v>692</v>
      </c>
      <c r="H250" t="s">
        <v>31</v>
      </c>
      <c r="I250">
        <v>3.0797961767137089E-2</v>
      </c>
      <c r="J250" t="s">
        <v>6</v>
      </c>
      <c r="L250" t="s">
        <v>693</v>
      </c>
      <c r="M250" t="s">
        <v>31</v>
      </c>
      <c r="N250">
        <v>3.342321429008098E-2</v>
      </c>
      <c r="O250" t="s">
        <v>6</v>
      </c>
    </row>
    <row r="251" spans="2:15" x14ac:dyDescent="0.45">
      <c r="B251" t="s">
        <v>694</v>
      </c>
      <c r="C251" t="s">
        <v>5</v>
      </c>
      <c r="D251">
        <v>0</v>
      </c>
      <c r="E251" t="s">
        <v>6</v>
      </c>
      <c r="G251" t="s">
        <v>695</v>
      </c>
      <c r="H251" t="s">
        <v>5</v>
      </c>
      <c r="I251">
        <v>0.11445432840970664</v>
      </c>
      <c r="J251" t="s">
        <v>6</v>
      </c>
      <c r="L251" t="s">
        <v>696</v>
      </c>
      <c r="M251" t="s">
        <v>5</v>
      </c>
      <c r="N251">
        <v>9.8042262294399121E-2</v>
      </c>
      <c r="O251" t="s">
        <v>6</v>
      </c>
    </row>
    <row r="252" spans="2:15" x14ac:dyDescent="0.45">
      <c r="B252" t="s">
        <v>694</v>
      </c>
      <c r="C252" t="s">
        <v>9</v>
      </c>
      <c r="D252">
        <v>0</v>
      </c>
      <c r="E252" t="s">
        <v>6</v>
      </c>
      <c r="G252" t="s">
        <v>695</v>
      </c>
      <c r="H252" t="s">
        <v>9</v>
      </c>
      <c r="I252">
        <v>6.0191702942353029E-2</v>
      </c>
      <c r="J252" t="s">
        <v>6</v>
      </c>
      <c r="L252" t="s">
        <v>696</v>
      </c>
      <c r="M252" t="s">
        <v>9</v>
      </c>
      <c r="N252">
        <v>4.7735228132381687E-2</v>
      </c>
      <c r="O252" t="s">
        <v>6</v>
      </c>
    </row>
    <row r="253" spans="2:15" x14ac:dyDescent="0.45">
      <c r="B253" t="s">
        <v>694</v>
      </c>
      <c r="C253" t="s">
        <v>10</v>
      </c>
      <c r="D253">
        <v>3.0498651533221906E-2</v>
      </c>
      <c r="E253" t="s">
        <v>6</v>
      </c>
      <c r="G253" t="s">
        <v>695</v>
      </c>
      <c r="H253" t="s">
        <v>10</v>
      </c>
      <c r="I253">
        <v>4.4226136161960888E-2</v>
      </c>
      <c r="J253" t="s">
        <v>6</v>
      </c>
      <c r="L253" t="s">
        <v>696</v>
      </c>
      <c r="M253" t="s">
        <v>10</v>
      </c>
      <c r="N253">
        <v>3.4949908251535898E-2</v>
      </c>
      <c r="O253" t="s">
        <v>6</v>
      </c>
    </row>
    <row r="254" spans="2:15" x14ac:dyDescent="0.45">
      <c r="B254" t="s">
        <v>694</v>
      </c>
      <c r="C254" t="s">
        <v>11</v>
      </c>
      <c r="D254">
        <v>8.4766219923214203E-2</v>
      </c>
      <c r="E254" t="s">
        <v>6</v>
      </c>
      <c r="G254" t="s">
        <v>695</v>
      </c>
      <c r="H254" t="s">
        <v>11</v>
      </c>
      <c r="I254">
        <v>4.3203450480999404E-2</v>
      </c>
      <c r="J254" t="s">
        <v>6</v>
      </c>
      <c r="L254" t="s">
        <v>696</v>
      </c>
      <c r="M254" t="s">
        <v>11</v>
      </c>
      <c r="N254">
        <v>3.6637170288049269E-2</v>
      </c>
      <c r="O254" t="s">
        <v>6</v>
      </c>
    </row>
    <row r="255" spans="2:15" x14ac:dyDescent="0.45">
      <c r="B255" t="s">
        <v>694</v>
      </c>
      <c r="C255" t="s">
        <v>12</v>
      </c>
      <c r="D255">
        <v>6.4871511741341703E-2</v>
      </c>
      <c r="E255" t="s">
        <v>6</v>
      </c>
      <c r="G255" t="s">
        <v>695</v>
      </c>
      <c r="H255" t="s">
        <v>12</v>
      </c>
      <c r="I255">
        <v>4.2773759591858605E-2</v>
      </c>
      <c r="J255" t="s">
        <v>6</v>
      </c>
      <c r="L255" t="s">
        <v>696</v>
      </c>
      <c r="M255" t="s">
        <v>12</v>
      </c>
      <c r="N255">
        <v>3.9575077453582234E-2</v>
      </c>
      <c r="O255" t="s">
        <v>6</v>
      </c>
    </row>
    <row r="256" spans="2:15" x14ac:dyDescent="0.45">
      <c r="B256" t="s">
        <v>694</v>
      </c>
      <c r="C256" t="s">
        <v>13</v>
      </c>
      <c r="D256">
        <v>7.7839669476214048E-3</v>
      </c>
      <c r="E256" t="s">
        <v>6</v>
      </c>
      <c r="G256" t="s">
        <v>695</v>
      </c>
      <c r="H256" t="s">
        <v>13</v>
      </c>
      <c r="I256">
        <v>4.050273654498561E-2</v>
      </c>
      <c r="J256" t="s">
        <v>6</v>
      </c>
      <c r="L256" t="s">
        <v>696</v>
      </c>
      <c r="M256" t="s">
        <v>13</v>
      </c>
      <c r="N256">
        <v>3.9057211899819103E-2</v>
      </c>
      <c r="O256" t="s">
        <v>6</v>
      </c>
    </row>
    <row r="257" spans="2:15" x14ac:dyDescent="0.45">
      <c r="B257" t="s">
        <v>694</v>
      </c>
      <c r="C257" t="s">
        <v>14</v>
      </c>
      <c r="D257">
        <v>0</v>
      </c>
      <c r="E257" t="s">
        <v>6</v>
      </c>
      <c r="G257" t="s">
        <v>695</v>
      </c>
      <c r="H257" t="s">
        <v>14</v>
      </c>
      <c r="I257">
        <v>8.1235148056100423E-2</v>
      </c>
      <c r="J257" t="s">
        <v>6</v>
      </c>
      <c r="L257" t="s">
        <v>696</v>
      </c>
      <c r="M257" t="s">
        <v>14</v>
      </c>
      <c r="N257">
        <v>0.10287027631420022</v>
      </c>
      <c r="O257" t="s">
        <v>6</v>
      </c>
    </row>
    <row r="258" spans="2:15" x14ac:dyDescent="0.45">
      <c r="B258" t="s">
        <v>694</v>
      </c>
      <c r="C258" t="s">
        <v>15</v>
      </c>
      <c r="D258">
        <v>2.9362299450835954E-3</v>
      </c>
      <c r="E258" t="s">
        <v>6</v>
      </c>
      <c r="G258" t="s">
        <v>695</v>
      </c>
      <c r="H258" t="s">
        <v>15</v>
      </c>
      <c r="I258">
        <v>4.8402930072676223E-2</v>
      </c>
      <c r="J258" t="s">
        <v>6</v>
      </c>
      <c r="L258" t="s">
        <v>696</v>
      </c>
      <c r="M258" t="s">
        <v>15</v>
      </c>
      <c r="N258">
        <v>4.6992787148116826E-2</v>
      </c>
      <c r="O258" t="s">
        <v>6</v>
      </c>
    </row>
    <row r="259" spans="2:15" x14ac:dyDescent="0.45">
      <c r="B259" t="s">
        <v>694</v>
      </c>
      <c r="C259" t="s">
        <v>16</v>
      </c>
      <c r="D259">
        <v>5.6693613103593006E-2</v>
      </c>
      <c r="E259" t="s">
        <v>6</v>
      </c>
      <c r="G259" t="s">
        <v>695</v>
      </c>
      <c r="H259" t="s">
        <v>16</v>
      </c>
      <c r="I259">
        <v>3.9069011203823813E-2</v>
      </c>
      <c r="J259" t="s">
        <v>6</v>
      </c>
      <c r="L259" t="s">
        <v>696</v>
      </c>
      <c r="M259" t="s">
        <v>16</v>
      </c>
      <c r="N259">
        <v>3.5588702080825797E-2</v>
      </c>
      <c r="O259" t="s">
        <v>6</v>
      </c>
    </row>
    <row r="260" spans="2:15" x14ac:dyDescent="0.45">
      <c r="B260" t="s">
        <v>694</v>
      </c>
      <c r="C260" t="s">
        <v>17</v>
      </c>
      <c r="D260">
        <v>9.7197514603585264E-2</v>
      </c>
      <c r="E260" t="s">
        <v>6</v>
      </c>
      <c r="G260" t="s">
        <v>695</v>
      </c>
      <c r="H260" t="s">
        <v>17</v>
      </c>
      <c r="I260">
        <v>4.2001139070938213E-2</v>
      </c>
      <c r="J260" t="s">
        <v>6</v>
      </c>
      <c r="L260" t="s">
        <v>696</v>
      </c>
      <c r="M260" t="s">
        <v>17</v>
      </c>
      <c r="N260">
        <v>3.9164637386062573E-2</v>
      </c>
      <c r="O260" t="s">
        <v>6</v>
      </c>
    </row>
    <row r="261" spans="2:15" x14ac:dyDescent="0.45">
      <c r="B261" t="s">
        <v>694</v>
      </c>
      <c r="C261" t="s">
        <v>18</v>
      </c>
      <c r="D261">
        <v>7.760689272038257E-2</v>
      </c>
      <c r="E261" t="s">
        <v>6</v>
      </c>
      <c r="G261" t="s">
        <v>695</v>
      </c>
      <c r="H261" t="s">
        <v>18</v>
      </c>
      <c r="I261">
        <v>4.2305719748915713E-2</v>
      </c>
      <c r="J261" t="s">
        <v>6</v>
      </c>
      <c r="L261" t="s">
        <v>696</v>
      </c>
      <c r="M261" t="s">
        <v>18</v>
      </c>
      <c r="N261">
        <v>4.1309144368497287E-2</v>
      </c>
      <c r="O261" t="s">
        <v>6</v>
      </c>
    </row>
    <row r="262" spans="2:15" x14ac:dyDescent="0.45">
      <c r="B262" t="s">
        <v>694</v>
      </c>
      <c r="C262" t="s">
        <v>19</v>
      </c>
      <c r="D262">
        <v>2.0162265952522886E-2</v>
      </c>
      <c r="E262" t="s">
        <v>6</v>
      </c>
      <c r="G262" t="s">
        <v>695</v>
      </c>
      <c r="H262" t="s">
        <v>19</v>
      </c>
      <c r="I262">
        <v>3.6667175987380236E-2</v>
      </c>
      <c r="J262" t="s">
        <v>6</v>
      </c>
      <c r="L262" t="s">
        <v>696</v>
      </c>
      <c r="M262" t="s">
        <v>19</v>
      </c>
      <c r="N262">
        <v>4.1231476213713696E-2</v>
      </c>
      <c r="O262" t="s">
        <v>6</v>
      </c>
    </row>
    <row r="263" spans="2:15" x14ac:dyDescent="0.45">
      <c r="B263" t="s">
        <v>694</v>
      </c>
      <c r="C263" t="s">
        <v>20</v>
      </c>
      <c r="D263">
        <v>2.8605403935840615E-5</v>
      </c>
      <c r="E263" t="s">
        <v>6</v>
      </c>
      <c r="G263" t="s">
        <v>695</v>
      </c>
      <c r="H263" t="s">
        <v>20</v>
      </c>
      <c r="I263">
        <v>2.4935630454272197E-2</v>
      </c>
      <c r="J263" t="s">
        <v>6</v>
      </c>
      <c r="L263" t="s">
        <v>696</v>
      </c>
      <c r="M263" t="s">
        <v>20</v>
      </c>
      <c r="N263">
        <v>6.4486657087658522E-2</v>
      </c>
      <c r="O263" t="s">
        <v>6</v>
      </c>
    </row>
    <row r="264" spans="2:15" x14ac:dyDescent="0.45">
      <c r="B264" t="s">
        <v>694</v>
      </c>
      <c r="C264" t="s">
        <v>21</v>
      </c>
      <c r="D264">
        <v>4.8497776279930807E-3</v>
      </c>
      <c r="E264" t="s">
        <v>6</v>
      </c>
      <c r="G264" t="s">
        <v>695</v>
      </c>
      <c r="H264" t="s">
        <v>21</v>
      </c>
      <c r="I264">
        <v>1.3113105330008727E-2</v>
      </c>
      <c r="J264" t="s">
        <v>6</v>
      </c>
      <c r="L264" t="s">
        <v>696</v>
      </c>
      <c r="M264" t="s">
        <v>21</v>
      </c>
      <c r="N264">
        <v>3.1911361408757374E-2</v>
      </c>
      <c r="O264" t="s">
        <v>6</v>
      </c>
    </row>
    <row r="265" spans="2:15" x14ac:dyDescent="0.45">
      <c r="B265" t="s">
        <v>694</v>
      </c>
      <c r="C265" t="s">
        <v>22</v>
      </c>
      <c r="D265">
        <v>6.945450969849809E-2</v>
      </c>
      <c r="E265" t="s">
        <v>6</v>
      </c>
      <c r="G265" t="s">
        <v>695</v>
      </c>
      <c r="H265" t="s">
        <v>22</v>
      </c>
      <c r="I265">
        <v>1.194161686425055E-2</v>
      </c>
      <c r="J265" t="s">
        <v>6</v>
      </c>
      <c r="L265" t="s">
        <v>696</v>
      </c>
      <c r="M265" t="s">
        <v>22</v>
      </c>
      <c r="N265">
        <v>2.6100056387159169E-2</v>
      </c>
      <c r="O265" t="s">
        <v>6</v>
      </c>
    </row>
    <row r="266" spans="2:15" x14ac:dyDescent="0.45">
      <c r="B266" t="s">
        <v>694</v>
      </c>
      <c r="C266" t="s">
        <v>23</v>
      </c>
      <c r="D266">
        <v>0.1149457249826006</v>
      </c>
      <c r="E266" t="s">
        <v>6</v>
      </c>
      <c r="G266" t="s">
        <v>695</v>
      </c>
      <c r="H266" t="s">
        <v>23</v>
      </c>
      <c r="I266">
        <v>1.5228793616288667E-2</v>
      </c>
      <c r="J266" t="s">
        <v>6</v>
      </c>
      <c r="L266" t="s">
        <v>696</v>
      </c>
      <c r="M266" t="s">
        <v>23</v>
      </c>
      <c r="N266">
        <v>2.8994210384046204E-2</v>
      </c>
      <c r="O266" t="s">
        <v>6</v>
      </c>
    </row>
    <row r="267" spans="2:15" x14ac:dyDescent="0.45">
      <c r="B267" t="s">
        <v>694</v>
      </c>
      <c r="C267" t="s">
        <v>24</v>
      </c>
      <c r="D267">
        <v>9.713269859583952E-2</v>
      </c>
      <c r="E267" t="s">
        <v>6</v>
      </c>
      <c r="G267" t="s">
        <v>695</v>
      </c>
      <c r="H267" t="s">
        <v>24</v>
      </c>
      <c r="I267">
        <v>2.0302626502303307E-2</v>
      </c>
      <c r="J267" t="s">
        <v>6</v>
      </c>
      <c r="L267" t="s">
        <v>696</v>
      </c>
      <c r="M267" t="s">
        <v>24</v>
      </c>
      <c r="N267">
        <v>2.9210036151158209E-2</v>
      </c>
      <c r="O267" t="s">
        <v>6</v>
      </c>
    </row>
    <row r="268" spans="2:15" x14ac:dyDescent="0.45">
      <c r="B268" t="s">
        <v>694</v>
      </c>
      <c r="C268" t="s">
        <v>25</v>
      </c>
      <c r="D268">
        <v>2.9305463713268948E-2</v>
      </c>
      <c r="E268" t="s">
        <v>6</v>
      </c>
      <c r="G268" t="s">
        <v>695</v>
      </c>
      <c r="H268" t="s">
        <v>25</v>
      </c>
      <c r="I268">
        <v>1.6440217803786378E-2</v>
      </c>
      <c r="J268" t="s">
        <v>6</v>
      </c>
      <c r="L268" t="s">
        <v>696</v>
      </c>
      <c r="M268" t="s">
        <v>25</v>
      </c>
      <c r="N268">
        <v>2.7433763065937988E-2</v>
      </c>
      <c r="O268" t="s">
        <v>6</v>
      </c>
    </row>
    <row r="269" spans="2:15" x14ac:dyDescent="0.45">
      <c r="B269" t="s">
        <v>694</v>
      </c>
      <c r="C269" t="s">
        <v>26</v>
      </c>
      <c r="D269">
        <v>0</v>
      </c>
      <c r="E269" t="s">
        <v>6</v>
      </c>
      <c r="G269" t="s">
        <v>695</v>
      </c>
      <c r="H269" t="s">
        <v>26</v>
      </c>
      <c r="I269">
        <v>8.4617277705709038E-2</v>
      </c>
      <c r="J269" t="s">
        <v>6</v>
      </c>
      <c r="L269" t="s">
        <v>696</v>
      </c>
      <c r="M269" t="s">
        <v>26</v>
      </c>
      <c r="N269">
        <v>6.1523995213933931E-2</v>
      </c>
      <c r="O269" t="s">
        <v>6</v>
      </c>
    </row>
    <row r="270" spans="2:15" x14ac:dyDescent="0.45">
      <c r="B270" t="s">
        <v>694</v>
      </c>
      <c r="C270" t="s">
        <v>27</v>
      </c>
      <c r="D270">
        <v>8.2205994765699626E-4</v>
      </c>
      <c r="E270" t="s">
        <v>6</v>
      </c>
      <c r="G270" t="s">
        <v>695</v>
      </c>
      <c r="H270" t="s">
        <v>27</v>
      </c>
      <c r="I270">
        <v>4.3566958536781358E-2</v>
      </c>
      <c r="J270" t="s">
        <v>6</v>
      </c>
      <c r="L270" t="s">
        <v>696</v>
      </c>
      <c r="M270" t="s">
        <v>27</v>
      </c>
      <c r="N270">
        <v>2.9653349408568844E-2</v>
      </c>
      <c r="O270" t="s">
        <v>6</v>
      </c>
    </row>
    <row r="271" spans="2:15" x14ac:dyDescent="0.45">
      <c r="B271" t="s">
        <v>694</v>
      </c>
      <c r="C271" t="s">
        <v>28</v>
      </c>
      <c r="D271">
        <v>5.3251221328259588E-2</v>
      </c>
      <c r="E271" t="s">
        <v>6</v>
      </c>
      <c r="G271" t="s">
        <v>695</v>
      </c>
      <c r="H271" t="s">
        <v>28</v>
      </c>
      <c r="I271">
        <v>3.2087209219715432E-2</v>
      </c>
      <c r="J271" t="s">
        <v>6</v>
      </c>
      <c r="L271" t="s">
        <v>696</v>
      </c>
      <c r="M271" t="s">
        <v>28</v>
      </c>
      <c r="N271">
        <v>2.1707211613776846E-2</v>
      </c>
      <c r="O271" t="s">
        <v>6</v>
      </c>
    </row>
    <row r="272" spans="2:15" x14ac:dyDescent="0.45">
      <c r="B272" t="s">
        <v>694</v>
      </c>
      <c r="C272" t="s">
        <v>29</v>
      </c>
      <c r="D272">
        <v>0.10188612872816244</v>
      </c>
      <c r="E272" t="s">
        <v>6</v>
      </c>
      <c r="G272" t="s">
        <v>695</v>
      </c>
      <c r="H272" t="s">
        <v>29</v>
      </c>
      <c r="I272">
        <v>3.4171089836522235E-2</v>
      </c>
      <c r="J272" t="s">
        <v>6</v>
      </c>
      <c r="L272" t="s">
        <v>696</v>
      </c>
      <c r="M272" t="s">
        <v>29</v>
      </c>
      <c r="N272">
        <v>2.3892951550312052E-2</v>
      </c>
      <c r="O272" t="s">
        <v>6</v>
      </c>
    </row>
    <row r="273" spans="2:15" x14ac:dyDescent="0.45">
      <c r="B273" t="s">
        <v>694</v>
      </c>
      <c r="C273" t="s">
        <v>30</v>
      </c>
      <c r="D273">
        <v>7.5206205390462619E-2</v>
      </c>
      <c r="E273" t="s">
        <v>6</v>
      </c>
      <c r="G273" t="s">
        <v>695</v>
      </c>
      <c r="H273" t="s">
        <v>30</v>
      </c>
      <c r="I273">
        <v>3.5625915347340789E-2</v>
      </c>
      <c r="J273" t="s">
        <v>6</v>
      </c>
      <c r="L273" t="s">
        <v>696</v>
      </c>
      <c r="M273" t="s">
        <v>30</v>
      </c>
      <c r="N273">
        <v>2.6417512754750645E-2</v>
      </c>
      <c r="O273" t="s">
        <v>6</v>
      </c>
    </row>
    <row r="274" spans="2:15" x14ac:dyDescent="0.45">
      <c r="B274" t="s">
        <v>694</v>
      </c>
      <c r="C274" t="s">
        <v>31</v>
      </c>
      <c r="D274">
        <v>1.0600738112757668E-2</v>
      </c>
      <c r="E274" t="s">
        <v>6</v>
      </c>
      <c r="G274" t="s">
        <v>695</v>
      </c>
      <c r="H274" t="s">
        <v>31</v>
      </c>
      <c r="I274">
        <v>3.2936320511322503E-2</v>
      </c>
      <c r="J274" t="s">
        <v>6</v>
      </c>
      <c r="L274" t="s">
        <v>696</v>
      </c>
      <c r="M274" t="s">
        <v>31</v>
      </c>
      <c r="N274">
        <v>2.5515013142759065E-2</v>
      </c>
      <c r="O274" t="s">
        <v>6</v>
      </c>
    </row>
    <row r="275" spans="2:15" x14ac:dyDescent="0.45">
      <c r="B275" t="s">
        <v>697</v>
      </c>
      <c r="C275" t="s">
        <v>5</v>
      </c>
      <c r="D275">
        <v>0</v>
      </c>
      <c r="E275" t="s">
        <v>6</v>
      </c>
      <c r="G275" t="s">
        <v>698</v>
      </c>
      <c r="H275" t="s">
        <v>5</v>
      </c>
      <c r="I275">
        <v>0.10375931232608911</v>
      </c>
      <c r="J275" t="s">
        <v>6</v>
      </c>
      <c r="L275" t="s">
        <v>699</v>
      </c>
      <c r="M275" t="s">
        <v>5</v>
      </c>
      <c r="N275">
        <v>0.10736779778438582</v>
      </c>
      <c r="O275" t="s">
        <v>6</v>
      </c>
    </row>
    <row r="276" spans="2:15" x14ac:dyDescent="0.45">
      <c r="B276" t="s">
        <v>697</v>
      </c>
      <c r="C276" t="s">
        <v>9</v>
      </c>
      <c r="D276">
        <v>0</v>
      </c>
      <c r="E276" t="s">
        <v>6</v>
      </c>
      <c r="G276" t="s">
        <v>698</v>
      </c>
      <c r="H276" t="s">
        <v>9</v>
      </c>
      <c r="I276">
        <v>4.8051957497579088E-2</v>
      </c>
      <c r="J276" t="s">
        <v>6</v>
      </c>
      <c r="L276" t="s">
        <v>699</v>
      </c>
      <c r="M276" t="s">
        <v>9</v>
      </c>
      <c r="N276">
        <v>5.1136444448602152E-2</v>
      </c>
      <c r="O276" t="s">
        <v>6</v>
      </c>
    </row>
    <row r="277" spans="2:15" x14ac:dyDescent="0.45">
      <c r="B277" t="s">
        <v>697</v>
      </c>
      <c r="C277" t="s">
        <v>10</v>
      </c>
      <c r="D277">
        <v>2.8493892554966194E-2</v>
      </c>
      <c r="E277" t="s">
        <v>6</v>
      </c>
      <c r="G277" t="s">
        <v>698</v>
      </c>
      <c r="H277" t="s">
        <v>10</v>
      </c>
      <c r="I277">
        <v>3.0982271921078545E-2</v>
      </c>
      <c r="J277" t="s">
        <v>6</v>
      </c>
      <c r="L277" t="s">
        <v>699</v>
      </c>
      <c r="M277" t="s">
        <v>10</v>
      </c>
      <c r="N277">
        <v>3.7162768716424259E-2</v>
      </c>
      <c r="O277" t="s">
        <v>6</v>
      </c>
    </row>
    <row r="278" spans="2:15" x14ac:dyDescent="0.45">
      <c r="B278" t="s">
        <v>697</v>
      </c>
      <c r="C278" t="s">
        <v>11</v>
      </c>
      <c r="D278">
        <v>8.3979345921347204E-2</v>
      </c>
      <c r="E278" t="s">
        <v>6</v>
      </c>
      <c r="G278" t="s">
        <v>698</v>
      </c>
      <c r="H278" t="s">
        <v>11</v>
      </c>
      <c r="I278">
        <v>3.3515783339294399E-2</v>
      </c>
      <c r="J278" t="s">
        <v>6</v>
      </c>
      <c r="L278" t="s">
        <v>699</v>
      </c>
      <c r="M278" t="s">
        <v>11</v>
      </c>
      <c r="N278">
        <v>3.9512387088579966E-2</v>
      </c>
      <c r="O278" t="s">
        <v>6</v>
      </c>
    </row>
    <row r="279" spans="2:15" x14ac:dyDescent="0.45">
      <c r="B279" t="s">
        <v>697</v>
      </c>
      <c r="C279" t="s">
        <v>12</v>
      </c>
      <c r="D279">
        <v>6.9735459737672451E-2</v>
      </c>
      <c r="E279" t="s">
        <v>6</v>
      </c>
      <c r="G279" t="s">
        <v>698</v>
      </c>
      <c r="H279" t="s">
        <v>12</v>
      </c>
      <c r="I279">
        <v>3.8648656119150922E-2</v>
      </c>
      <c r="J279" t="s">
        <v>6</v>
      </c>
      <c r="L279" t="s">
        <v>699</v>
      </c>
      <c r="M279" t="s">
        <v>12</v>
      </c>
      <c r="N279">
        <v>4.1885171637475106E-2</v>
      </c>
      <c r="O279" t="s">
        <v>6</v>
      </c>
    </row>
    <row r="280" spans="2:15" x14ac:dyDescent="0.45">
      <c r="B280" t="s">
        <v>697</v>
      </c>
      <c r="C280" t="s">
        <v>13</v>
      </c>
      <c r="D280">
        <v>1.0849538921113349E-2</v>
      </c>
      <c r="E280" t="s">
        <v>6</v>
      </c>
      <c r="G280" t="s">
        <v>698</v>
      </c>
      <c r="H280" t="s">
        <v>13</v>
      </c>
      <c r="I280">
        <v>3.9564538383992667E-2</v>
      </c>
      <c r="J280" t="s">
        <v>6</v>
      </c>
      <c r="L280" t="s">
        <v>699</v>
      </c>
      <c r="M280" t="s">
        <v>13</v>
      </c>
      <c r="N280">
        <v>4.228943693400522E-2</v>
      </c>
      <c r="O280" t="s">
        <v>6</v>
      </c>
    </row>
    <row r="281" spans="2:15" x14ac:dyDescent="0.45">
      <c r="B281" t="s">
        <v>697</v>
      </c>
      <c r="C281" t="s">
        <v>14</v>
      </c>
      <c r="D281">
        <v>0</v>
      </c>
      <c r="E281" t="s">
        <v>6</v>
      </c>
      <c r="G281" t="s">
        <v>698</v>
      </c>
      <c r="H281" t="s">
        <v>14</v>
      </c>
      <c r="I281">
        <v>0.10029763900327072</v>
      </c>
      <c r="J281" t="s">
        <v>6</v>
      </c>
      <c r="L281" t="s">
        <v>699</v>
      </c>
      <c r="M281" t="s">
        <v>14</v>
      </c>
      <c r="N281">
        <v>9.9182916028422302E-2</v>
      </c>
      <c r="O281" t="s">
        <v>6</v>
      </c>
    </row>
    <row r="282" spans="2:15" x14ac:dyDescent="0.45">
      <c r="B282" t="s">
        <v>697</v>
      </c>
      <c r="C282" t="s">
        <v>15</v>
      </c>
      <c r="D282">
        <v>1.9676077464202764E-3</v>
      </c>
      <c r="E282" t="s">
        <v>6</v>
      </c>
      <c r="G282" t="s">
        <v>698</v>
      </c>
      <c r="H282" t="s">
        <v>15</v>
      </c>
      <c r="I282">
        <v>4.6017176909333629E-2</v>
      </c>
      <c r="J282" t="s">
        <v>6</v>
      </c>
      <c r="L282" t="s">
        <v>699</v>
      </c>
      <c r="M282" t="s">
        <v>15</v>
      </c>
      <c r="N282">
        <v>4.4901398783017507E-2</v>
      </c>
      <c r="O282" t="s">
        <v>6</v>
      </c>
    </row>
    <row r="283" spans="2:15" x14ac:dyDescent="0.45">
      <c r="B283" t="s">
        <v>697</v>
      </c>
      <c r="C283" t="s">
        <v>16</v>
      </c>
      <c r="D283">
        <v>5.2903490470317949E-2</v>
      </c>
      <c r="E283" t="s">
        <v>6</v>
      </c>
      <c r="G283" t="s">
        <v>698</v>
      </c>
      <c r="H283" t="s">
        <v>16</v>
      </c>
      <c r="I283">
        <v>3.4582622440152401E-2</v>
      </c>
      <c r="J283" t="s">
        <v>6</v>
      </c>
      <c r="L283" t="s">
        <v>699</v>
      </c>
      <c r="M283" t="s">
        <v>16</v>
      </c>
      <c r="N283">
        <v>3.4015210742731616E-2</v>
      </c>
      <c r="O283" t="s">
        <v>6</v>
      </c>
    </row>
    <row r="284" spans="2:15" x14ac:dyDescent="0.45">
      <c r="B284" t="s">
        <v>697</v>
      </c>
      <c r="C284" t="s">
        <v>17</v>
      </c>
      <c r="D284">
        <v>0.10038964521375182</v>
      </c>
      <c r="E284" t="s">
        <v>6</v>
      </c>
      <c r="G284" t="s">
        <v>698</v>
      </c>
      <c r="H284" t="s">
        <v>17</v>
      </c>
      <c r="I284">
        <v>4.0759315363891491E-2</v>
      </c>
      <c r="J284" t="s">
        <v>6</v>
      </c>
      <c r="L284" t="s">
        <v>699</v>
      </c>
      <c r="M284" t="s">
        <v>17</v>
      </c>
      <c r="N284">
        <v>3.8628368630248905E-2</v>
      </c>
      <c r="O284" t="s">
        <v>6</v>
      </c>
    </row>
    <row r="285" spans="2:15" x14ac:dyDescent="0.45">
      <c r="B285" t="s">
        <v>697</v>
      </c>
      <c r="C285" t="s">
        <v>18</v>
      </c>
      <c r="D285">
        <v>8.5383150056302204E-2</v>
      </c>
      <c r="E285" t="s">
        <v>6</v>
      </c>
      <c r="G285" t="s">
        <v>698</v>
      </c>
      <c r="H285" t="s">
        <v>18</v>
      </c>
      <c r="I285">
        <v>4.7446931748676424E-2</v>
      </c>
      <c r="J285" t="s">
        <v>6</v>
      </c>
      <c r="L285" t="s">
        <v>699</v>
      </c>
      <c r="M285" t="s">
        <v>18</v>
      </c>
      <c r="N285">
        <v>4.1155103253497007E-2</v>
      </c>
      <c r="O285" t="s">
        <v>6</v>
      </c>
    </row>
    <row r="286" spans="2:15" x14ac:dyDescent="0.45">
      <c r="B286" t="s">
        <v>697</v>
      </c>
      <c r="C286" t="s">
        <v>19</v>
      </c>
      <c r="D286">
        <v>2.3877056363163843E-2</v>
      </c>
      <c r="E286" t="s">
        <v>6</v>
      </c>
      <c r="G286" t="s">
        <v>698</v>
      </c>
      <c r="H286" t="s">
        <v>19</v>
      </c>
      <c r="I286">
        <v>4.4629595964117807E-2</v>
      </c>
      <c r="J286" t="s">
        <v>6</v>
      </c>
      <c r="L286" t="s">
        <v>699</v>
      </c>
      <c r="M286" t="s">
        <v>19</v>
      </c>
      <c r="N286">
        <v>4.1162480092490093E-2</v>
      </c>
      <c r="O286" t="s">
        <v>6</v>
      </c>
    </row>
    <row r="287" spans="2:15" x14ac:dyDescent="0.45">
      <c r="B287" t="s">
        <v>697</v>
      </c>
      <c r="C287" t="s">
        <v>20</v>
      </c>
      <c r="D287">
        <v>6.1200552765255305E-5</v>
      </c>
      <c r="E287" t="s">
        <v>6</v>
      </c>
      <c r="G287" t="s">
        <v>698</v>
      </c>
      <c r="H287" t="s">
        <v>20</v>
      </c>
      <c r="I287">
        <v>7.567602697526768E-2</v>
      </c>
      <c r="J287" t="s">
        <v>6</v>
      </c>
      <c r="L287" t="s">
        <v>699</v>
      </c>
      <c r="M287" t="s">
        <v>20</v>
      </c>
      <c r="N287">
        <v>5.9642172654374936E-2</v>
      </c>
      <c r="O287" t="s">
        <v>6</v>
      </c>
    </row>
    <row r="288" spans="2:15" x14ac:dyDescent="0.45">
      <c r="B288" t="s">
        <v>697</v>
      </c>
      <c r="C288" t="s">
        <v>21</v>
      </c>
      <c r="D288">
        <v>3.2028043953494807E-3</v>
      </c>
      <c r="E288" t="s">
        <v>6</v>
      </c>
      <c r="G288" t="s">
        <v>698</v>
      </c>
      <c r="H288" t="s">
        <v>21</v>
      </c>
      <c r="I288">
        <v>2.6304535493756574E-2</v>
      </c>
      <c r="J288" t="s">
        <v>6</v>
      </c>
      <c r="L288" t="s">
        <v>699</v>
      </c>
      <c r="M288" t="s">
        <v>21</v>
      </c>
      <c r="N288">
        <v>3.0886603282733061E-2</v>
      </c>
      <c r="O288" t="s">
        <v>6</v>
      </c>
    </row>
    <row r="289" spans="2:15" x14ac:dyDescent="0.45">
      <c r="B289" t="s">
        <v>697</v>
      </c>
      <c r="C289" t="s">
        <v>22</v>
      </c>
      <c r="D289">
        <v>6.1954305577424082E-2</v>
      </c>
      <c r="E289" t="s">
        <v>6</v>
      </c>
      <c r="G289" t="s">
        <v>698</v>
      </c>
      <c r="H289" t="s">
        <v>22</v>
      </c>
      <c r="I289">
        <v>9.688400426800586E-3</v>
      </c>
      <c r="J289" t="s">
        <v>6</v>
      </c>
      <c r="L289" t="s">
        <v>699</v>
      </c>
      <c r="M289" t="s">
        <v>22</v>
      </c>
      <c r="N289">
        <v>2.4517133672937282E-2</v>
      </c>
      <c r="O289" t="s">
        <v>6</v>
      </c>
    </row>
    <row r="290" spans="2:15" x14ac:dyDescent="0.45">
      <c r="B290" t="s">
        <v>697</v>
      </c>
      <c r="C290" t="s">
        <v>23</v>
      </c>
      <c r="D290">
        <v>0.11162183892700554</v>
      </c>
      <c r="E290" t="s">
        <v>6</v>
      </c>
      <c r="G290" t="s">
        <v>698</v>
      </c>
      <c r="H290" t="s">
        <v>23</v>
      </c>
      <c r="I290">
        <v>1.0049493337755332E-2</v>
      </c>
      <c r="J290" t="s">
        <v>6</v>
      </c>
      <c r="L290" t="s">
        <v>699</v>
      </c>
      <c r="M290" t="s">
        <v>23</v>
      </c>
      <c r="N290">
        <v>2.4885776712196942E-2</v>
      </c>
      <c r="O290" t="s">
        <v>6</v>
      </c>
    </row>
    <row r="291" spans="2:15" x14ac:dyDescent="0.45">
      <c r="B291" t="s">
        <v>697</v>
      </c>
      <c r="C291" t="s">
        <v>24</v>
      </c>
      <c r="D291">
        <v>9.9667931530872958E-2</v>
      </c>
      <c r="E291" t="s">
        <v>6</v>
      </c>
      <c r="G291" t="s">
        <v>698</v>
      </c>
      <c r="H291" t="s">
        <v>24</v>
      </c>
      <c r="I291">
        <v>1.4764305638892802E-2</v>
      </c>
      <c r="J291" t="s">
        <v>6</v>
      </c>
      <c r="L291" t="s">
        <v>699</v>
      </c>
      <c r="M291" t="s">
        <v>24</v>
      </c>
      <c r="N291">
        <v>2.3838290642976493E-2</v>
      </c>
      <c r="O291" t="s">
        <v>6</v>
      </c>
    </row>
    <row r="292" spans="2:15" x14ac:dyDescent="0.45">
      <c r="B292" t="s">
        <v>697</v>
      </c>
      <c r="C292" t="s">
        <v>25</v>
      </c>
      <c r="D292">
        <v>3.2770667475404185E-2</v>
      </c>
      <c r="E292" t="s">
        <v>6</v>
      </c>
      <c r="G292" t="s">
        <v>698</v>
      </c>
      <c r="H292" t="s">
        <v>25</v>
      </c>
      <c r="I292">
        <v>1.9559340214329458E-2</v>
      </c>
      <c r="J292" t="s">
        <v>6</v>
      </c>
      <c r="L292" t="s">
        <v>699</v>
      </c>
      <c r="M292" t="s">
        <v>25</v>
      </c>
      <c r="N292">
        <v>2.3090317731804366E-2</v>
      </c>
      <c r="O292" t="s">
        <v>6</v>
      </c>
    </row>
    <row r="293" spans="2:15" x14ac:dyDescent="0.45">
      <c r="B293" t="s">
        <v>697</v>
      </c>
      <c r="C293" t="s">
        <v>26</v>
      </c>
      <c r="D293">
        <v>0</v>
      </c>
      <c r="E293" t="s">
        <v>6</v>
      </c>
      <c r="G293" t="s">
        <v>698</v>
      </c>
      <c r="H293" t="s">
        <v>26</v>
      </c>
      <c r="I293">
        <v>8.7908791950621887E-2</v>
      </c>
      <c r="J293" t="s">
        <v>6</v>
      </c>
      <c r="L293" t="s">
        <v>699</v>
      </c>
      <c r="M293" t="s">
        <v>26</v>
      </c>
      <c r="N293">
        <v>6.4073450868319254E-2</v>
      </c>
      <c r="O293" t="s">
        <v>6</v>
      </c>
    </row>
    <row r="294" spans="2:15" x14ac:dyDescent="0.45">
      <c r="B294" t="s">
        <v>697</v>
      </c>
      <c r="C294" t="s">
        <v>27</v>
      </c>
      <c r="D294">
        <v>3.4622998040748294E-4</v>
      </c>
      <c r="E294" t="s">
        <v>6</v>
      </c>
      <c r="G294" t="s">
        <v>698</v>
      </c>
      <c r="H294" t="s">
        <v>27</v>
      </c>
      <c r="I294">
        <v>4.002021175900624E-2</v>
      </c>
      <c r="J294" t="s">
        <v>6</v>
      </c>
      <c r="L294" t="s">
        <v>699</v>
      </c>
      <c r="M294" t="s">
        <v>27</v>
      </c>
      <c r="N294">
        <v>3.0918337982646909E-2</v>
      </c>
      <c r="O294" t="s">
        <v>6</v>
      </c>
    </row>
    <row r="295" spans="2:15" x14ac:dyDescent="0.45">
      <c r="B295" t="s">
        <v>697</v>
      </c>
      <c r="C295" t="s">
        <v>28</v>
      </c>
      <c r="D295">
        <v>4.6666164935607775E-2</v>
      </c>
      <c r="E295" t="s">
        <v>6</v>
      </c>
      <c r="G295" t="s">
        <v>698</v>
      </c>
      <c r="H295" t="s">
        <v>28</v>
      </c>
      <c r="I295">
        <v>2.4033831910815456E-2</v>
      </c>
      <c r="J295" t="s">
        <v>6</v>
      </c>
      <c r="L295" t="s">
        <v>699</v>
      </c>
      <c r="M295" t="s">
        <v>28</v>
      </c>
      <c r="N295">
        <v>2.3353716828750707E-2</v>
      </c>
      <c r="O295" t="s">
        <v>6</v>
      </c>
    </row>
    <row r="296" spans="2:15" x14ac:dyDescent="0.45">
      <c r="B296" t="s">
        <v>697</v>
      </c>
      <c r="C296" t="s">
        <v>29</v>
      </c>
      <c r="D296">
        <v>9.7209548638847218E-2</v>
      </c>
      <c r="E296" t="s">
        <v>6</v>
      </c>
      <c r="G296" t="s">
        <v>698</v>
      </c>
      <c r="H296" t="s">
        <v>29</v>
      </c>
      <c r="I296">
        <v>2.5768453953749864E-2</v>
      </c>
      <c r="J296" t="s">
        <v>6</v>
      </c>
      <c r="L296" t="s">
        <v>699</v>
      </c>
      <c r="M296" t="s">
        <v>29</v>
      </c>
      <c r="N296">
        <v>2.4452161295847621E-2</v>
      </c>
      <c r="O296" t="s">
        <v>6</v>
      </c>
    </row>
    <row r="297" spans="2:15" x14ac:dyDescent="0.45">
      <c r="B297" t="s">
        <v>697</v>
      </c>
      <c r="C297" t="s">
        <v>30</v>
      </c>
      <c r="D297">
        <v>7.6566590083436845E-2</v>
      </c>
      <c r="E297" t="s">
        <v>6</v>
      </c>
      <c r="G297" t="s">
        <v>698</v>
      </c>
      <c r="H297" t="s">
        <v>30</v>
      </c>
      <c r="I297">
        <v>2.7517573903701752E-2</v>
      </c>
      <c r="J297" t="s">
        <v>6</v>
      </c>
      <c r="L297" t="s">
        <v>699</v>
      </c>
      <c r="M297" t="s">
        <v>30</v>
      </c>
      <c r="N297">
        <v>2.5620473615280956E-2</v>
      </c>
      <c r="O297" t="s">
        <v>6</v>
      </c>
    </row>
    <row r="298" spans="2:15" x14ac:dyDescent="0.45">
      <c r="B298" t="s">
        <v>697</v>
      </c>
      <c r="C298" t="s">
        <v>31</v>
      </c>
      <c r="D298">
        <v>1.2353530917825838E-2</v>
      </c>
      <c r="E298" t="s">
        <v>6</v>
      </c>
      <c r="G298" t="s">
        <v>698</v>
      </c>
      <c r="H298" t="s">
        <v>31</v>
      </c>
      <c r="I298">
        <v>3.0453233418677391E-2</v>
      </c>
      <c r="J298" t="s">
        <v>6</v>
      </c>
      <c r="L298" t="s">
        <v>699</v>
      </c>
      <c r="M298" t="s">
        <v>31</v>
      </c>
      <c r="N298">
        <v>2.6322080572255734E-2</v>
      </c>
      <c r="O298" t="s">
        <v>6</v>
      </c>
    </row>
    <row r="299" spans="2:15" x14ac:dyDescent="0.45">
      <c r="B299" t="s">
        <v>700</v>
      </c>
      <c r="C299" t="s">
        <v>5</v>
      </c>
      <c r="D299">
        <v>0</v>
      </c>
      <c r="E299" t="s">
        <v>6</v>
      </c>
      <c r="G299" t="s">
        <v>701</v>
      </c>
      <c r="H299" t="s">
        <v>5</v>
      </c>
      <c r="I299">
        <v>0.11633969342772156</v>
      </c>
      <c r="J299" t="s">
        <v>6</v>
      </c>
      <c r="L299" t="s">
        <v>702</v>
      </c>
      <c r="M299" t="s">
        <v>5</v>
      </c>
      <c r="N299">
        <v>0.10253650321331817</v>
      </c>
      <c r="O299" t="s">
        <v>6</v>
      </c>
    </row>
    <row r="300" spans="2:15" x14ac:dyDescent="0.45">
      <c r="B300" t="s">
        <v>700</v>
      </c>
      <c r="C300" t="s">
        <v>9</v>
      </c>
      <c r="D300">
        <v>0</v>
      </c>
      <c r="E300" t="s">
        <v>6</v>
      </c>
      <c r="G300" t="s">
        <v>701</v>
      </c>
      <c r="H300" t="s">
        <v>9</v>
      </c>
      <c r="I300">
        <v>5.5404286620288984E-2</v>
      </c>
      <c r="J300" t="s">
        <v>6</v>
      </c>
      <c r="L300" t="s">
        <v>702</v>
      </c>
      <c r="M300" t="s">
        <v>9</v>
      </c>
      <c r="N300">
        <v>5.056718263884212E-2</v>
      </c>
      <c r="O300" t="s">
        <v>6</v>
      </c>
    </row>
    <row r="301" spans="2:15" x14ac:dyDescent="0.45">
      <c r="B301" t="s">
        <v>700</v>
      </c>
      <c r="C301" t="s">
        <v>10</v>
      </c>
      <c r="D301">
        <v>2.7436640209357877E-2</v>
      </c>
      <c r="E301" t="s">
        <v>6</v>
      </c>
      <c r="G301" t="s">
        <v>701</v>
      </c>
      <c r="H301" t="s">
        <v>10</v>
      </c>
      <c r="I301">
        <v>3.5358025325188579E-2</v>
      </c>
      <c r="J301" t="s">
        <v>6</v>
      </c>
      <c r="L301" t="s">
        <v>702</v>
      </c>
      <c r="M301" t="s">
        <v>10</v>
      </c>
      <c r="N301">
        <v>3.3230645043554746E-2</v>
      </c>
      <c r="O301" t="s">
        <v>6</v>
      </c>
    </row>
    <row r="302" spans="2:15" x14ac:dyDescent="0.45">
      <c r="B302" t="s">
        <v>700</v>
      </c>
      <c r="C302" t="s">
        <v>11</v>
      </c>
      <c r="D302">
        <v>8.3480418734346182E-2</v>
      </c>
      <c r="E302" t="s">
        <v>6</v>
      </c>
      <c r="G302" t="s">
        <v>701</v>
      </c>
      <c r="H302" t="s">
        <v>11</v>
      </c>
      <c r="I302">
        <v>4.0446822037401312E-2</v>
      </c>
      <c r="J302" t="s">
        <v>6</v>
      </c>
      <c r="L302" t="s">
        <v>702</v>
      </c>
      <c r="M302" t="s">
        <v>11</v>
      </c>
      <c r="N302">
        <v>2.9201377604534319E-2</v>
      </c>
      <c r="O302" t="s">
        <v>6</v>
      </c>
    </row>
    <row r="303" spans="2:15" x14ac:dyDescent="0.45">
      <c r="B303" t="s">
        <v>700</v>
      </c>
      <c r="C303" t="s">
        <v>12</v>
      </c>
      <c r="D303">
        <v>6.9679443047915748E-2</v>
      </c>
      <c r="E303" t="s">
        <v>6</v>
      </c>
      <c r="G303" t="s">
        <v>701</v>
      </c>
      <c r="H303" t="s">
        <v>12</v>
      </c>
      <c r="I303">
        <v>4.2292045481195195E-2</v>
      </c>
      <c r="J303" t="s">
        <v>6</v>
      </c>
      <c r="L303" t="s">
        <v>702</v>
      </c>
      <c r="M303" t="s">
        <v>12</v>
      </c>
      <c r="N303">
        <v>3.0417954541764252E-2</v>
      </c>
      <c r="O303" t="s">
        <v>6</v>
      </c>
    </row>
    <row r="304" spans="2:15" x14ac:dyDescent="0.45">
      <c r="B304" t="s">
        <v>700</v>
      </c>
      <c r="C304" t="s">
        <v>13</v>
      </c>
      <c r="D304">
        <v>1.1164828370644376E-2</v>
      </c>
      <c r="E304" t="s">
        <v>6</v>
      </c>
      <c r="G304" t="s">
        <v>701</v>
      </c>
      <c r="H304" t="s">
        <v>13</v>
      </c>
      <c r="I304">
        <v>4.201256425550056E-2</v>
      </c>
      <c r="J304" t="s">
        <v>6</v>
      </c>
      <c r="L304" t="s">
        <v>702</v>
      </c>
      <c r="M304" t="s">
        <v>13</v>
      </c>
      <c r="N304">
        <v>3.526126502001805E-2</v>
      </c>
      <c r="O304" t="s">
        <v>6</v>
      </c>
    </row>
    <row r="305" spans="2:15" x14ac:dyDescent="0.45">
      <c r="B305" t="s">
        <v>700</v>
      </c>
      <c r="C305" t="s">
        <v>14</v>
      </c>
      <c r="D305">
        <v>2.7567092172583214E-6</v>
      </c>
      <c r="E305" t="s">
        <v>6</v>
      </c>
      <c r="G305" t="s">
        <v>701</v>
      </c>
      <c r="H305" t="s">
        <v>14</v>
      </c>
      <c r="I305">
        <v>0.10056243453595597</v>
      </c>
      <c r="J305" t="s">
        <v>6</v>
      </c>
      <c r="L305" t="s">
        <v>702</v>
      </c>
      <c r="M305" t="s">
        <v>14</v>
      </c>
      <c r="N305">
        <v>0.1182929554988808</v>
      </c>
      <c r="O305" t="s">
        <v>6</v>
      </c>
    </row>
    <row r="306" spans="2:15" x14ac:dyDescent="0.45">
      <c r="B306" t="s">
        <v>700</v>
      </c>
      <c r="C306" t="s">
        <v>15</v>
      </c>
      <c r="D306">
        <v>1.906785806740753E-3</v>
      </c>
      <c r="E306" t="s">
        <v>6</v>
      </c>
      <c r="G306" t="s">
        <v>701</v>
      </c>
      <c r="H306" t="s">
        <v>15</v>
      </c>
      <c r="I306">
        <v>4.0600484786622405E-2</v>
      </c>
      <c r="J306" t="s">
        <v>6</v>
      </c>
      <c r="L306" t="s">
        <v>702</v>
      </c>
      <c r="M306" t="s">
        <v>15</v>
      </c>
      <c r="N306">
        <v>4.9345465094258703E-2</v>
      </c>
      <c r="O306" t="s">
        <v>6</v>
      </c>
    </row>
    <row r="307" spans="2:15" x14ac:dyDescent="0.45">
      <c r="B307" t="s">
        <v>700</v>
      </c>
      <c r="C307" t="s">
        <v>16</v>
      </c>
      <c r="D307">
        <v>5.201548706029608E-2</v>
      </c>
      <c r="E307" t="s">
        <v>6</v>
      </c>
      <c r="G307" t="s">
        <v>701</v>
      </c>
      <c r="H307" t="s">
        <v>16</v>
      </c>
      <c r="I307">
        <v>3.036749108883139E-2</v>
      </c>
      <c r="J307" t="s">
        <v>6</v>
      </c>
      <c r="L307" t="s">
        <v>702</v>
      </c>
      <c r="M307" t="s">
        <v>16</v>
      </c>
      <c r="N307">
        <v>2.9998288376662009E-2</v>
      </c>
      <c r="O307" t="s">
        <v>6</v>
      </c>
    </row>
    <row r="308" spans="2:15" x14ac:dyDescent="0.45">
      <c r="B308" t="s">
        <v>700</v>
      </c>
      <c r="C308" t="s">
        <v>17</v>
      </c>
      <c r="D308">
        <v>9.7207529622885022E-2</v>
      </c>
      <c r="E308" t="s">
        <v>6</v>
      </c>
      <c r="G308" t="s">
        <v>701</v>
      </c>
      <c r="H308" t="s">
        <v>17</v>
      </c>
      <c r="I308">
        <v>4.0258214271878957E-2</v>
      </c>
      <c r="J308" t="s">
        <v>6</v>
      </c>
      <c r="L308" t="s">
        <v>702</v>
      </c>
      <c r="M308" t="s">
        <v>17</v>
      </c>
      <c r="N308">
        <v>3.6485593643938059E-2</v>
      </c>
      <c r="O308" t="s">
        <v>6</v>
      </c>
    </row>
    <row r="309" spans="2:15" x14ac:dyDescent="0.45">
      <c r="B309" t="s">
        <v>700</v>
      </c>
      <c r="C309" t="s">
        <v>18</v>
      </c>
      <c r="D309">
        <v>8.4671643109659411E-2</v>
      </c>
      <c r="E309" t="s">
        <v>6</v>
      </c>
      <c r="G309" t="s">
        <v>701</v>
      </c>
      <c r="H309" t="s">
        <v>18</v>
      </c>
      <c r="I309">
        <v>4.8190314598296417E-2</v>
      </c>
      <c r="J309" t="s">
        <v>6</v>
      </c>
      <c r="L309" t="s">
        <v>702</v>
      </c>
      <c r="M309" t="s">
        <v>18</v>
      </c>
      <c r="N309">
        <v>4.9509217328717048E-2</v>
      </c>
      <c r="O309" t="s">
        <v>6</v>
      </c>
    </row>
    <row r="310" spans="2:15" x14ac:dyDescent="0.45">
      <c r="B310" t="s">
        <v>700</v>
      </c>
      <c r="C310" t="s">
        <v>19</v>
      </c>
      <c r="D310">
        <v>2.4117039502696273E-2</v>
      </c>
      <c r="E310" t="s">
        <v>6</v>
      </c>
      <c r="G310" t="s">
        <v>701</v>
      </c>
      <c r="H310" t="s">
        <v>19</v>
      </c>
      <c r="I310">
        <v>4.342770514679449E-2</v>
      </c>
      <c r="J310" t="s">
        <v>6</v>
      </c>
      <c r="L310" t="s">
        <v>702</v>
      </c>
      <c r="M310" t="s">
        <v>19</v>
      </c>
      <c r="N310">
        <v>5.0156109499130498E-2</v>
      </c>
      <c r="O310" t="s">
        <v>6</v>
      </c>
    </row>
    <row r="311" spans="2:15" x14ac:dyDescent="0.45">
      <c r="B311" t="s">
        <v>700</v>
      </c>
      <c r="C311" t="s">
        <v>20</v>
      </c>
      <c r="D311">
        <v>1.138133012575341E-4</v>
      </c>
      <c r="E311" t="s">
        <v>6</v>
      </c>
      <c r="G311" t="s">
        <v>701</v>
      </c>
      <c r="H311" t="s">
        <v>20</v>
      </c>
      <c r="I311">
        <v>7.2503515276886268E-2</v>
      </c>
      <c r="J311" t="s">
        <v>6</v>
      </c>
      <c r="L311" t="s">
        <v>702</v>
      </c>
      <c r="M311" t="s">
        <v>20</v>
      </c>
      <c r="N311">
        <v>7.6301444413055378E-2</v>
      </c>
      <c r="O311" t="s">
        <v>6</v>
      </c>
    </row>
    <row r="312" spans="2:15" x14ac:dyDescent="0.45">
      <c r="B312" t="s">
        <v>700</v>
      </c>
      <c r="C312" t="s">
        <v>21</v>
      </c>
      <c r="D312">
        <v>3.0134376461102039E-3</v>
      </c>
      <c r="E312" t="s">
        <v>6</v>
      </c>
      <c r="G312" t="s">
        <v>701</v>
      </c>
      <c r="H312" t="s">
        <v>21</v>
      </c>
      <c r="I312">
        <v>1.80773953811026E-2</v>
      </c>
      <c r="J312" t="s">
        <v>6</v>
      </c>
      <c r="L312" t="s">
        <v>702</v>
      </c>
      <c r="M312" t="s">
        <v>21</v>
      </c>
      <c r="N312">
        <v>2.5859160854294926E-2</v>
      </c>
      <c r="O312" t="s">
        <v>6</v>
      </c>
    </row>
    <row r="313" spans="2:15" x14ac:dyDescent="0.45">
      <c r="B313" t="s">
        <v>700</v>
      </c>
      <c r="C313" t="s">
        <v>22</v>
      </c>
      <c r="D313">
        <v>6.314803622408699E-2</v>
      </c>
      <c r="E313" t="s">
        <v>6</v>
      </c>
      <c r="G313" t="s">
        <v>701</v>
      </c>
      <c r="H313" t="s">
        <v>22</v>
      </c>
      <c r="I313">
        <v>7.1173093674455328E-3</v>
      </c>
      <c r="J313" t="s">
        <v>6</v>
      </c>
      <c r="L313" t="s">
        <v>702</v>
      </c>
      <c r="M313" t="s">
        <v>22</v>
      </c>
      <c r="N313">
        <v>9.0388885733775938E-3</v>
      </c>
      <c r="O313" t="s">
        <v>6</v>
      </c>
    </row>
    <row r="314" spans="2:15" x14ac:dyDescent="0.45">
      <c r="B314" t="s">
        <v>700</v>
      </c>
      <c r="C314" t="s">
        <v>23</v>
      </c>
      <c r="D314">
        <v>0.11400970317891901</v>
      </c>
      <c r="E314" t="s">
        <v>6</v>
      </c>
      <c r="G314" t="s">
        <v>701</v>
      </c>
      <c r="H314" t="s">
        <v>23</v>
      </c>
      <c r="I314">
        <v>1.0180426806326545E-2</v>
      </c>
      <c r="J314" t="s">
        <v>6</v>
      </c>
      <c r="L314" t="s">
        <v>702</v>
      </c>
      <c r="M314" t="s">
        <v>23</v>
      </c>
      <c r="N314">
        <v>1.2643503652035655E-2</v>
      </c>
      <c r="O314" t="s">
        <v>6</v>
      </c>
    </row>
    <row r="315" spans="2:15" x14ac:dyDescent="0.45">
      <c r="B315" t="s">
        <v>700</v>
      </c>
      <c r="C315" t="s">
        <v>24</v>
      </c>
      <c r="D315">
        <v>0.10130558096045765</v>
      </c>
      <c r="E315" t="s">
        <v>6</v>
      </c>
      <c r="G315" t="s">
        <v>701</v>
      </c>
      <c r="H315" t="s">
        <v>24</v>
      </c>
      <c r="I315">
        <v>1.5598079670900704E-2</v>
      </c>
      <c r="J315" t="s">
        <v>6</v>
      </c>
      <c r="L315" t="s">
        <v>702</v>
      </c>
      <c r="M315" t="s">
        <v>24</v>
      </c>
      <c r="N315">
        <v>2.9686680479833905E-2</v>
      </c>
      <c r="O315" t="s">
        <v>6</v>
      </c>
    </row>
    <row r="316" spans="2:15" x14ac:dyDescent="0.45">
      <c r="B316" t="s">
        <v>700</v>
      </c>
      <c r="C316" t="s">
        <v>25</v>
      </c>
      <c r="D316">
        <v>3.4225914123968366E-2</v>
      </c>
      <c r="E316" t="s">
        <v>6</v>
      </c>
      <c r="G316" t="s">
        <v>701</v>
      </c>
      <c r="H316" t="s">
        <v>25</v>
      </c>
      <c r="I316">
        <v>2.2559390529124115E-2</v>
      </c>
      <c r="J316" t="s">
        <v>6</v>
      </c>
      <c r="L316" t="s">
        <v>702</v>
      </c>
      <c r="M316" t="s">
        <v>25</v>
      </c>
      <c r="N316">
        <v>3.5661538082243316E-2</v>
      </c>
      <c r="O316" t="s">
        <v>6</v>
      </c>
    </row>
    <row r="317" spans="2:15" x14ac:dyDescent="0.45">
      <c r="B317" t="s">
        <v>700</v>
      </c>
      <c r="C317" t="s">
        <v>26</v>
      </c>
      <c r="D317">
        <v>0</v>
      </c>
      <c r="E317" t="s">
        <v>6</v>
      </c>
      <c r="G317" t="s">
        <v>701</v>
      </c>
      <c r="H317" t="s">
        <v>26</v>
      </c>
      <c r="I317">
        <v>7.5941409154207801E-2</v>
      </c>
      <c r="J317" t="s">
        <v>6</v>
      </c>
      <c r="L317" t="s">
        <v>702</v>
      </c>
      <c r="M317" t="s">
        <v>26</v>
      </c>
      <c r="N317">
        <v>7.1351415945577229E-2</v>
      </c>
      <c r="O317" t="s">
        <v>6</v>
      </c>
    </row>
    <row r="318" spans="2:15" x14ac:dyDescent="0.45">
      <c r="B318" t="s">
        <v>700</v>
      </c>
      <c r="C318" t="s">
        <v>27</v>
      </c>
      <c r="D318">
        <v>2.8485012037000282E-4</v>
      </c>
      <c r="E318" t="s">
        <v>6</v>
      </c>
      <c r="G318" t="s">
        <v>701</v>
      </c>
      <c r="H318" t="s">
        <v>27</v>
      </c>
      <c r="I318">
        <v>3.1790227734586528E-2</v>
      </c>
      <c r="J318" t="s">
        <v>6</v>
      </c>
      <c r="L318" t="s">
        <v>702</v>
      </c>
      <c r="M318" t="s">
        <v>27</v>
      </c>
      <c r="N318">
        <v>3.3053114005944843E-2</v>
      </c>
      <c r="O318" t="s">
        <v>6</v>
      </c>
    </row>
    <row r="319" spans="2:15" x14ac:dyDescent="0.45">
      <c r="B319" t="s">
        <v>700</v>
      </c>
      <c r="C319" t="s">
        <v>28</v>
      </c>
      <c r="D319">
        <v>4.5926197642612868E-2</v>
      </c>
      <c r="E319" t="s">
        <v>6</v>
      </c>
      <c r="G319" t="s">
        <v>701</v>
      </c>
      <c r="H319" t="s">
        <v>28</v>
      </c>
      <c r="I319">
        <v>2.0373626300617845E-2</v>
      </c>
      <c r="J319" t="s">
        <v>6</v>
      </c>
      <c r="L319" t="s">
        <v>702</v>
      </c>
      <c r="M319" t="s">
        <v>28</v>
      </c>
      <c r="N319">
        <v>2.1994513087973289E-2</v>
      </c>
      <c r="O319" t="s">
        <v>6</v>
      </c>
    </row>
    <row r="320" spans="2:15" x14ac:dyDescent="0.45">
      <c r="B320" t="s">
        <v>700</v>
      </c>
      <c r="C320" t="s">
        <v>29</v>
      </c>
      <c r="D320">
        <v>9.6784673402518812E-2</v>
      </c>
      <c r="E320" t="s">
        <v>6</v>
      </c>
      <c r="G320" t="s">
        <v>701</v>
      </c>
      <c r="H320" t="s">
        <v>29</v>
      </c>
      <c r="I320">
        <v>2.7958616794013538E-2</v>
      </c>
      <c r="J320" t="s">
        <v>6</v>
      </c>
      <c r="L320" t="s">
        <v>702</v>
      </c>
      <c r="M320" t="s">
        <v>29</v>
      </c>
      <c r="N320">
        <v>1.9762552687331264E-2</v>
      </c>
      <c r="O320" t="s">
        <v>6</v>
      </c>
    </row>
    <row r="321" spans="2:15" x14ac:dyDescent="0.45">
      <c r="B321" t="s">
        <v>700</v>
      </c>
      <c r="C321" t="s">
        <v>30</v>
      </c>
      <c r="D321">
        <v>7.6878991545049333E-2</v>
      </c>
      <c r="E321" t="s">
        <v>6</v>
      </c>
      <c r="G321" t="s">
        <v>701</v>
      </c>
      <c r="H321" t="s">
        <v>30</v>
      </c>
      <c r="I321">
        <v>3.2038632458583356E-2</v>
      </c>
      <c r="J321" t="s">
        <v>6</v>
      </c>
      <c r="L321" t="s">
        <v>702</v>
      </c>
      <c r="M321" t="s">
        <v>30</v>
      </c>
      <c r="N321">
        <v>2.2535513665321916E-2</v>
      </c>
      <c r="O321" t="s">
        <v>6</v>
      </c>
    </row>
    <row r="322" spans="2:15" x14ac:dyDescent="0.45">
      <c r="B322" t="s">
        <v>700</v>
      </c>
      <c r="C322" t="s">
        <v>31</v>
      </c>
      <c r="D322">
        <v>1.2626229680890999E-2</v>
      </c>
      <c r="E322" t="s">
        <v>6</v>
      </c>
      <c r="G322" t="s">
        <v>701</v>
      </c>
      <c r="H322" t="s">
        <v>31</v>
      </c>
      <c r="I322">
        <v>3.0601288950524108E-2</v>
      </c>
      <c r="J322" t="s">
        <v>6</v>
      </c>
      <c r="L322" t="s">
        <v>702</v>
      </c>
      <c r="M322" t="s">
        <v>31</v>
      </c>
      <c r="N322">
        <v>2.7109117049390303E-2</v>
      </c>
      <c r="O322" t="s">
        <v>6</v>
      </c>
    </row>
    <row r="323" spans="2:15" x14ac:dyDescent="0.45">
      <c r="B323" t="s">
        <v>703</v>
      </c>
      <c r="C323" t="s">
        <v>5</v>
      </c>
      <c r="D323">
        <v>0</v>
      </c>
      <c r="E323" t="s">
        <v>6</v>
      </c>
      <c r="G323" t="s">
        <v>704</v>
      </c>
      <c r="H323" t="s">
        <v>5</v>
      </c>
      <c r="I323">
        <v>0.10283311944307477</v>
      </c>
      <c r="J323" t="s">
        <v>6</v>
      </c>
      <c r="L323" t="s">
        <v>705</v>
      </c>
      <c r="M323" t="s">
        <v>5</v>
      </c>
      <c r="N323">
        <v>9.3268195800416953E-2</v>
      </c>
      <c r="O323" t="s">
        <v>6</v>
      </c>
    </row>
    <row r="324" spans="2:15" x14ac:dyDescent="0.45">
      <c r="B324" t="s">
        <v>703</v>
      </c>
      <c r="C324" t="s">
        <v>9</v>
      </c>
      <c r="D324">
        <v>0</v>
      </c>
      <c r="E324" t="s">
        <v>6</v>
      </c>
      <c r="G324" t="s">
        <v>704</v>
      </c>
      <c r="H324" t="s">
        <v>9</v>
      </c>
      <c r="I324">
        <v>4.9395281526442271E-2</v>
      </c>
      <c r="J324" t="s">
        <v>6</v>
      </c>
      <c r="L324" t="s">
        <v>705</v>
      </c>
      <c r="M324" t="s">
        <v>9</v>
      </c>
      <c r="N324">
        <v>4.5155433000352296E-2</v>
      </c>
      <c r="O324" t="s">
        <v>6</v>
      </c>
    </row>
    <row r="325" spans="2:15" x14ac:dyDescent="0.45">
      <c r="B325" t="s">
        <v>703</v>
      </c>
      <c r="C325" t="s">
        <v>10</v>
      </c>
      <c r="D325">
        <v>2.3958168816697118E-2</v>
      </c>
      <c r="E325" t="s">
        <v>6</v>
      </c>
      <c r="G325" t="s">
        <v>704</v>
      </c>
      <c r="H325" t="s">
        <v>10</v>
      </c>
      <c r="I325">
        <v>3.2795959852443338E-2</v>
      </c>
      <c r="J325" t="s">
        <v>6</v>
      </c>
      <c r="L325" t="s">
        <v>705</v>
      </c>
      <c r="M325" t="s">
        <v>10</v>
      </c>
      <c r="N325">
        <v>3.1273248616639833E-2</v>
      </c>
      <c r="O325" t="s">
        <v>6</v>
      </c>
    </row>
    <row r="326" spans="2:15" x14ac:dyDescent="0.45">
      <c r="B326" t="s">
        <v>703</v>
      </c>
      <c r="C326" t="s">
        <v>11</v>
      </c>
      <c r="D326">
        <v>7.8465578606935954E-2</v>
      </c>
      <c r="E326" t="s">
        <v>6</v>
      </c>
      <c r="G326" t="s">
        <v>704</v>
      </c>
      <c r="H326" t="s">
        <v>11</v>
      </c>
      <c r="I326">
        <v>3.574656858042715E-2</v>
      </c>
      <c r="J326" t="s">
        <v>6</v>
      </c>
      <c r="L326" t="s">
        <v>705</v>
      </c>
      <c r="M326" t="s">
        <v>11</v>
      </c>
      <c r="N326">
        <v>3.0370944339463905E-2</v>
      </c>
      <c r="O326" t="s">
        <v>6</v>
      </c>
    </row>
    <row r="327" spans="2:15" x14ac:dyDescent="0.45">
      <c r="B327" t="s">
        <v>703</v>
      </c>
      <c r="C327" t="s">
        <v>12</v>
      </c>
      <c r="D327">
        <v>6.5181874061689668E-2</v>
      </c>
      <c r="E327" t="s">
        <v>6</v>
      </c>
      <c r="G327" t="s">
        <v>704</v>
      </c>
      <c r="H327" t="s">
        <v>12</v>
      </c>
      <c r="I327">
        <v>3.7378298316073894E-2</v>
      </c>
      <c r="J327" t="s">
        <v>6</v>
      </c>
      <c r="L327" t="s">
        <v>705</v>
      </c>
      <c r="M327" t="s">
        <v>12</v>
      </c>
      <c r="N327">
        <v>3.2451828041793675E-2</v>
      </c>
      <c r="O327" t="s">
        <v>6</v>
      </c>
    </row>
    <row r="328" spans="2:15" x14ac:dyDescent="0.45">
      <c r="B328" t="s">
        <v>703</v>
      </c>
      <c r="C328" t="s">
        <v>13</v>
      </c>
      <c r="D328">
        <v>9.1213761739266288E-3</v>
      </c>
      <c r="E328" t="s">
        <v>6</v>
      </c>
      <c r="G328" t="s">
        <v>704</v>
      </c>
      <c r="H328" t="s">
        <v>13</v>
      </c>
      <c r="I328">
        <v>3.754812495697113E-2</v>
      </c>
      <c r="J328" t="s">
        <v>6</v>
      </c>
      <c r="L328" t="s">
        <v>705</v>
      </c>
      <c r="M328" t="s">
        <v>13</v>
      </c>
      <c r="N328">
        <v>3.5222505754694607E-2</v>
      </c>
      <c r="O328" t="s">
        <v>6</v>
      </c>
    </row>
    <row r="329" spans="2:15" x14ac:dyDescent="0.45">
      <c r="B329" t="s">
        <v>703</v>
      </c>
      <c r="C329" t="s">
        <v>14</v>
      </c>
      <c r="D329">
        <v>1.3104958369104753E-5</v>
      </c>
      <c r="E329" t="s">
        <v>6</v>
      </c>
      <c r="G329" t="s">
        <v>704</v>
      </c>
      <c r="H329" t="s">
        <v>14</v>
      </c>
      <c r="I329">
        <v>0.10261536043745001</v>
      </c>
      <c r="J329" t="s">
        <v>6</v>
      </c>
      <c r="L329" t="s">
        <v>705</v>
      </c>
      <c r="M329" t="s">
        <v>14</v>
      </c>
      <c r="N329">
        <v>9.4371831093280317E-2</v>
      </c>
      <c r="O329" t="s">
        <v>6</v>
      </c>
    </row>
    <row r="330" spans="2:15" x14ac:dyDescent="0.45">
      <c r="B330" t="s">
        <v>703</v>
      </c>
      <c r="C330" t="s">
        <v>15</v>
      </c>
      <c r="D330">
        <v>2.1193023558499203E-3</v>
      </c>
      <c r="E330" t="s">
        <v>6</v>
      </c>
      <c r="G330" t="s">
        <v>704</v>
      </c>
      <c r="H330" t="s">
        <v>15</v>
      </c>
      <c r="I330">
        <v>4.1522520930916892E-2</v>
      </c>
      <c r="J330" t="s">
        <v>6</v>
      </c>
      <c r="L330" t="s">
        <v>705</v>
      </c>
      <c r="M330" t="s">
        <v>15</v>
      </c>
      <c r="N330">
        <v>4.3394805169594867E-2</v>
      </c>
      <c r="O330" t="s">
        <v>6</v>
      </c>
    </row>
    <row r="331" spans="2:15" x14ac:dyDescent="0.45">
      <c r="B331" t="s">
        <v>703</v>
      </c>
      <c r="C331" t="s">
        <v>16</v>
      </c>
      <c r="D331">
        <v>5.1576689016916213E-2</v>
      </c>
      <c r="E331" t="s">
        <v>6</v>
      </c>
      <c r="G331" t="s">
        <v>704</v>
      </c>
      <c r="H331" t="s">
        <v>16</v>
      </c>
      <c r="I331">
        <v>3.0965405543707233E-2</v>
      </c>
      <c r="J331" t="s">
        <v>6</v>
      </c>
      <c r="L331" t="s">
        <v>705</v>
      </c>
      <c r="M331" t="s">
        <v>16</v>
      </c>
      <c r="N331">
        <v>2.9707612681581723E-2</v>
      </c>
      <c r="O331" t="s">
        <v>6</v>
      </c>
    </row>
    <row r="332" spans="2:15" x14ac:dyDescent="0.45">
      <c r="B332" t="s">
        <v>703</v>
      </c>
      <c r="C332" t="s">
        <v>17</v>
      </c>
      <c r="D332">
        <v>9.7143161054487753E-2</v>
      </c>
      <c r="E332" t="s">
        <v>6</v>
      </c>
      <c r="G332" t="s">
        <v>704</v>
      </c>
      <c r="H332" t="s">
        <v>17</v>
      </c>
      <c r="I332">
        <v>3.6157534117481925E-2</v>
      </c>
      <c r="J332" t="s">
        <v>6</v>
      </c>
      <c r="L332" t="s">
        <v>705</v>
      </c>
      <c r="M332" t="s">
        <v>17</v>
      </c>
      <c r="N332">
        <v>3.1678899620162945E-2</v>
      </c>
      <c r="O332" t="s">
        <v>6</v>
      </c>
    </row>
    <row r="333" spans="2:15" x14ac:dyDescent="0.45">
      <c r="B333" t="s">
        <v>703</v>
      </c>
      <c r="C333" t="s">
        <v>18</v>
      </c>
      <c r="D333">
        <v>8.1755779424768998E-2</v>
      </c>
      <c r="E333" t="s">
        <v>6</v>
      </c>
      <c r="G333" t="s">
        <v>704</v>
      </c>
      <c r="H333" t="s">
        <v>18</v>
      </c>
      <c r="I333">
        <v>4.073004296184745E-2</v>
      </c>
      <c r="J333" t="s">
        <v>6</v>
      </c>
      <c r="L333" t="s">
        <v>705</v>
      </c>
      <c r="M333" t="s">
        <v>18</v>
      </c>
      <c r="N333">
        <v>3.5987519064744518E-2</v>
      </c>
      <c r="O333" t="s">
        <v>6</v>
      </c>
    </row>
    <row r="334" spans="2:15" x14ac:dyDescent="0.45">
      <c r="B334" t="s">
        <v>703</v>
      </c>
      <c r="C334" t="s">
        <v>19</v>
      </c>
      <c r="D334">
        <v>2.3789902650984837E-2</v>
      </c>
      <c r="E334" t="s">
        <v>6</v>
      </c>
      <c r="G334" t="s">
        <v>704</v>
      </c>
      <c r="H334" t="s">
        <v>19</v>
      </c>
      <c r="I334">
        <v>3.8525244049317557E-2</v>
      </c>
      <c r="J334" t="s">
        <v>6</v>
      </c>
      <c r="L334" t="s">
        <v>705</v>
      </c>
      <c r="M334" t="s">
        <v>19</v>
      </c>
      <c r="N334">
        <v>3.7956872003934487E-2</v>
      </c>
      <c r="O334" t="s">
        <v>6</v>
      </c>
    </row>
    <row r="335" spans="2:15" x14ac:dyDescent="0.45">
      <c r="B335" t="s">
        <v>703</v>
      </c>
      <c r="C335" t="s">
        <v>20</v>
      </c>
      <c r="D335">
        <v>1.9193240803598056E-4</v>
      </c>
      <c r="E335" t="s">
        <v>6</v>
      </c>
      <c r="G335" t="s">
        <v>704</v>
      </c>
      <c r="H335" t="s">
        <v>20</v>
      </c>
      <c r="I335">
        <v>8.7534535916450107E-2</v>
      </c>
      <c r="J335" t="s">
        <v>6</v>
      </c>
      <c r="L335" t="s">
        <v>705</v>
      </c>
      <c r="M335" t="s">
        <v>20</v>
      </c>
      <c r="N335">
        <v>8.7973413655299801E-2</v>
      </c>
      <c r="O335" t="s">
        <v>6</v>
      </c>
    </row>
    <row r="336" spans="2:15" x14ac:dyDescent="0.45">
      <c r="B336" t="s">
        <v>703</v>
      </c>
      <c r="C336" t="s">
        <v>21</v>
      </c>
      <c r="D336">
        <v>3.5754495889480302E-3</v>
      </c>
      <c r="E336" t="s">
        <v>6</v>
      </c>
      <c r="G336" t="s">
        <v>704</v>
      </c>
      <c r="H336" t="s">
        <v>21</v>
      </c>
      <c r="I336">
        <v>2.5251882318325761E-2</v>
      </c>
      <c r="J336" t="s">
        <v>6</v>
      </c>
      <c r="L336" t="s">
        <v>705</v>
      </c>
      <c r="M336" t="s">
        <v>21</v>
      </c>
      <c r="N336">
        <v>4.0396885185129607E-2</v>
      </c>
      <c r="O336" t="s">
        <v>6</v>
      </c>
    </row>
    <row r="337" spans="2:15" x14ac:dyDescent="0.45">
      <c r="B337" t="s">
        <v>703</v>
      </c>
      <c r="C337" t="s">
        <v>22</v>
      </c>
      <c r="D337">
        <v>6.8184995624538058E-2</v>
      </c>
      <c r="E337" t="s">
        <v>6</v>
      </c>
      <c r="G337" t="s">
        <v>704</v>
      </c>
      <c r="H337" t="s">
        <v>22</v>
      </c>
      <c r="I337">
        <v>1.0663072859073631E-2</v>
      </c>
      <c r="J337" t="s">
        <v>6</v>
      </c>
      <c r="L337" t="s">
        <v>705</v>
      </c>
      <c r="M337" t="s">
        <v>22</v>
      </c>
      <c r="N337">
        <v>2.5395791955936518E-2</v>
      </c>
      <c r="O337" t="s">
        <v>6</v>
      </c>
    </row>
    <row r="338" spans="2:15" x14ac:dyDescent="0.45">
      <c r="B338" t="s">
        <v>703</v>
      </c>
      <c r="C338" t="s">
        <v>23</v>
      </c>
      <c r="D338">
        <v>0.12129906392117518</v>
      </c>
      <c r="E338" t="s">
        <v>6</v>
      </c>
      <c r="G338" t="s">
        <v>704</v>
      </c>
      <c r="H338" t="s">
        <v>23</v>
      </c>
      <c r="I338">
        <v>1.1800501344365855E-2</v>
      </c>
      <c r="J338" t="s">
        <v>6</v>
      </c>
      <c r="L338" t="s">
        <v>705</v>
      </c>
      <c r="M338" t="s">
        <v>23</v>
      </c>
      <c r="N338">
        <v>2.5152749439504046E-2</v>
      </c>
      <c r="O338" t="s">
        <v>6</v>
      </c>
    </row>
    <row r="339" spans="2:15" x14ac:dyDescent="0.45">
      <c r="B339" t="s">
        <v>703</v>
      </c>
      <c r="C339" t="s">
        <v>24</v>
      </c>
      <c r="D339">
        <v>0.10547519207564944</v>
      </c>
      <c r="E339" t="s">
        <v>6</v>
      </c>
      <c r="G339" t="s">
        <v>704</v>
      </c>
      <c r="H339" t="s">
        <v>24</v>
      </c>
      <c r="I339">
        <v>1.6510816268288164E-2</v>
      </c>
      <c r="J339" t="s">
        <v>6</v>
      </c>
      <c r="L339" t="s">
        <v>705</v>
      </c>
      <c r="M339" t="s">
        <v>24</v>
      </c>
      <c r="N339">
        <v>3.1018782574728235E-2</v>
      </c>
      <c r="O339" t="s">
        <v>6</v>
      </c>
    </row>
    <row r="340" spans="2:15" x14ac:dyDescent="0.45">
      <c r="B340" t="s">
        <v>703</v>
      </c>
      <c r="C340" t="s">
        <v>25</v>
      </c>
      <c r="D340">
        <v>3.5656995418101474E-2</v>
      </c>
      <c r="E340" t="s">
        <v>6</v>
      </c>
      <c r="G340" t="s">
        <v>704</v>
      </c>
      <c r="H340" t="s">
        <v>25</v>
      </c>
      <c r="I340">
        <v>2.6012226666195865E-2</v>
      </c>
      <c r="J340" t="s">
        <v>6</v>
      </c>
      <c r="L340" t="s">
        <v>705</v>
      </c>
      <c r="M340" t="s">
        <v>25</v>
      </c>
      <c r="N340">
        <v>3.5722099275699012E-2</v>
      </c>
      <c r="O340" t="s">
        <v>6</v>
      </c>
    </row>
    <row r="341" spans="2:15" x14ac:dyDescent="0.45">
      <c r="B341" t="s">
        <v>703</v>
      </c>
      <c r="C341" t="s">
        <v>26</v>
      </c>
      <c r="D341">
        <v>0</v>
      </c>
      <c r="E341" t="s">
        <v>6</v>
      </c>
      <c r="G341" t="s">
        <v>704</v>
      </c>
      <c r="H341" t="s">
        <v>26</v>
      </c>
      <c r="I341">
        <v>8.5239346174348696E-2</v>
      </c>
      <c r="J341" t="s">
        <v>6</v>
      </c>
      <c r="L341" t="s">
        <v>705</v>
      </c>
      <c r="M341" t="s">
        <v>26</v>
      </c>
      <c r="N341">
        <v>7.5125653546053328E-2</v>
      </c>
      <c r="O341" t="s">
        <v>6</v>
      </c>
    </row>
    <row r="342" spans="2:15" x14ac:dyDescent="0.45">
      <c r="B342" t="s">
        <v>703</v>
      </c>
      <c r="C342" t="s">
        <v>27</v>
      </c>
      <c r="D342">
        <v>3.4403691533981603E-4</v>
      </c>
      <c r="E342" t="s">
        <v>6</v>
      </c>
      <c r="G342" t="s">
        <v>704</v>
      </c>
      <c r="H342" t="s">
        <v>27</v>
      </c>
      <c r="I342">
        <v>3.7341196901424199E-2</v>
      </c>
      <c r="J342" t="s">
        <v>6</v>
      </c>
      <c r="L342" t="s">
        <v>705</v>
      </c>
      <c r="M342" t="s">
        <v>27</v>
      </c>
      <c r="N342">
        <v>3.5360352178735413E-2</v>
      </c>
      <c r="O342" t="s">
        <v>6</v>
      </c>
    </row>
    <row r="343" spans="2:15" x14ac:dyDescent="0.45">
      <c r="B343" t="s">
        <v>703</v>
      </c>
      <c r="C343" t="s">
        <v>28</v>
      </c>
      <c r="D343">
        <v>4.5243048697437942E-2</v>
      </c>
      <c r="E343" t="s">
        <v>6</v>
      </c>
      <c r="G343" t="s">
        <v>704</v>
      </c>
      <c r="H343" t="s">
        <v>28</v>
      </c>
      <c r="I343">
        <v>2.3999560753339345E-2</v>
      </c>
      <c r="J343" t="s">
        <v>6</v>
      </c>
      <c r="L343" t="s">
        <v>705</v>
      </c>
      <c r="M343" t="s">
        <v>28</v>
      </c>
      <c r="N343">
        <v>2.4309698810031623E-2</v>
      </c>
      <c r="O343" t="s">
        <v>6</v>
      </c>
    </row>
    <row r="344" spans="2:15" x14ac:dyDescent="0.45">
      <c r="B344" t="s">
        <v>703</v>
      </c>
      <c r="C344" t="s">
        <v>29</v>
      </c>
      <c r="D344">
        <v>9.80077077097537E-2</v>
      </c>
      <c r="E344" t="s">
        <v>6</v>
      </c>
      <c r="G344" t="s">
        <v>704</v>
      </c>
      <c r="H344" t="s">
        <v>29</v>
      </c>
      <c r="I344">
        <v>2.8458896772187679E-2</v>
      </c>
      <c r="J344" t="s">
        <v>6</v>
      </c>
      <c r="L344" t="s">
        <v>705</v>
      </c>
      <c r="M344" t="s">
        <v>29</v>
      </c>
      <c r="N344">
        <v>2.4028539100478072E-2</v>
      </c>
      <c r="O344" t="s">
        <v>6</v>
      </c>
    </row>
    <row r="345" spans="2:15" x14ac:dyDescent="0.45">
      <c r="B345" t="s">
        <v>703</v>
      </c>
      <c r="C345" t="s">
        <v>30</v>
      </c>
      <c r="D345">
        <v>7.637739925354288E-2</v>
      </c>
      <c r="E345" t="s">
        <v>6</v>
      </c>
      <c r="G345" t="s">
        <v>704</v>
      </c>
      <c r="H345" t="s">
        <v>30</v>
      </c>
      <c r="I345">
        <v>3.0587273359950224E-2</v>
      </c>
      <c r="J345" t="s">
        <v>6</v>
      </c>
      <c r="L345" t="s">
        <v>705</v>
      </c>
      <c r="M345" t="s">
        <v>30</v>
      </c>
      <c r="N345">
        <v>2.6229918523490412E-2</v>
      </c>
      <c r="O345" t="s">
        <v>6</v>
      </c>
    </row>
    <row r="346" spans="2:15" x14ac:dyDescent="0.45">
      <c r="B346" t="s">
        <v>703</v>
      </c>
      <c r="C346" t="s">
        <v>31</v>
      </c>
      <c r="D346">
        <v>1.2519241266853515E-2</v>
      </c>
      <c r="E346" t="s">
        <v>6</v>
      </c>
      <c r="G346" t="s">
        <v>704</v>
      </c>
      <c r="H346" t="s">
        <v>31</v>
      </c>
      <c r="I346">
        <v>3.038722994989328E-2</v>
      </c>
      <c r="J346" t="s">
        <v>6</v>
      </c>
      <c r="L346" t="s">
        <v>705</v>
      </c>
      <c r="M346" t="s">
        <v>31</v>
      </c>
      <c r="N346">
        <v>2.8446420568253666E-2</v>
      </c>
      <c r="O346" t="s">
        <v>6</v>
      </c>
    </row>
    <row r="347" spans="2:15" x14ac:dyDescent="0.45">
      <c r="B347" t="s">
        <v>706</v>
      </c>
      <c r="C347" t="s">
        <v>5</v>
      </c>
      <c r="D347">
        <v>0</v>
      </c>
      <c r="E347" t="s">
        <v>6</v>
      </c>
      <c r="G347" t="s">
        <v>707</v>
      </c>
      <c r="H347" t="s">
        <v>5</v>
      </c>
      <c r="I347">
        <v>9.1226555208229573E-2</v>
      </c>
      <c r="J347" t="s">
        <v>6</v>
      </c>
      <c r="L347" t="s">
        <v>708</v>
      </c>
      <c r="M347" t="s">
        <v>5</v>
      </c>
      <c r="N347">
        <v>8.6116251234596111E-2</v>
      </c>
      <c r="O347" t="s">
        <v>6</v>
      </c>
    </row>
    <row r="348" spans="2:15" x14ac:dyDescent="0.45">
      <c r="B348" t="s">
        <v>706</v>
      </c>
      <c r="C348" t="s">
        <v>9</v>
      </c>
      <c r="D348">
        <v>0</v>
      </c>
      <c r="E348" t="s">
        <v>6</v>
      </c>
      <c r="G348" t="s">
        <v>707</v>
      </c>
      <c r="H348" t="s">
        <v>9</v>
      </c>
      <c r="I348">
        <v>4.4668751606587814E-2</v>
      </c>
      <c r="J348" t="s">
        <v>6</v>
      </c>
      <c r="L348" t="s">
        <v>708</v>
      </c>
      <c r="M348" t="s">
        <v>9</v>
      </c>
      <c r="N348">
        <v>3.9599365710508976E-2</v>
      </c>
      <c r="O348" t="s">
        <v>6</v>
      </c>
    </row>
    <row r="349" spans="2:15" x14ac:dyDescent="0.45">
      <c r="B349" t="s">
        <v>706</v>
      </c>
      <c r="C349" t="s">
        <v>10</v>
      </c>
      <c r="D349">
        <v>2.513515096702101E-2</v>
      </c>
      <c r="E349" t="s">
        <v>6</v>
      </c>
      <c r="G349" t="s">
        <v>707</v>
      </c>
      <c r="H349" t="s">
        <v>10</v>
      </c>
      <c r="I349">
        <v>3.1909319493916358E-2</v>
      </c>
      <c r="J349" t="s">
        <v>6</v>
      </c>
      <c r="L349" t="s">
        <v>708</v>
      </c>
      <c r="M349" t="s">
        <v>10</v>
      </c>
      <c r="N349">
        <v>2.8769948710691301E-2</v>
      </c>
      <c r="O349" t="s">
        <v>6</v>
      </c>
    </row>
    <row r="350" spans="2:15" x14ac:dyDescent="0.45">
      <c r="B350" t="s">
        <v>706</v>
      </c>
      <c r="C350" t="s">
        <v>11</v>
      </c>
      <c r="D350">
        <v>7.871874064395315E-2</v>
      </c>
      <c r="E350" t="s">
        <v>6</v>
      </c>
      <c r="G350" t="s">
        <v>707</v>
      </c>
      <c r="H350" t="s">
        <v>11</v>
      </c>
      <c r="I350">
        <v>3.256344845673928E-2</v>
      </c>
      <c r="J350" t="s">
        <v>6</v>
      </c>
      <c r="L350" t="s">
        <v>708</v>
      </c>
      <c r="M350" t="s">
        <v>11</v>
      </c>
      <c r="N350">
        <v>3.149204818476331E-2</v>
      </c>
      <c r="O350" t="s">
        <v>6</v>
      </c>
    </row>
    <row r="351" spans="2:15" x14ac:dyDescent="0.45">
      <c r="B351" t="s">
        <v>706</v>
      </c>
      <c r="C351" t="s">
        <v>12</v>
      </c>
      <c r="D351">
        <v>6.5874999221630079E-2</v>
      </c>
      <c r="E351" t="s">
        <v>6</v>
      </c>
      <c r="G351" t="s">
        <v>707</v>
      </c>
      <c r="H351" t="s">
        <v>12</v>
      </c>
      <c r="I351">
        <v>3.6478167519714312E-2</v>
      </c>
      <c r="J351" t="s">
        <v>6</v>
      </c>
      <c r="L351" t="s">
        <v>708</v>
      </c>
      <c r="M351" t="s">
        <v>12</v>
      </c>
      <c r="N351">
        <v>3.3656601638257705E-2</v>
      </c>
      <c r="O351" t="s">
        <v>6</v>
      </c>
    </row>
    <row r="352" spans="2:15" x14ac:dyDescent="0.45">
      <c r="B352" t="s">
        <v>706</v>
      </c>
      <c r="C352" t="s">
        <v>13</v>
      </c>
      <c r="D352">
        <v>1.0006143614902646E-2</v>
      </c>
      <c r="E352" t="s">
        <v>6</v>
      </c>
      <c r="G352" t="s">
        <v>707</v>
      </c>
      <c r="H352" t="s">
        <v>13</v>
      </c>
      <c r="I352">
        <v>3.7757649499764789E-2</v>
      </c>
      <c r="J352" t="s">
        <v>6</v>
      </c>
      <c r="L352" t="s">
        <v>708</v>
      </c>
      <c r="M352" t="s">
        <v>13</v>
      </c>
      <c r="N352">
        <v>3.3549632870581263E-2</v>
      </c>
      <c r="O352" t="s">
        <v>6</v>
      </c>
    </row>
    <row r="353" spans="2:15" x14ac:dyDescent="0.45">
      <c r="B353" t="s">
        <v>706</v>
      </c>
      <c r="C353" t="s">
        <v>14</v>
      </c>
      <c r="D353">
        <v>8.6358432339605938E-6</v>
      </c>
      <c r="E353" t="s">
        <v>6</v>
      </c>
      <c r="G353" t="s">
        <v>707</v>
      </c>
      <c r="H353" t="s">
        <v>14</v>
      </c>
      <c r="I353">
        <v>8.7936602516429319E-2</v>
      </c>
      <c r="J353" t="s">
        <v>6</v>
      </c>
      <c r="L353" t="s">
        <v>708</v>
      </c>
      <c r="M353" t="s">
        <v>14</v>
      </c>
      <c r="N353">
        <v>9.6743308490283689E-2</v>
      </c>
      <c r="O353" t="s">
        <v>6</v>
      </c>
    </row>
    <row r="354" spans="2:15" x14ac:dyDescent="0.45">
      <c r="B354" t="s">
        <v>706</v>
      </c>
      <c r="C354" t="s">
        <v>15</v>
      </c>
      <c r="D354">
        <v>1.9619033473961458E-3</v>
      </c>
      <c r="E354" t="s">
        <v>6</v>
      </c>
      <c r="G354" t="s">
        <v>707</v>
      </c>
      <c r="H354" t="s">
        <v>15</v>
      </c>
      <c r="I354">
        <v>3.7343145242833463E-2</v>
      </c>
      <c r="J354" t="s">
        <v>6</v>
      </c>
      <c r="L354" t="s">
        <v>708</v>
      </c>
      <c r="M354" t="s">
        <v>15</v>
      </c>
      <c r="N354">
        <v>4.4001564837148718E-2</v>
      </c>
      <c r="O354" t="s">
        <v>6</v>
      </c>
    </row>
    <row r="355" spans="2:15" x14ac:dyDescent="0.45">
      <c r="B355" t="s">
        <v>706</v>
      </c>
      <c r="C355" t="s">
        <v>16</v>
      </c>
      <c r="D355">
        <v>5.1904852117100726E-2</v>
      </c>
      <c r="E355" t="s">
        <v>6</v>
      </c>
      <c r="G355" t="s">
        <v>707</v>
      </c>
      <c r="H355" t="s">
        <v>16</v>
      </c>
      <c r="I355">
        <v>2.8894955802626909E-2</v>
      </c>
      <c r="J355" t="s">
        <v>6</v>
      </c>
      <c r="L355" t="s">
        <v>708</v>
      </c>
      <c r="M355" t="s">
        <v>16</v>
      </c>
      <c r="N355">
        <v>3.152112084886885E-2</v>
      </c>
      <c r="O355" t="s">
        <v>6</v>
      </c>
    </row>
    <row r="356" spans="2:15" x14ac:dyDescent="0.45">
      <c r="B356" t="s">
        <v>706</v>
      </c>
      <c r="C356" t="s">
        <v>17</v>
      </c>
      <c r="D356">
        <v>9.9676212745207396E-2</v>
      </c>
      <c r="E356" t="s">
        <v>6</v>
      </c>
      <c r="G356" t="s">
        <v>707</v>
      </c>
      <c r="H356" t="s">
        <v>17</v>
      </c>
      <c r="I356">
        <v>3.896363063834863E-2</v>
      </c>
      <c r="J356" t="s">
        <v>6</v>
      </c>
      <c r="L356" t="s">
        <v>708</v>
      </c>
      <c r="M356" t="s">
        <v>17</v>
      </c>
      <c r="N356">
        <v>3.5683354257108911E-2</v>
      </c>
      <c r="O356" t="s">
        <v>6</v>
      </c>
    </row>
    <row r="357" spans="2:15" x14ac:dyDescent="0.45">
      <c r="B357" t="s">
        <v>706</v>
      </c>
      <c r="C357" t="s">
        <v>18</v>
      </c>
      <c r="D357">
        <v>8.5964987549474292E-2</v>
      </c>
      <c r="E357" t="s">
        <v>6</v>
      </c>
      <c r="G357" t="s">
        <v>707</v>
      </c>
      <c r="H357" t="s">
        <v>18</v>
      </c>
      <c r="I357">
        <v>4.9574477500211392E-2</v>
      </c>
      <c r="J357" t="s">
        <v>6</v>
      </c>
      <c r="L357" t="s">
        <v>708</v>
      </c>
      <c r="M357" t="s">
        <v>18</v>
      </c>
      <c r="N357">
        <v>3.988688721714484E-2</v>
      </c>
      <c r="O357" t="s">
        <v>6</v>
      </c>
    </row>
    <row r="358" spans="2:15" x14ac:dyDescent="0.45">
      <c r="B358" t="s">
        <v>706</v>
      </c>
      <c r="C358" t="s">
        <v>19</v>
      </c>
      <c r="D358">
        <v>2.3977863411221535E-2</v>
      </c>
      <c r="E358" t="s">
        <v>6</v>
      </c>
      <c r="G358" t="s">
        <v>707</v>
      </c>
      <c r="H358" t="s">
        <v>19</v>
      </c>
      <c r="I358">
        <v>4.5475306547235007E-2</v>
      </c>
      <c r="J358" t="s">
        <v>6</v>
      </c>
      <c r="L358" t="s">
        <v>708</v>
      </c>
      <c r="M358" t="s">
        <v>19</v>
      </c>
      <c r="N358">
        <v>3.936105574881292E-2</v>
      </c>
      <c r="O358" t="s">
        <v>6</v>
      </c>
    </row>
    <row r="359" spans="2:15" x14ac:dyDescent="0.45">
      <c r="B359" t="s">
        <v>706</v>
      </c>
      <c r="C359" t="s">
        <v>20</v>
      </c>
      <c r="D359">
        <v>1.603725611963041E-4</v>
      </c>
      <c r="E359" t="s">
        <v>6</v>
      </c>
      <c r="G359" t="s">
        <v>707</v>
      </c>
      <c r="H359" t="s">
        <v>20</v>
      </c>
      <c r="I359">
        <v>4.3346379558499119E-2</v>
      </c>
      <c r="J359" t="s">
        <v>6</v>
      </c>
      <c r="L359" t="s">
        <v>708</v>
      </c>
      <c r="M359" t="s">
        <v>20</v>
      </c>
      <c r="N359">
        <v>6.8427102661517095E-2</v>
      </c>
      <c r="O359" t="s">
        <v>6</v>
      </c>
    </row>
    <row r="360" spans="2:15" x14ac:dyDescent="0.45">
      <c r="B360" t="s">
        <v>706</v>
      </c>
      <c r="C360" t="s">
        <v>21</v>
      </c>
      <c r="D360">
        <v>3.1944097357667583E-3</v>
      </c>
      <c r="E360" t="s">
        <v>6</v>
      </c>
      <c r="G360" t="s">
        <v>707</v>
      </c>
      <c r="H360" t="s">
        <v>21</v>
      </c>
      <c r="I360">
        <v>1.709687138853757E-2</v>
      </c>
      <c r="J360" t="s">
        <v>6</v>
      </c>
      <c r="L360" t="s">
        <v>708</v>
      </c>
      <c r="M360" t="s">
        <v>21</v>
      </c>
      <c r="N360">
        <v>2.8157745269202349E-2</v>
      </c>
      <c r="O360" t="s">
        <v>6</v>
      </c>
    </row>
    <row r="361" spans="2:15" x14ac:dyDescent="0.45">
      <c r="B361" t="s">
        <v>706</v>
      </c>
      <c r="C361" t="s">
        <v>22</v>
      </c>
      <c r="D361">
        <v>6.5069405433887964E-2</v>
      </c>
      <c r="E361" t="s">
        <v>6</v>
      </c>
      <c r="G361" t="s">
        <v>707</v>
      </c>
      <c r="H361" t="s">
        <v>22</v>
      </c>
      <c r="I361">
        <v>1.4792864524827549E-2</v>
      </c>
      <c r="J361" t="s">
        <v>6</v>
      </c>
      <c r="L361" t="s">
        <v>708</v>
      </c>
      <c r="M361" t="s">
        <v>22</v>
      </c>
      <c r="N361">
        <v>1.89134205755539E-2</v>
      </c>
      <c r="O361" t="s">
        <v>6</v>
      </c>
    </row>
    <row r="362" spans="2:15" x14ac:dyDescent="0.45">
      <c r="B362" t="s">
        <v>706</v>
      </c>
      <c r="C362" t="s">
        <v>23</v>
      </c>
      <c r="D362">
        <v>0.11693288837037707</v>
      </c>
      <c r="E362" t="s">
        <v>6</v>
      </c>
      <c r="G362" t="s">
        <v>707</v>
      </c>
      <c r="H362" t="s">
        <v>23</v>
      </c>
      <c r="I362">
        <v>2.2411007236503525E-2</v>
      </c>
      <c r="J362" t="s">
        <v>6</v>
      </c>
      <c r="L362" t="s">
        <v>708</v>
      </c>
      <c r="M362" t="s">
        <v>23</v>
      </c>
      <c r="N362">
        <v>2.2923477294306157E-2</v>
      </c>
      <c r="O362" t="s">
        <v>6</v>
      </c>
    </row>
    <row r="363" spans="2:15" x14ac:dyDescent="0.45">
      <c r="B363" t="s">
        <v>706</v>
      </c>
      <c r="C363" t="s">
        <v>24</v>
      </c>
      <c r="D363">
        <v>0.10386396304928038</v>
      </c>
      <c r="E363" t="s">
        <v>6</v>
      </c>
      <c r="G363" t="s">
        <v>707</v>
      </c>
      <c r="H363" t="s">
        <v>24</v>
      </c>
      <c r="I363">
        <v>2.6718265359810488E-2</v>
      </c>
      <c r="J363" t="s">
        <v>6</v>
      </c>
      <c r="L363" t="s">
        <v>708</v>
      </c>
      <c r="M363" t="s">
        <v>24</v>
      </c>
      <c r="N363">
        <v>2.8347604827378636E-2</v>
      </c>
      <c r="O363" t="s">
        <v>6</v>
      </c>
    </row>
    <row r="364" spans="2:15" x14ac:dyDescent="0.45">
      <c r="B364" t="s">
        <v>706</v>
      </c>
      <c r="C364" t="s">
        <v>25</v>
      </c>
      <c r="D364">
        <v>3.5373392910261967E-2</v>
      </c>
      <c r="E364" t="s">
        <v>6</v>
      </c>
      <c r="G364" t="s">
        <v>707</v>
      </c>
      <c r="H364" t="s">
        <v>25</v>
      </c>
      <c r="I364">
        <v>2.2505851524569079E-2</v>
      </c>
      <c r="J364" t="s">
        <v>6</v>
      </c>
      <c r="L364" t="s">
        <v>708</v>
      </c>
      <c r="M364" t="s">
        <v>25</v>
      </c>
      <c r="N364">
        <v>3.0348713226458095E-2</v>
      </c>
      <c r="O364" t="s">
        <v>6</v>
      </c>
    </row>
    <row r="365" spans="2:15" x14ac:dyDescent="0.45">
      <c r="B365" t="s">
        <v>706</v>
      </c>
      <c r="C365" t="s">
        <v>26</v>
      </c>
      <c r="D365">
        <v>0</v>
      </c>
      <c r="E365" t="s">
        <v>6</v>
      </c>
      <c r="G365" t="s">
        <v>707</v>
      </c>
      <c r="H365" t="s">
        <v>26</v>
      </c>
      <c r="I365">
        <v>9.6635973667455466E-2</v>
      </c>
      <c r="J365" t="s">
        <v>6</v>
      </c>
      <c r="L365" t="s">
        <v>708</v>
      </c>
      <c r="M365" t="s">
        <v>26</v>
      </c>
      <c r="N365">
        <v>8.9149303963453358E-2</v>
      </c>
      <c r="O365" t="s">
        <v>6</v>
      </c>
    </row>
    <row r="366" spans="2:15" x14ac:dyDescent="0.45">
      <c r="B366" t="s">
        <v>706</v>
      </c>
      <c r="C366" t="s">
        <v>27</v>
      </c>
      <c r="D366">
        <v>3.119302387798734E-4</v>
      </c>
      <c r="E366" t="s">
        <v>6</v>
      </c>
      <c r="G366" t="s">
        <v>707</v>
      </c>
      <c r="H366" t="s">
        <v>27</v>
      </c>
      <c r="I366">
        <v>4.7652211281878763E-2</v>
      </c>
      <c r="J366" t="s">
        <v>6</v>
      </c>
      <c r="L366" t="s">
        <v>708</v>
      </c>
      <c r="M366" t="s">
        <v>27</v>
      </c>
      <c r="N366">
        <v>4.0705596131735057E-2</v>
      </c>
      <c r="O366" t="s">
        <v>6</v>
      </c>
    </row>
    <row r="367" spans="2:15" x14ac:dyDescent="0.45">
      <c r="B367" t="s">
        <v>706</v>
      </c>
      <c r="C367" t="s">
        <v>28</v>
      </c>
      <c r="D367">
        <v>4.537644354241669E-2</v>
      </c>
      <c r="E367" t="s">
        <v>6</v>
      </c>
      <c r="G367" t="s">
        <v>707</v>
      </c>
      <c r="H367" t="s">
        <v>28</v>
      </c>
      <c r="I367">
        <v>3.4048317887503787E-2</v>
      </c>
      <c r="J367" t="s">
        <v>6</v>
      </c>
      <c r="L367" t="s">
        <v>708</v>
      </c>
      <c r="M367" t="s">
        <v>28</v>
      </c>
      <c r="N367">
        <v>2.9526868686321518E-2</v>
      </c>
      <c r="O367" t="s">
        <v>6</v>
      </c>
    </row>
    <row r="368" spans="2:15" x14ac:dyDescent="0.45">
      <c r="B368" t="s">
        <v>706</v>
      </c>
      <c r="C368" t="s">
        <v>29</v>
      </c>
      <c r="D368">
        <v>9.6828033638111335E-2</v>
      </c>
      <c r="E368" t="s">
        <v>6</v>
      </c>
      <c r="G368" t="s">
        <v>707</v>
      </c>
      <c r="H368" t="s">
        <v>29</v>
      </c>
      <c r="I368">
        <v>3.4825287315917025E-2</v>
      </c>
      <c r="J368" t="s">
        <v>6</v>
      </c>
      <c r="L368" t="s">
        <v>708</v>
      </c>
      <c r="M368" t="s">
        <v>29</v>
      </c>
      <c r="N368">
        <v>3.1814534427940799E-2</v>
      </c>
      <c r="O368" t="s">
        <v>6</v>
      </c>
    </row>
    <row r="369" spans="2:15" x14ac:dyDescent="0.45">
      <c r="B369" t="s">
        <v>706</v>
      </c>
      <c r="C369" t="s">
        <v>30</v>
      </c>
      <c r="D369">
        <v>7.6770677059387962E-2</v>
      </c>
      <c r="E369" t="s">
        <v>6</v>
      </c>
      <c r="G369" t="s">
        <v>707</v>
      </c>
      <c r="H369" t="s">
        <v>30</v>
      </c>
      <c r="I369">
        <v>3.8197235077382215E-2</v>
      </c>
      <c r="J369" t="s">
        <v>6</v>
      </c>
      <c r="L369" t="s">
        <v>708</v>
      </c>
      <c r="M369" t="s">
        <v>30</v>
      </c>
      <c r="N369">
        <v>3.4693482344957373E-2</v>
      </c>
      <c r="O369" t="s">
        <v>6</v>
      </c>
    </row>
    <row r="370" spans="2:15" x14ac:dyDescent="0.45">
      <c r="B370" t="s">
        <v>706</v>
      </c>
      <c r="C370" t="s">
        <v>31</v>
      </c>
      <c r="D370">
        <v>1.2888993999392013E-2</v>
      </c>
      <c r="E370" t="s">
        <v>6</v>
      </c>
      <c r="G370" t="s">
        <v>707</v>
      </c>
      <c r="H370" t="s">
        <v>31</v>
      </c>
      <c r="I370">
        <v>3.8977725144478677E-2</v>
      </c>
      <c r="J370" t="s">
        <v>6</v>
      </c>
      <c r="L370" t="s">
        <v>708</v>
      </c>
      <c r="M370" t="s">
        <v>31</v>
      </c>
      <c r="N370">
        <v>3.6611010842408059E-2</v>
      </c>
      <c r="O370" t="s">
        <v>6</v>
      </c>
    </row>
    <row r="371" spans="2:15" x14ac:dyDescent="0.45">
      <c r="B371" t="s">
        <v>709</v>
      </c>
      <c r="C371" t="s">
        <v>5</v>
      </c>
      <c r="D371">
        <v>0</v>
      </c>
      <c r="E371" t="s">
        <v>6</v>
      </c>
      <c r="G371" t="s">
        <v>710</v>
      </c>
      <c r="H371" t="s">
        <v>5</v>
      </c>
      <c r="I371">
        <v>8.850455345856445E-2</v>
      </c>
      <c r="J371" t="s">
        <v>6</v>
      </c>
      <c r="L371" t="s">
        <v>711</v>
      </c>
      <c r="M371" t="s">
        <v>5</v>
      </c>
      <c r="N371">
        <v>0.10452134105868358</v>
      </c>
      <c r="O371" t="s">
        <v>6</v>
      </c>
    </row>
    <row r="372" spans="2:15" x14ac:dyDescent="0.45">
      <c r="B372" t="s">
        <v>709</v>
      </c>
      <c r="C372" t="s">
        <v>9</v>
      </c>
      <c r="D372">
        <v>0</v>
      </c>
      <c r="E372" t="s">
        <v>6</v>
      </c>
      <c r="G372" t="s">
        <v>710</v>
      </c>
      <c r="H372" t="s">
        <v>9</v>
      </c>
      <c r="I372">
        <v>4.1818366571857314E-2</v>
      </c>
      <c r="J372" t="s">
        <v>6</v>
      </c>
      <c r="L372" t="s">
        <v>711</v>
      </c>
      <c r="M372" t="s">
        <v>9</v>
      </c>
      <c r="N372">
        <v>5.0855376527168594E-2</v>
      </c>
      <c r="O372" t="s">
        <v>6</v>
      </c>
    </row>
    <row r="373" spans="2:15" x14ac:dyDescent="0.45">
      <c r="B373" t="s">
        <v>709</v>
      </c>
      <c r="C373" t="s">
        <v>10</v>
      </c>
      <c r="D373">
        <v>3.0559780352979057E-2</v>
      </c>
      <c r="E373" t="s">
        <v>6</v>
      </c>
      <c r="G373" t="s">
        <v>710</v>
      </c>
      <c r="H373" t="s">
        <v>10</v>
      </c>
      <c r="I373">
        <v>2.863783911197948E-2</v>
      </c>
      <c r="J373" t="s">
        <v>6</v>
      </c>
      <c r="L373" t="s">
        <v>711</v>
      </c>
      <c r="M373" t="s">
        <v>10</v>
      </c>
      <c r="N373">
        <v>3.6631774739690925E-2</v>
      </c>
      <c r="O373" t="s">
        <v>6</v>
      </c>
    </row>
    <row r="374" spans="2:15" x14ac:dyDescent="0.45">
      <c r="B374" t="s">
        <v>709</v>
      </c>
      <c r="C374" t="s">
        <v>11</v>
      </c>
      <c r="D374">
        <v>8.4395977274843395E-2</v>
      </c>
      <c r="E374" t="s">
        <v>6</v>
      </c>
      <c r="G374" t="s">
        <v>710</v>
      </c>
      <c r="H374" t="s">
        <v>11</v>
      </c>
      <c r="I374">
        <v>3.1111878404848834E-2</v>
      </c>
      <c r="J374" t="s">
        <v>6</v>
      </c>
      <c r="L374" t="s">
        <v>711</v>
      </c>
      <c r="M374" t="s">
        <v>11</v>
      </c>
      <c r="N374">
        <v>3.7382106904434963E-2</v>
      </c>
      <c r="O374" t="s">
        <v>6</v>
      </c>
    </row>
    <row r="375" spans="2:15" x14ac:dyDescent="0.45">
      <c r="B375" t="s">
        <v>709</v>
      </c>
      <c r="C375" t="s">
        <v>12</v>
      </c>
      <c r="D375">
        <v>6.2908842298270734E-2</v>
      </c>
      <c r="E375" t="s">
        <v>6</v>
      </c>
      <c r="G375" t="s">
        <v>710</v>
      </c>
      <c r="H375" t="s">
        <v>12</v>
      </c>
      <c r="I375">
        <v>3.8117900512114555E-2</v>
      </c>
      <c r="J375" t="s">
        <v>6</v>
      </c>
      <c r="L375" t="s">
        <v>711</v>
      </c>
      <c r="M375" t="s">
        <v>12</v>
      </c>
      <c r="N375">
        <v>3.8865294647782565E-2</v>
      </c>
      <c r="O375" t="s">
        <v>6</v>
      </c>
    </row>
    <row r="376" spans="2:15" x14ac:dyDescent="0.45">
      <c r="B376" t="s">
        <v>709</v>
      </c>
      <c r="C376" t="s">
        <v>13</v>
      </c>
      <c r="D376">
        <v>7.2236192099879607E-3</v>
      </c>
      <c r="E376" t="s">
        <v>6</v>
      </c>
      <c r="G376" t="s">
        <v>710</v>
      </c>
      <c r="H376" t="s">
        <v>13</v>
      </c>
      <c r="I376">
        <v>3.52128551746747E-2</v>
      </c>
      <c r="J376" t="s">
        <v>6</v>
      </c>
      <c r="L376" t="s">
        <v>711</v>
      </c>
      <c r="M376" t="s">
        <v>13</v>
      </c>
      <c r="N376">
        <v>3.8541038554286713E-2</v>
      </c>
      <c r="O376" t="s">
        <v>6</v>
      </c>
    </row>
    <row r="377" spans="2:15" x14ac:dyDescent="0.45">
      <c r="B377" t="s">
        <v>709</v>
      </c>
      <c r="C377" t="s">
        <v>14</v>
      </c>
      <c r="D377">
        <v>0</v>
      </c>
      <c r="E377" t="s">
        <v>6</v>
      </c>
      <c r="G377" t="s">
        <v>710</v>
      </c>
      <c r="H377" t="s">
        <v>14</v>
      </c>
      <c r="I377">
        <v>9.1626837241468792E-2</v>
      </c>
      <c r="J377" t="s">
        <v>6</v>
      </c>
      <c r="L377" t="s">
        <v>711</v>
      </c>
      <c r="M377" t="s">
        <v>14</v>
      </c>
      <c r="N377">
        <v>8.1954846969815462E-2</v>
      </c>
      <c r="O377" t="s">
        <v>6</v>
      </c>
    </row>
    <row r="378" spans="2:15" x14ac:dyDescent="0.45">
      <c r="B378" t="s">
        <v>709</v>
      </c>
      <c r="C378" t="s">
        <v>15</v>
      </c>
      <c r="D378">
        <v>3.3553901091820941E-3</v>
      </c>
      <c r="E378" t="s">
        <v>6</v>
      </c>
      <c r="G378" t="s">
        <v>710</v>
      </c>
      <c r="H378" t="s">
        <v>15</v>
      </c>
      <c r="I378">
        <v>3.9254973730775543E-2</v>
      </c>
      <c r="J378" t="s">
        <v>6</v>
      </c>
      <c r="L378" t="s">
        <v>711</v>
      </c>
      <c r="M378" t="s">
        <v>15</v>
      </c>
      <c r="N378">
        <v>4.1696012385488153E-2</v>
      </c>
      <c r="O378" t="s">
        <v>6</v>
      </c>
    </row>
    <row r="379" spans="2:15" x14ac:dyDescent="0.45">
      <c r="B379" t="s">
        <v>709</v>
      </c>
      <c r="C379" t="s">
        <v>16</v>
      </c>
      <c r="D379">
        <v>5.8066076781864193E-2</v>
      </c>
      <c r="E379" t="s">
        <v>6</v>
      </c>
      <c r="G379" t="s">
        <v>710</v>
      </c>
      <c r="H379" t="s">
        <v>16</v>
      </c>
      <c r="I379">
        <v>3.1919275678388023E-2</v>
      </c>
      <c r="J379" t="s">
        <v>6</v>
      </c>
      <c r="L379" t="s">
        <v>711</v>
      </c>
      <c r="M379" t="s">
        <v>16</v>
      </c>
      <c r="N379">
        <v>3.0659153841701509E-2</v>
      </c>
      <c r="O379" t="s">
        <v>6</v>
      </c>
    </row>
    <row r="380" spans="2:15" x14ac:dyDescent="0.45">
      <c r="B380" t="s">
        <v>709</v>
      </c>
      <c r="C380" t="s">
        <v>17</v>
      </c>
      <c r="D380">
        <v>0.10083350196418073</v>
      </c>
      <c r="E380" t="s">
        <v>6</v>
      </c>
      <c r="G380" t="s">
        <v>710</v>
      </c>
      <c r="H380" t="s">
        <v>17</v>
      </c>
      <c r="I380">
        <v>5.8276081633777954E-2</v>
      </c>
      <c r="J380" t="s">
        <v>6</v>
      </c>
      <c r="L380" t="s">
        <v>711</v>
      </c>
      <c r="M380" t="s">
        <v>17</v>
      </c>
      <c r="N380">
        <v>3.136731253204153E-2</v>
      </c>
      <c r="O380" t="s">
        <v>6</v>
      </c>
    </row>
    <row r="381" spans="2:15" x14ac:dyDescent="0.45">
      <c r="B381" t="s">
        <v>709</v>
      </c>
      <c r="C381" t="s">
        <v>18</v>
      </c>
      <c r="D381">
        <v>7.8974096533987626E-2</v>
      </c>
      <c r="E381" t="s">
        <v>6</v>
      </c>
      <c r="G381" t="s">
        <v>710</v>
      </c>
      <c r="H381" t="s">
        <v>18</v>
      </c>
      <c r="I381">
        <v>7.5180077377751536E-2</v>
      </c>
      <c r="J381" t="s">
        <v>6</v>
      </c>
      <c r="L381" t="s">
        <v>711</v>
      </c>
      <c r="M381" t="s">
        <v>18</v>
      </c>
      <c r="N381">
        <v>3.1951323249265008E-2</v>
      </c>
      <c r="O381" t="s">
        <v>6</v>
      </c>
    </row>
    <row r="382" spans="2:15" x14ac:dyDescent="0.45">
      <c r="B382" t="s">
        <v>709</v>
      </c>
      <c r="C382" t="s">
        <v>19</v>
      </c>
      <c r="D382">
        <v>1.9751974256967085E-2</v>
      </c>
      <c r="E382" t="s">
        <v>6</v>
      </c>
      <c r="G382" t="s">
        <v>710</v>
      </c>
      <c r="H382" t="s">
        <v>19</v>
      </c>
      <c r="I382">
        <v>6.1869866339231062E-2</v>
      </c>
      <c r="J382" t="s">
        <v>6</v>
      </c>
      <c r="L382" t="s">
        <v>711</v>
      </c>
      <c r="M382" t="s">
        <v>19</v>
      </c>
      <c r="N382">
        <v>3.0343869022178008E-2</v>
      </c>
      <c r="O382" t="s">
        <v>6</v>
      </c>
    </row>
    <row r="383" spans="2:15" x14ac:dyDescent="0.45">
      <c r="B383" t="s">
        <v>709</v>
      </c>
      <c r="C383" t="s">
        <v>20</v>
      </c>
      <c r="D383">
        <v>3.8140621040661975E-5</v>
      </c>
      <c r="E383" t="s">
        <v>6</v>
      </c>
      <c r="G383" t="s">
        <v>710</v>
      </c>
      <c r="H383" t="s">
        <v>20</v>
      </c>
      <c r="I383">
        <v>2.53585738748301E-2</v>
      </c>
      <c r="J383" t="s">
        <v>6</v>
      </c>
      <c r="L383" t="s">
        <v>711</v>
      </c>
      <c r="M383" t="s">
        <v>20</v>
      </c>
      <c r="N383">
        <v>6.180413639897616E-2</v>
      </c>
      <c r="O383" t="s">
        <v>6</v>
      </c>
    </row>
    <row r="384" spans="2:15" x14ac:dyDescent="0.45">
      <c r="B384" t="s">
        <v>709</v>
      </c>
      <c r="C384" t="s">
        <v>21</v>
      </c>
      <c r="D384">
        <v>5.6523946278339565E-3</v>
      </c>
      <c r="E384" t="s">
        <v>6</v>
      </c>
      <c r="G384" t="s">
        <v>710</v>
      </c>
      <c r="H384" t="s">
        <v>21</v>
      </c>
      <c r="I384">
        <v>9.9089866670691393E-3</v>
      </c>
      <c r="J384" t="s">
        <v>6</v>
      </c>
      <c r="L384" t="s">
        <v>711</v>
      </c>
      <c r="M384" t="s">
        <v>21</v>
      </c>
      <c r="N384">
        <v>2.8051638477897045E-2</v>
      </c>
      <c r="O384" t="s">
        <v>6</v>
      </c>
    </row>
    <row r="385" spans="2:15" x14ac:dyDescent="0.45">
      <c r="B385" t="s">
        <v>709</v>
      </c>
      <c r="C385" t="s">
        <v>22</v>
      </c>
      <c r="D385">
        <v>7.1528989610708443E-2</v>
      </c>
      <c r="E385" t="s">
        <v>6</v>
      </c>
      <c r="G385" t="s">
        <v>710</v>
      </c>
      <c r="H385" t="s">
        <v>22</v>
      </c>
      <c r="I385">
        <v>9.7739109431495327E-3</v>
      </c>
      <c r="J385" t="s">
        <v>6</v>
      </c>
      <c r="L385" t="s">
        <v>711</v>
      </c>
      <c r="M385" t="s">
        <v>22</v>
      </c>
      <c r="N385">
        <v>2.1367899052048504E-2</v>
      </c>
      <c r="O385" t="s">
        <v>6</v>
      </c>
    </row>
    <row r="386" spans="2:15" x14ac:dyDescent="0.45">
      <c r="B386" t="s">
        <v>709</v>
      </c>
      <c r="C386" t="s">
        <v>23</v>
      </c>
      <c r="D386">
        <v>0.11615752952527807</v>
      </c>
      <c r="E386" t="s">
        <v>6</v>
      </c>
      <c r="G386" t="s">
        <v>710</v>
      </c>
      <c r="H386" t="s">
        <v>23</v>
      </c>
      <c r="I386">
        <v>2.7627274028001445E-2</v>
      </c>
      <c r="J386" t="s">
        <v>6</v>
      </c>
      <c r="L386" t="s">
        <v>711</v>
      </c>
      <c r="M386" t="s">
        <v>23</v>
      </c>
      <c r="N386">
        <v>2.541037110393608E-2</v>
      </c>
      <c r="O386" t="s">
        <v>6</v>
      </c>
    </row>
    <row r="387" spans="2:15" x14ac:dyDescent="0.45">
      <c r="B387" t="s">
        <v>709</v>
      </c>
      <c r="C387" t="s">
        <v>24</v>
      </c>
      <c r="D387">
        <v>9.7040657482270587E-2</v>
      </c>
      <c r="E387" t="s">
        <v>6</v>
      </c>
      <c r="G387" t="s">
        <v>710</v>
      </c>
      <c r="H387" t="s">
        <v>24</v>
      </c>
      <c r="I387">
        <v>3.4789911879607172E-2</v>
      </c>
      <c r="J387" t="s">
        <v>6</v>
      </c>
      <c r="L387" t="s">
        <v>711</v>
      </c>
      <c r="M387" t="s">
        <v>24</v>
      </c>
      <c r="N387">
        <v>2.9123282100450083E-2</v>
      </c>
      <c r="O387" t="s">
        <v>6</v>
      </c>
    </row>
    <row r="388" spans="2:15" x14ac:dyDescent="0.45">
      <c r="B388" t="s">
        <v>709</v>
      </c>
      <c r="C388" t="s">
        <v>25</v>
      </c>
      <c r="D388">
        <v>2.859496921832325E-2</v>
      </c>
      <c r="E388" t="s">
        <v>6</v>
      </c>
      <c r="G388" t="s">
        <v>710</v>
      </c>
      <c r="H388" t="s">
        <v>25</v>
      </c>
      <c r="I388">
        <v>2.1942045579997072E-2</v>
      </c>
      <c r="J388" t="s">
        <v>6</v>
      </c>
      <c r="L388" t="s">
        <v>711</v>
      </c>
      <c r="M388" t="s">
        <v>25</v>
      </c>
      <c r="N388">
        <v>2.7253776451781835E-2</v>
      </c>
      <c r="O388" t="s">
        <v>6</v>
      </c>
    </row>
    <row r="389" spans="2:15" x14ac:dyDescent="0.45">
      <c r="B389" t="s">
        <v>709</v>
      </c>
      <c r="C389" t="s">
        <v>26</v>
      </c>
      <c r="D389">
        <v>0</v>
      </c>
      <c r="E389" t="s">
        <v>6</v>
      </c>
      <c r="G389" t="s">
        <v>710</v>
      </c>
      <c r="H389" t="s">
        <v>26</v>
      </c>
      <c r="I389">
        <v>7.9393622174867451E-2</v>
      </c>
      <c r="J389" t="s">
        <v>6</v>
      </c>
      <c r="L389" t="s">
        <v>711</v>
      </c>
      <c r="M389" t="s">
        <v>26</v>
      </c>
      <c r="N389">
        <v>8.0481247423735774E-2</v>
      </c>
      <c r="O389" t="s">
        <v>6</v>
      </c>
    </row>
    <row r="390" spans="2:15" x14ac:dyDescent="0.45">
      <c r="B390" t="s">
        <v>709</v>
      </c>
      <c r="C390" t="s">
        <v>27</v>
      </c>
      <c r="D390">
        <v>9.7444354172293677E-4</v>
      </c>
      <c r="E390" t="s">
        <v>6</v>
      </c>
      <c r="G390" t="s">
        <v>710</v>
      </c>
      <c r="H390" t="s">
        <v>27</v>
      </c>
      <c r="I390">
        <v>3.5649537622302566E-2</v>
      </c>
      <c r="J390" t="s">
        <v>6</v>
      </c>
      <c r="L390" t="s">
        <v>711</v>
      </c>
      <c r="M390" t="s">
        <v>27</v>
      </c>
      <c r="N390">
        <v>4.2982806909372631E-2</v>
      </c>
      <c r="O390" t="s">
        <v>6</v>
      </c>
    </row>
    <row r="391" spans="2:15" x14ac:dyDescent="0.45">
      <c r="B391" t="s">
        <v>709</v>
      </c>
      <c r="C391" t="s">
        <v>28</v>
      </c>
      <c r="D391">
        <v>5.1246325779017367E-2</v>
      </c>
      <c r="E391" t="s">
        <v>6</v>
      </c>
      <c r="G391" t="s">
        <v>710</v>
      </c>
      <c r="H391" t="s">
        <v>28</v>
      </c>
      <c r="I391">
        <v>2.4421705412151124E-2</v>
      </c>
      <c r="J391" t="s">
        <v>6</v>
      </c>
      <c r="L391" t="s">
        <v>711</v>
      </c>
      <c r="M391" t="s">
        <v>28</v>
      </c>
      <c r="N391">
        <v>3.2230030250101835E-2</v>
      </c>
      <c r="O391" t="s">
        <v>6</v>
      </c>
    </row>
    <row r="392" spans="2:15" x14ac:dyDescent="0.45">
      <c r="B392" t="s">
        <v>709</v>
      </c>
      <c r="C392" t="s">
        <v>29</v>
      </c>
      <c r="D392">
        <v>9.9341316074136571E-2</v>
      </c>
      <c r="E392" t="s">
        <v>6</v>
      </c>
      <c r="G392" t="s">
        <v>710</v>
      </c>
      <c r="H392" t="s">
        <v>29</v>
      </c>
      <c r="I392">
        <v>3.3438842371385898E-2</v>
      </c>
      <c r="J392" t="s">
        <v>6</v>
      </c>
      <c r="L392" t="s">
        <v>711</v>
      </c>
      <c r="M392" t="s">
        <v>29</v>
      </c>
      <c r="N392">
        <v>3.2513923640189096E-2</v>
      </c>
      <c r="O392" t="s">
        <v>6</v>
      </c>
    </row>
    <row r="393" spans="2:15" x14ac:dyDescent="0.45">
      <c r="B393" t="s">
        <v>709</v>
      </c>
      <c r="C393" t="s">
        <v>30</v>
      </c>
      <c r="D393">
        <v>7.3310474101395809E-2</v>
      </c>
      <c r="E393" t="s">
        <v>6</v>
      </c>
      <c r="G393" t="s">
        <v>710</v>
      </c>
      <c r="H393" t="s">
        <v>30</v>
      </c>
      <c r="I393">
        <v>4.1931914874333627E-2</v>
      </c>
      <c r="J393" t="s">
        <v>6</v>
      </c>
      <c r="L393" t="s">
        <v>711</v>
      </c>
      <c r="M393" t="s">
        <v>30</v>
      </c>
      <c r="N393">
        <v>3.2484262480698696E-2</v>
      </c>
      <c r="O393" t="s">
        <v>6</v>
      </c>
    </row>
    <row r="394" spans="2:15" x14ac:dyDescent="0.45">
      <c r="B394" t="s">
        <v>709</v>
      </c>
      <c r="C394" t="s">
        <v>31</v>
      </c>
      <c r="D394">
        <v>1.0045500636011827E-2</v>
      </c>
      <c r="E394" t="s">
        <v>6</v>
      </c>
      <c r="G394" t="s">
        <v>710</v>
      </c>
      <c r="H394" t="s">
        <v>31</v>
      </c>
      <c r="I394">
        <v>3.4233169336872642E-2</v>
      </c>
      <c r="J394" t="s">
        <v>6</v>
      </c>
      <c r="L394" t="s">
        <v>711</v>
      </c>
      <c r="M394" t="s">
        <v>31</v>
      </c>
      <c r="N394">
        <v>3.152717527828048E-2</v>
      </c>
      <c r="O394" t="s">
        <v>6</v>
      </c>
    </row>
    <row r="395" spans="2:15" x14ac:dyDescent="0.45">
      <c r="B395" t="s">
        <v>712</v>
      </c>
      <c r="C395" t="s">
        <v>5</v>
      </c>
      <c r="D395">
        <v>0</v>
      </c>
      <c r="E395" t="s">
        <v>6</v>
      </c>
      <c r="G395" t="s">
        <v>713</v>
      </c>
      <c r="H395" t="s">
        <v>5</v>
      </c>
      <c r="I395">
        <v>0.10681900212785647</v>
      </c>
      <c r="J395" t="s">
        <v>6</v>
      </c>
      <c r="L395" t="s">
        <v>714</v>
      </c>
      <c r="M395" t="s">
        <v>5</v>
      </c>
      <c r="N395">
        <v>8.872985432960917E-2</v>
      </c>
      <c r="O395" t="s">
        <v>6</v>
      </c>
    </row>
    <row r="396" spans="2:15" x14ac:dyDescent="0.45">
      <c r="B396" t="s">
        <v>712</v>
      </c>
      <c r="C396" t="s">
        <v>9</v>
      </c>
      <c r="D396">
        <v>0</v>
      </c>
      <c r="E396" t="s">
        <v>6</v>
      </c>
      <c r="G396" t="s">
        <v>713</v>
      </c>
      <c r="H396" t="s">
        <v>9</v>
      </c>
      <c r="I396">
        <v>5.1118695852459803E-2</v>
      </c>
      <c r="J396" t="s">
        <v>6</v>
      </c>
      <c r="L396" t="s">
        <v>714</v>
      </c>
      <c r="M396" t="s">
        <v>9</v>
      </c>
      <c r="N396">
        <v>4.0801298524004305E-2</v>
      </c>
      <c r="O396" t="s">
        <v>6</v>
      </c>
    </row>
    <row r="397" spans="2:15" x14ac:dyDescent="0.45">
      <c r="B397" t="s">
        <v>712</v>
      </c>
      <c r="C397" t="s">
        <v>10</v>
      </c>
      <c r="D397">
        <v>2.7814518821850445E-2</v>
      </c>
      <c r="E397" t="s">
        <v>6</v>
      </c>
      <c r="G397" t="s">
        <v>713</v>
      </c>
      <c r="H397" t="s">
        <v>10</v>
      </c>
      <c r="I397">
        <v>3.3773099737431457E-2</v>
      </c>
      <c r="J397" t="s">
        <v>6</v>
      </c>
      <c r="L397" t="s">
        <v>714</v>
      </c>
      <c r="M397" t="s">
        <v>10</v>
      </c>
      <c r="N397">
        <v>3.0022446029998293E-2</v>
      </c>
      <c r="O397" t="s">
        <v>6</v>
      </c>
    </row>
    <row r="398" spans="2:15" x14ac:dyDescent="0.45">
      <c r="B398" t="s">
        <v>712</v>
      </c>
      <c r="C398" t="s">
        <v>11</v>
      </c>
      <c r="D398">
        <v>8.3186286115737279E-2</v>
      </c>
      <c r="E398" t="s">
        <v>6</v>
      </c>
      <c r="G398" t="s">
        <v>713</v>
      </c>
      <c r="H398" t="s">
        <v>11</v>
      </c>
      <c r="I398">
        <v>4.1987407950105429E-2</v>
      </c>
      <c r="J398" t="s">
        <v>6</v>
      </c>
      <c r="L398" t="s">
        <v>714</v>
      </c>
      <c r="M398" t="s">
        <v>11</v>
      </c>
      <c r="N398">
        <v>3.2044677157120095E-2</v>
      </c>
      <c r="O398" t="s">
        <v>6</v>
      </c>
    </row>
    <row r="399" spans="2:15" x14ac:dyDescent="0.45">
      <c r="B399" t="s">
        <v>712</v>
      </c>
      <c r="C399" t="s">
        <v>12</v>
      </c>
      <c r="D399">
        <v>6.5132368770146137E-2</v>
      </c>
      <c r="E399" t="s">
        <v>6</v>
      </c>
      <c r="G399" t="s">
        <v>713</v>
      </c>
      <c r="H399" t="s">
        <v>12</v>
      </c>
      <c r="I399">
        <v>4.4013142600438725E-2</v>
      </c>
      <c r="J399" t="s">
        <v>6</v>
      </c>
      <c r="L399" t="s">
        <v>714</v>
      </c>
      <c r="M399" t="s">
        <v>12</v>
      </c>
      <c r="N399">
        <v>3.3457230201004939E-2</v>
      </c>
      <c r="O399" t="s">
        <v>6</v>
      </c>
    </row>
    <row r="400" spans="2:15" x14ac:dyDescent="0.45">
      <c r="B400" t="s">
        <v>712</v>
      </c>
      <c r="C400" t="s">
        <v>13</v>
      </c>
      <c r="D400">
        <v>8.4494951965465286E-3</v>
      </c>
      <c r="E400" t="s">
        <v>6</v>
      </c>
      <c r="G400" t="s">
        <v>713</v>
      </c>
      <c r="H400" t="s">
        <v>13</v>
      </c>
      <c r="I400">
        <v>4.0955742424907154E-2</v>
      </c>
      <c r="J400" t="s">
        <v>6</v>
      </c>
      <c r="L400" t="s">
        <v>714</v>
      </c>
      <c r="M400" t="s">
        <v>13</v>
      </c>
      <c r="N400">
        <v>3.3636983149682026E-2</v>
      </c>
      <c r="O400" t="s">
        <v>6</v>
      </c>
    </row>
    <row r="401" spans="2:15" x14ac:dyDescent="0.45">
      <c r="B401" t="s">
        <v>712</v>
      </c>
      <c r="C401" t="s">
        <v>14</v>
      </c>
      <c r="D401">
        <v>1.0014554465069717E-6</v>
      </c>
      <c r="E401" t="s">
        <v>6</v>
      </c>
      <c r="G401" t="s">
        <v>713</v>
      </c>
      <c r="H401" t="s">
        <v>14</v>
      </c>
      <c r="I401">
        <v>9.3825565431190208E-2</v>
      </c>
      <c r="J401" t="s">
        <v>6</v>
      </c>
      <c r="L401" t="s">
        <v>714</v>
      </c>
      <c r="M401" t="s">
        <v>14</v>
      </c>
      <c r="N401">
        <v>8.4225376193465193E-2</v>
      </c>
      <c r="O401" t="s">
        <v>6</v>
      </c>
    </row>
    <row r="402" spans="2:15" x14ac:dyDescent="0.45">
      <c r="B402" t="s">
        <v>712</v>
      </c>
      <c r="C402" t="s">
        <v>15</v>
      </c>
      <c r="D402">
        <v>2.7191630971353424E-3</v>
      </c>
      <c r="E402" t="s">
        <v>6</v>
      </c>
      <c r="G402" t="s">
        <v>713</v>
      </c>
      <c r="H402" t="s">
        <v>15</v>
      </c>
      <c r="I402">
        <v>3.8822808901621063E-2</v>
      </c>
      <c r="J402" t="s">
        <v>6</v>
      </c>
      <c r="L402" t="s">
        <v>714</v>
      </c>
      <c r="M402" t="s">
        <v>15</v>
      </c>
      <c r="N402">
        <v>4.0711567479997719E-2</v>
      </c>
      <c r="O402" t="s">
        <v>6</v>
      </c>
    </row>
    <row r="403" spans="2:15" x14ac:dyDescent="0.45">
      <c r="B403" t="s">
        <v>712</v>
      </c>
      <c r="C403" t="s">
        <v>16</v>
      </c>
      <c r="D403">
        <v>5.5519728398905684E-2</v>
      </c>
      <c r="E403" t="s">
        <v>6</v>
      </c>
      <c r="G403" t="s">
        <v>713</v>
      </c>
      <c r="H403" t="s">
        <v>16</v>
      </c>
      <c r="I403">
        <v>2.9719816233036361E-2</v>
      </c>
      <c r="J403" t="s">
        <v>6</v>
      </c>
      <c r="L403" t="s">
        <v>714</v>
      </c>
      <c r="M403" t="s">
        <v>16</v>
      </c>
      <c r="N403">
        <v>2.9514357551186927E-2</v>
      </c>
      <c r="O403" t="s">
        <v>6</v>
      </c>
    </row>
    <row r="404" spans="2:15" x14ac:dyDescent="0.45">
      <c r="B404" t="s">
        <v>712</v>
      </c>
      <c r="C404" t="s">
        <v>17</v>
      </c>
      <c r="D404">
        <v>9.8074649300601627E-2</v>
      </c>
      <c r="E404" t="s">
        <v>6</v>
      </c>
      <c r="G404" t="s">
        <v>713</v>
      </c>
      <c r="H404" t="s">
        <v>17</v>
      </c>
      <c r="I404">
        <v>4.3786053727781112E-2</v>
      </c>
      <c r="J404" t="s">
        <v>6</v>
      </c>
      <c r="L404" t="s">
        <v>714</v>
      </c>
      <c r="M404" t="s">
        <v>17</v>
      </c>
      <c r="N404">
        <v>3.0217841237134432E-2</v>
      </c>
      <c r="O404" t="s">
        <v>6</v>
      </c>
    </row>
    <row r="405" spans="2:15" x14ac:dyDescent="0.45">
      <c r="B405" t="s">
        <v>712</v>
      </c>
      <c r="C405" t="s">
        <v>18</v>
      </c>
      <c r="D405">
        <v>8.0442037960931356E-2</v>
      </c>
      <c r="E405" t="s">
        <v>6</v>
      </c>
      <c r="G405" t="s">
        <v>713</v>
      </c>
      <c r="H405" t="s">
        <v>18</v>
      </c>
      <c r="I405">
        <v>5.3963987887106678E-2</v>
      </c>
      <c r="J405" t="s">
        <v>6</v>
      </c>
      <c r="L405" t="s">
        <v>714</v>
      </c>
      <c r="M405" t="s">
        <v>18</v>
      </c>
      <c r="N405">
        <v>3.2617867863455129E-2</v>
      </c>
      <c r="O405" t="s">
        <v>6</v>
      </c>
    </row>
    <row r="406" spans="2:15" x14ac:dyDescent="0.45">
      <c r="B406" t="s">
        <v>712</v>
      </c>
      <c r="C406" t="s">
        <v>19</v>
      </c>
      <c r="D406">
        <v>2.1587787744809107E-2</v>
      </c>
      <c r="E406" t="s">
        <v>6</v>
      </c>
      <c r="G406" t="s">
        <v>713</v>
      </c>
      <c r="H406" t="s">
        <v>19</v>
      </c>
      <c r="I406">
        <v>4.5624102928410383E-2</v>
      </c>
      <c r="J406" t="s">
        <v>6</v>
      </c>
      <c r="L406" t="s">
        <v>714</v>
      </c>
      <c r="M406" t="s">
        <v>19</v>
      </c>
      <c r="N406">
        <v>3.3082146632326344E-2</v>
      </c>
      <c r="O406" t="s">
        <v>6</v>
      </c>
    </row>
    <row r="407" spans="2:15" x14ac:dyDescent="0.45">
      <c r="B407" t="s">
        <v>712</v>
      </c>
      <c r="C407" t="s">
        <v>20</v>
      </c>
      <c r="D407">
        <v>9.6838163498815137E-5</v>
      </c>
      <c r="E407" t="s">
        <v>6</v>
      </c>
      <c r="G407" t="s">
        <v>713</v>
      </c>
      <c r="H407" t="s">
        <v>20</v>
      </c>
      <c r="I407">
        <v>7.5912090899386192E-2</v>
      </c>
      <c r="J407" t="s">
        <v>6</v>
      </c>
      <c r="L407" t="s">
        <v>714</v>
      </c>
      <c r="M407" t="s">
        <v>20</v>
      </c>
      <c r="N407">
        <v>7.5625320403250457E-2</v>
      </c>
      <c r="O407" t="s">
        <v>6</v>
      </c>
    </row>
    <row r="408" spans="2:15" x14ac:dyDescent="0.45">
      <c r="B408" t="s">
        <v>712</v>
      </c>
      <c r="C408" t="s">
        <v>21</v>
      </c>
      <c r="D408">
        <v>4.542938967078196E-3</v>
      </c>
      <c r="E408" t="s">
        <v>6</v>
      </c>
      <c r="G408" t="s">
        <v>713</v>
      </c>
      <c r="H408" t="s">
        <v>21</v>
      </c>
      <c r="I408">
        <v>2.2580861495688734E-2</v>
      </c>
      <c r="J408" t="s">
        <v>6</v>
      </c>
      <c r="L408" t="s">
        <v>714</v>
      </c>
      <c r="M408" t="s">
        <v>21</v>
      </c>
      <c r="N408">
        <v>3.693833636209614E-2</v>
      </c>
      <c r="O408" t="s">
        <v>6</v>
      </c>
    </row>
    <row r="409" spans="2:15" x14ac:dyDescent="0.45">
      <c r="B409" t="s">
        <v>712</v>
      </c>
      <c r="C409" t="s">
        <v>22</v>
      </c>
      <c r="D409">
        <v>6.8973385616594357E-2</v>
      </c>
      <c r="E409" t="s">
        <v>6</v>
      </c>
      <c r="G409" t="s">
        <v>713</v>
      </c>
      <c r="H409" t="s">
        <v>22</v>
      </c>
      <c r="I409">
        <v>9.5061399071544109E-3</v>
      </c>
      <c r="J409" t="s">
        <v>6</v>
      </c>
      <c r="L409" t="s">
        <v>714</v>
      </c>
      <c r="M409" t="s">
        <v>22</v>
      </c>
      <c r="N409">
        <v>2.7976051679916219E-2</v>
      </c>
      <c r="O409" t="s">
        <v>6</v>
      </c>
    </row>
    <row r="410" spans="2:15" x14ac:dyDescent="0.45">
      <c r="B410" t="s">
        <v>712</v>
      </c>
      <c r="C410" t="s">
        <v>23</v>
      </c>
      <c r="D410">
        <v>0.11715549761369411</v>
      </c>
      <c r="E410" t="s">
        <v>6</v>
      </c>
      <c r="G410" t="s">
        <v>713</v>
      </c>
      <c r="H410" t="s">
        <v>23</v>
      </c>
      <c r="I410">
        <v>1.5039609532589971E-2</v>
      </c>
      <c r="J410" t="s">
        <v>6</v>
      </c>
      <c r="L410" t="s">
        <v>714</v>
      </c>
      <c r="M410" t="s">
        <v>23</v>
      </c>
      <c r="N410">
        <v>3.0475776157476535E-2</v>
      </c>
      <c r="O410" t="s">
        <v>6</v>
      </c>
    </row>
    <row r="411" spans="2:15" x14ac:dyDescent="0.45">
      <c r="B411" t="s">
        <v>712</v>
      </c>
      <c r="C411" t="s">
        <v>24</v>
      </c>
      <c r="D411">
        <v>0.1002417652507919</v>
      </c>
      <c r="E411" t="s">
        <v>6</v>
      </c>
      <c r="G411" t="s">
        <v>713</v>
      </c>
      <c r="H411" t="s">
        <v>24</v>
      </c>
      <c r="I411">
        <v>2.0059099369843365E-2</v>
      </c>
      <c r="J411" t="s">
        <v>6</v>
      </c>
      <c r="L411" t="s">
        <v>714</v>
      </c>
      <c r="M411" t="s">
        <v>24</v>
      </c>
      <c r="N411">
        <v>3.2393544720555396E-2</v>
      </c>
      <c r="O411" t="s">
        <v>6</v>
      </c>
    </row>
    <row r="412" spans="2:15" x14ac:dyDescent="0.45">
      <c r="B412" t="s">
        <v>712</v>
      </c>
      <c r="C412" t="s">
        <v>25</v>
      </c>
      <c r="D412">
        <v>3.1733948477606987E-2</v>
      </c>
      <c r="E412" t="s">
        <v>6</v>
      </c>
      <c r="G412" t="s">
        <v>713</v>
      </c>
      <c r="H412" t="s">
        <v>25</v>
      </c>
      <c r="I412">
        <v>2.0424206343382056E-2</v>
      </c>
      <c r="J412" t="s">
        <v>6</v>
      </c>
      <c r="L412" t="s">
        <v>714</v>
      </c>
      <c r="M412" t="s">
        <v>25</v>
      </c>
      <c r="N412">
        <v>3.1663974311665594E-2</v>
      </c>
      <c r="O412" t="s">
        <v>6</v>
      </c>
    </row>
    <row r="413" spans="2:15" x14ac:dyDescent="0.45">
      <c r="B413" t="s">
        <v>712</v>
      </c>
      <c r="C413" t="s">
        <v>26</v>
      </c>
      <c r="D413">
        <v>0</v>
      </c>
      <c r="E413" t="s">
        <v>6</v>
      </c>
      <c r="G413" t="s">
        <v>713</v>
      </c>
      <c r="H413" t="s">
        <v>26</v>
      </c>
      <c r="I413">
        <v>7.6585469990689131E-2</v>
      </c>
      <c r="J413" t="s">
        <v>6</v>
      </c>
      <c r="L413" t="s">
        <v>714</v>
      </c>
      <c r="M413" t="s">
        <v>26</v>
      </c>
      <c r="N413">
        <v>8.4812882539011231E-2</v>
      </c>
      <c r="O413" t="s">
        <v>6</v>
      </c>
    </row>
    <row r="414" spans="2:15" x14ac:dyDescent="0.45">
      <c r="B414" t="s">
        <v>712</v>
      </c>
      <c r="C414" t="s">
        <v>27</v>
      </c>
      <c r="D414">
        <v>6.3140241953923125E-4</v>
      </c>
      <c r="E414" t="s">
        <v>6</v>
      </c>
      <c r="G414" t="s">
        <v>713</v>
      </c>
      <c r="H414" t="s">
        <v>27</v>
      </c>
      <c r="I414">
        <v>3.1354255240487079E-2</v>
      </c>
      <c r="J414" t="s">
        <v>6</v>
      </c>
      <c r="L414" t="s">
        <v>714</v>
      </c>
      <c r="M414" t="s">
        <v>27</v>
      </c>
      <c r="N414">
        <v>4.2492094916613328E-2</v>
      </c>
      <c r="O414" t="s">
        <v>6</v>
      </c>
    </row>
    <row r="415" spans="2:15" x14ac:dyDescent="0.45">
      <c r="B415" t="s">
        <v>712</v>
      </c>
      <c r="C415" t="s">
        <v>28</v>
      </c>
      <c r="D415">
        <v>4.8708835065641165E-2</v>
      </c>
      <c r="E415" t="s">
        <v>6</v>
      </c>
      <c r="G415" t="s">
        <v>713</v>
      </c>
      <c r="H415" t="s">
        <v>28</v>
      </c>
      <c r="I415">
        <v>1.6444108499459237E-2</v>
      </c>
      <c r="J415" t="s">
        <v>6</v>
      </c>
      <c r="L415" t="s">
        <v>714</v>
      </c>
      <c r="M415" t="s">
        <v>28</v>
      </c>
      <c r="N415">
        <v>3.1357391810940681E-2</v>
      </c>
      <c r="O415" t="s">
        <v>6</v>
      </c>
    </row>
    <row r="416" spans="2:15" x14ac:dyDescent="0.45">
      <c r="B416" t="s">
        <v>712</v>
      </c>
      <c r="C416" t="s">
        <v>29</v>
      </c>
      <c r="D416">
        <v>9.848404407921775E-2</v>
      </c>
      <c r="E416" t="s">
        <v>6</v>
      </c>
      <c r="G416" t="s">
        <v>713</v>
      </c>
      <c r="H416" t="s">
        <v>29</v>
      </c>
      <c r="I416">
        <v>2.4993750350639131E-2</v>
      </c>
      <c r="J416" t="s">
        <v>6</v>
      </c>
      <c r="L416" t="s">
        <v>714</v>
      </c>
      <c r="M416" t="s">
        <v>29</v>
      </c>
      <c r="N416">
        <v>3.2285659608800095E-2</v>
      </c>
      <c r="O416" t="s">
        <v>6</v>
      </c>
    </row>
    <row r="417" spans="2:15" x14ac:dyDescent="0.45">
      <c r="B417" t="s">
        <v>712</v>
      </c>
      <c r="C417" t="s">
        <v>30</v>
      </c>
      <c r="D417">
        <v>7.5045021704327003E-2</v>
      </c>
      <c r="E417" t="s">
        <v>6</v>
      </c>
      <c r="G417" t="s">
        <v>713</v>
      </c>
      <c r="H417" t="s">
        <v>30</v>
      </c>
      <c r="I417">
        <v>3.121895489748628E-2</v>
      </c>
      <c r="J417" t="s">
        <v>6</v>
      </c>
      <c r="L417" t="s">
        <v>714</v>
      </c>
      <c r="M417" t="s">
        <v>30</v>
      </c>
      <c r="N417">
        <v>3.2847217023978664E-2</v>
      </c>
      <c r="O417" t="s">
        <v>6</v>
      </c>
    </row>
    <row r="418" spans="2:15" x14ac:dyDescent="0.45">
      <c r="B418" t="s">
        <v>712</v>
      </c>
      <c r="C418" t="s">
        <v>31</v>
      </c>
      <c r="D418">
        <v>1.1459285779900515E-2</v>
      </c>
      <c r="E418" t="s">
        <v>6</v>
      </c>
      <c r="G418" t="s">
        <v>713</v>
      </c>
      <c r="H418" t="s">
        <v>31</v>
      </c>
      <c r="I418">
        <v>3.1472027670851402E-2</v>
      </c>
      <c r="J418" t="s">
        <v>6</v>
      </c>
      <c r="L418" t="s">
        <v>714</v>
      </c>
      <c r="M418" t="s">
        <v>31</v>
      </c>
      <c r="N418">
        <v>3.2070104116709242E-2</v>
      </c>
      <c r="O418" t="s">
        <v>6</v>
      </c>
    </row>
    <row r="419" spans="2:15" x14ac:dyDescent="0.45">
      <c r="B419" t="s">
        <v>715</v>
      </c>
      <c r="C419" t="s">
        <v>5</v>
      </c>
      <c r="D419">
        <v>0</v>
      </c>
      <c r="E419" t="s">
        <v>6</v>
      </c>
      <c r="G419" t="s">
        <v>716</v>
      </c>
      <c r="H419" t="s">
        <v>5</v>
      </c>
      <c r="I419">
        <v>0.11371114224549619</v>
      </c>
      <c r="J419" t="s">
        <v>6</v>
      </c>
      <c r="L419" t="s">
        <v>717</v>
      </c>
      <c r="M419" t="s">
        <v>5</v>
      </c>
      <c r="N419">
        <v>0.11482487256177229</v>
      </c>
      <c r="O419" t="s">
        <v>6</v>
      </c>
    </row>
    <row r="420" spans="2:15" x14ac:dyDescent="0.45">
      <c r="B420" t="s">
        <v>715</v>
      </c>
      <c r="C420" t="s">
        <v>9</v>
      </c>
      <c r="D420">
        <v>0</v>
      </c>
      <c r="E420" t="s">
        <v>6</v>
      </c>
      <c r="G420" t="s">
        <v>716</v>
      </c>
      <c r="H420" t="s">
        <v>9</v>
      </c>
      <c r="I420">
        <v>5.7786364093741133E-2</v>
      </c>
      <c r="J420" t="s">
        <v>6</v>
      </c>
      <c r="L420" t="s">
        <v>717</v>
      </c>
      <c r="M420" t="s">
        <v>9</v>
      </c>
      <c r="N420">
        <v>5.6678158875573127E-2</v>
      </c>
      <c r="O420" t="s">
        <v>6</v>
      </c>
    </row>
    <row r="421" spans="2:15" x14ac:dyDescent="0.45">
      <c r="B421" t="s">
        <v>715</v>
      </c>
      <c r="C421" t="s">
        <v>10</v>
      </c>
      <c r="D421">
        <v>3.4372354900612384E-2</v>
      </c>
      <c r="E421" t="s">
        <v>6</v>
      </c>
      <c r="G421" t="s">
        <v>716</v>
      </c>
      <c r="H421" t="s">
        <v>10</v>
      </c>
      <c r="I421">
        <v>4.0181430195609463E-2</v>
      </c>
      <c r="J421" t="s">
        <v>6</v>
      </c>
      <c r="L421" t="s">
        <v>717</v>
      </c>
      <c r="M421" t="s">
        <v>10</v>
      </c>
      <c r="N421">
        <v>3.9852917945999163E-2</v>
      </c>
      <c r="O421" t="s">
        <v>6</v>
      </c>
    </row>
    <row r="422" spans="2:15" x14ac:dyDescent="0.45">
      <c r="B422" t="s">
        <v>715</v>
      </c>
      <c r="C422" t="s">
        <v>11</v>
      </c>
      <c r="D422">
        <v>8.6941903159816925E-2</v>
      </c>
      <c r="E422" t="s">
        <v>6</v>
      </c>
      <c r="G422" t="s">
        <v>716</v>
      </c>
      <c r="H422" t="s">
        <v>11</v>
      </c>
      <c r="I422">
        <v>4.6966538683678817E-2</v>
      </c>
      <c r="J422" t="s">
        <v>6</v>
      </c>
      <c r="L422" t="s">
        <v>717</v>
      </c>
      <c r="M422" t="s">
        <v>11</v>
      </c>
      <c r="N422">
        <v>3.9123471042978142E-2</v>
      </c>
      <c r="O422" t="s">
        <v>6</v>
      </c>
    </row>
    <row r="423" spans="2:15" x14ac:dyDescent="0.45">
      <c r="B423" t="s">
        <v>715</v>
      </c>
      <c r="C423" t="s">
        <v>12</v>
      </c>
      <c r="D423">
        <v>6.5495317019991062E-2</v>
      </c>
      <c r="E423" t="s">
        <v>6</v>
      </c>
      <c r="G423" t="s">
        <v>716</v>
      </c>
      <c r="H423" t="s">
        <v>12</v>
      </c>
      <c r="I423">
        <v>4.5969209850986632E-2</v>
      </c>
      <c r="J423" t="s">
        <v>6</v>
      </c>
      <c r="L423" t="s">
        <v>717</v>
      </c>
      <c r="M423" t="s">
        <v>12</v>
      </c>
      <c r="N423">
        <v>4.0474087066854264E-2</v>
      </c>
      <c r="O423" t="s">
        <v>6</v>
      </c>
    </row>
    <row r="424" spans="2:15" x14ac:dyDescent="0.45">
      <c r="B424" t="s">
        <v>715</v>
      </c>
      <c r="C424" t="s">
        <v>13</v>
      </c>
      <c r="D424">
        <v>7.3613110082830424E-3</v>
      </c>
      <c r="E424" t="s">
        <v>6</v>
      </c>
      <c r="G424" t="s">
        <v>716</v>
      </c>
      <c r="H424" t="s">
        <v>13</v>
      </c>
      <c r="I424">
        <v>4.1898393965530786E-2</v>
      </c>
      <c r="J424" t="s">
        <v>6</v>
      </c>
      <c r="L424" t="s">
        <v>717</v>
      </c>
      <c r="M424" t="s">
        <v>13</v>
      </c>
      <c r="N424">
        <v>4.1836419180117476E-2</v>
      </c>
      <c r="O424" t="s">
        <v>6</v>
      </c>
    </row>
    <row r="425" spans="2:15" x14ac:dyDescent="0.45">
      <c r="B425" t="s">
        <v>715</v>
      </c>
      <c r="C425" t="s">
        <v>14</v>
      </c>
      <c r="D425">
        <v>0</v>
      </c>
      <c r="E425" t="s">
        <v>6</v>
      </c>
      <c r="G425" t="s">
        <v>716</v>
      </c>
      <c r="H425" t="s">
        <v>14</v>
      </c>
      <c r="I425">
        <v>8.4977492424391565E-2</v>
      </c>
      <c r="J425" t="s">
        <v>6</v>
      </c>
      <c r="L425" t="s">
        <v>717</v>
      </c>
      <c r="M425" t="s">
        <v>14</v>
      </c>
      <c r="N425">
        <v>8.5382988272427837E-2</v>
      </c>
      <c r="O425" t="s">
        <v>6</v>
      </c>
    </row>
    <row r="426" spans="2:15" x14ac:dyDescent="0.45">
      <c r="B426" t="s">
        <v>715</v>
      </c>
      <c r="C426" t="s">
        <v>15</v>
      </c>
      <c r="D426">
        <v>3.6280570689099802E-3</v>
      </c>
      <c r="E426" t="s">
        <v>6</v>
      </c>
      <c r="G426" t="s">
        <v>716</v>
      </c>
      <c r="H426" t="s">
        <v>15</v>
      </c>
      <c r="I426">
        <v>4.0648994459040508E-2</v>
      </c>
      <c r="J426" t="s">
        <v>6</v>
      </c>
      <c r="L426" t="s">
        <v>717</v>
      </c>
      <c r="M426" t="s">
        <v>15</v>
      </c>
      <c r="N426">
        <v>4.3299258171682307E-2</v>
      </c>
      <c r="O426" t="s">
        <v>6</v>
      </c>
    </row>
    <row r="427" spans="2:15" x14ac:dyDescent="0.45">
      <c r="B427" t="s">
        <v>715</v>
      </c>
      <c r="C427" t="s">
        <v>16</v>
      </c>
      <c r="D427">
        <v>6.0471296948253726E-2</v>
      </c>
      <c r="E427" t="s">
        <v>6</v>
      </c>
      <c r="G427" t="s">
        <v>716</v>
      </c>
      <c r="H427" t="s">
        <v>16</v>
      </c>
      <c r="I427">
        <v>3.6492974573109994E-2</v>
      </c>
      <c r="J427" t="s">
        <v>6</v>
      </c>
      <c r="L427" t="s">
        <v>717</v>
      </c>
      <c r="M427" t="s">
        <v>16</v>
      </c>
      <c r="N427">
        <v>3.2339479635908372E-2</v>
      </c>
      <c r="O427" t="s">
        <v>6</v>
      </c>
    </row>
    <row r="428" spans="2:15" x14ac:dyDescent="0.45">
      <c r="B428" t="s">
        <v>715</v>
      </c>
      <c r="C428" t="s">
        <v>17</v>
      </c>
      <c r="D428">
        <v>0.10138693017744167</v>
      </c>
      <c r="E428" t="s">
        <v>6</v>
      </c>
      <c r="G428" t="s">
        <v>716</v>
      </c>
      <c r="H428" t="s">
        <v>17</v>
      </c>
      <c r="I428">
        <v>4.1717160393233269E-2</v>
      </c>
      <c r="J428" t="s">
        <v>6</v>
      </c>
      <c r="L428" t="s">
        <v>717</v>
      </c>
      <c r="M428" t="s">
        <v>17</v>
      </c>
      <c r="N428">
        <v>3.3541552415812984E-2</v>
      </c>
      <c r="O428" t="s">
        <v>6</v>
      </c>
    </row>
    <row r="429" spans="2:15" x14ac:dyDescent="0.45">
      <c r="B429" t="s">
        <v>715</v>
      </c>
      <c r="C429" t="s">
        <v>18</v>
      </c>
      <c r="D429">
        <v>7.771805787252592E-2</v>
      </c>
      <c r="E429" t="s">
        <v>6</v>
      </c>
      <c r="G429" t="s">
        <v>716</v>
      </c>
      <c r="H429" t="s">
        <v>18</v>
      </c>
      <c r="I429">
        <v>4.663924388620834E-2</v>
      </c>
      <c r="J429" t="s">
        <v>6</v>
      </c>
      <c r="L429" t="s">
        <v>717</v>
      </c>
      <c r="M429" t="s">
        <v>18</v>
      </c>
      <c r="N429">
        <v>3.3860499032134839E-2</v>
      </c>
      <c r="O429" t="s">
        <v>6</v>
      </c>
    </row>
    <row r="430" spans="2:15" x14ac:dyDescent="0.45">
      <c r="B430" t="s">
        <v>715</v>
      </c>
      <c r="C430" t="s">
        <v>19</v>
      </c>
      <c r="D430">
        <v>1.8517334136462244E-2</v>
      </c>
      <c r="E430" t="s">
        <v>6</v>
      </c>
      <c r="G430" t="s">
        <v>716</v>
      </c>
      <c r="H430" t="s">
        <v>19</v>
      </c>
      <c r="I430">
        <v>4.0976267107265589E-2</v>
      </c>
      <c r="J430" t="s">
        <v>6</v>
      </c>
      <c r="L430" t="s">
        <v>717</v>
      </c>
      <c r="M430" t="s">
        <v>19</v>
      </c>
      <c r="N430">
        <v>3.2724748420715953E-2</v>
      </c>
      <c r="O430" t="s">
        <v>6</v>
      </c>
    </row>
    <row r="431" spans="2:15" x14ac:dyDescent="0.45">
      <c r="B431" t="s">
        <v>715</v>
      </c>
      <c r="C431" t="s">
        <v>20</v>
      </c>
      <c r="D431">
        <v>1.7452832989450338E-6</v>
      </c>
      <c r="E431" t="s">
        <v>6</v>
      </c>
      <c r="G431" t="s">
        <v>716</v>
      </c>
      <c r="H431" t="s">
        <v>20</v>
      </c>
      <c r="I431">
        <v>4.4407596244174861E-2</v>
      </c>
      <c r="J431" t="s">
        <v>6</v>
      </c>
      <c r="L431" t="s">
        <v>717</v>
      </c>
      <c r="M431" t="s">
        <v>20</v>
      </c>
      <c r="N431">
        <v>4.9868336041746883E-2</v>
      </c>
      <c r="O431" t="s">
        <v>6</v>
      </c>
    </row>
    <row r="432" spans="2:15" x14ac:dyDescent="0.45">
      <c r="B432" t="s">
        <v>715</v>
      </c>
      <c r="C432" t="s">
        <v>21</v>
      </c>
      <c r="D432">
        <v>5.9032435677059724E-3</v>
      </c>
      <c r="E432" t="s">
        <v>6</v>
      </c>
      <c r="G432" t="s">
        <v>716</v>
      </c>
      <c r="H432" t="s">
        <v>21</v>
      </c>
      <c r="I432">
        <v>1.2497246838358216E-2</v>
      </c>
      <c r="J432" t="s">
        <v>6</v>
      </c>
      <c r="L432" t="s">
        <v>717</v>
      </c>
      <c r="M432" t="s">
        <v>21</v>
      </c>
      <c r="N432">
        <v>2.4902189990046394E-2</v>
      </c>
      <c r="O432" t="s">
        <v>6</v>
      </c>
    </row>
    <row r="433" spans="2:15" x14ac:dyDescent="0.45">
      <c r="B433" t="s">
        <v>715</v>
      </c>
      <c r="C433" t="s">
        <v>22</v>
      </c>
      <c r="D433">
        <v>7.0850177426079505E-2</v>
      </c>
      <c r="E433" t="s">
        <v>6</v>
      </c>
      <c r="G433" t="s">
        <v>716</v>
      </c>
      <c r="H433" t="s">
        <v>22</v>
      </c>
      <c r="I433">
        <v>8.1676825197201618E-3</v>
      </c>
      <c r="J433" t="s">
        <v>6</v>
      </c>
      <c r="L433" t="s">
        <v>717</v>
      </c>
      <c r="M433" t="s">
        <v>22</v>
      </c>
      <c r="N433">
        <v>1.8829173460324838E-2</v>
      </c>
      <c r="O433" t="s">
        <v>6</v>
      </c>
    </row>
    <row r="434" spans="2:15" x14ac:dyDescent="0.45">
      <c r="B434" t="s">
        <v>715</v>
      </c>
      <c r="C434" t="s">
        <v>23</v>
      </c>
      <c r="D434">
        <v>0.11425020094039624</v>
      </c>
      <c r="E434" t="s">
        <v>6</v>
      </c>
      <c r="G434" t="s">
        <v>716</v>
      </c>
      <c r="H434" t="s">
        <v>23</v>
      </c>
      <c r="I434">
        <v>1.128343897262082E-2</v>
      </c>
      <c r="J434" t="s">
        <v>6</v>
      </c>
      <c r="L434" t="s">
        <v>717</v>
      </c>
      <c r="M434" t="s">
        <v>23</v>
      </c>
      <c r="N434">
        <v>2.2573098876192792E-2</v>
      </c>
      <c r="O434" t="s">
        <v>6</v>
      </c>
    </row>
    <row r="435" spans="2:15" x14ac:dyDescent="0.45">
      <c r="B435" t="s">
        <v>715</v>
      </c>
      <c r="C435" t="s">
        <v>24</v>
      </c>
      <c r="D435">
        <v>9.1360668307126316E-2</v>
      </c>
      <c r="E435" t="s">
        <v>6</v>
      </c>
      <c r="G435" t="s">
        <v>716</v>
      </c>
      <c r="H435" t="s">
        <v>24</v>
      </c>
      <c r="I435">
        <v>1.6670478845539873E-2</v>
      </c>
      <c r="J435" t="s">
        <v>6</v>
      </c>
      <c r="L435" t="s">
        <v>717</v>
      </c>
      <c r="M435" t="s">
        <v>24</v>
      </c>
      <c r="N435">
        <v>2.5604058758256283E-2</v>
      </c>
      <c r="O435" t="s">
        <v>6</v>
      </c>
    </row>
    <row r="436" spans="2:15" x14ac:dyDescent="0.45">
      <c r="B436" t="s">
        <v>715</v>
      </c>
      <c r="C436" t="s">
        <v>25</v>
      </c>
      <c r="D436">
        <v>2.5334042482842593E-2</v>
      </c>
      <c r="E436" t="s">
        <v>6</v>
      </c>
      <c r="G436" t="s">
        <v>716</v>
      </c>
      <c r="H436" t="s">
        <v>25</v>
      </c>
      <c r="I436">
        <v>2.296977469813476E-2</v>
      </c>
      <c r="J436" t="s">
        <v>6</v>
      </c>
      <c r="L436" t="s">
        <v>717</v>
      </c>
      <c r="M436" t="s">
        <v>25</v>
      </c>
      <c r="N436">
        <v>2.2654034398674125E-2</v>
      </c>
      <c r="O436" t="s">
        <v>6</v>
      </c>
    </row>
    <row r="437" spans="2:15" x14ac:dyDescent="0.45">
      <c r="B437" t="s">
        <v>715</v>
      </c>
      <c r="C437" t="s">
        <v>26</v>
      </c>
      <c r="D437">
        <v>0</v>
      </c>
      <c r="E437" t="s">
        <v>6</v>
      </c>
      <c r="G437" t="s">
        <v>716</v>
      </c>
      <c r="H437" t="s">
        <v>26</v>
      </c>
      <c r="I437">
        <v>7.6322003958472134E-2</v>
      </c>
      <c r="J437" t="s">
        <v>6</v>
      </c>
      <c r="L437" t="s">
        <v>717</v>
      </c>
      <c r="M437" t="s">
        <v>26</v>
      </c>
      <c r="N437">
        <v>7.7285563566623139E-2</v>
      </c>
      <c r="O437" t="s">
        <v>6</v>
      </c>
    </row>
    <row r="438" spans="2:15" x14ac:dyDescent="0.45">
      <c r="B438" t="s">
        <v>715</v>
      </c>
      <c r="C438" t="s">
        <v>27</v>
      </c>
      <c r="D438">
        <v>1.1034881147667856E-3</v>
      </c>
      <c r="E438" t="s">
        <v>6</v>
      </c>
      <c r="G438" t="s">
        <v>716</v>
      </c>
      <c r="H438" t="s">
        <v>27</v>
      </c>
      <c r="I438">
        <v>3.6688315521103992E-2</v>
      </c>
      <c r="J438" t="s">
        <v>6</v>
      </c>
      <c r="L438" t="s">
        <v>717</v>
      </c>
      <c r="M438" t="s">
        <v>27</v>
      </c>
      <c r="N438">
        <v>4.0180808221627493E-2</v>
      </c>
      <c r="O438" t="s">
        <v>6</v>
      </c>
    </row>
    <row r="439" spans="2:15" x14ac:dyDescent="0.45">
      <c r="B439" t="s">
        <v>715</v>
      </c>
      <c r="C439" t="s">
        <v>28</v>
      </c>
      <c r="D439">
        <v>5.4106520778878057E-2</v>
      </c>
      <c r="E439" t="s">
        <v>6</v>
      </c>
      <c r="G439" t="s">
        <v>716</v>
      </c>
      <c r="H439" t="s">
        <v>28</v>
      </c>
      <c r="I439">
        <v>2.7244779782639238E-2</v>
      </c>
      <c r="J439" t="s">
        <v>6</v>
      </c>
      <c r="L439" t="s">
        <v>717</v>
      </c>
      <c r="M439" t="s">
        <v>28</v>
      </c>
      <c r="N439">
        <v>3.1055123915120882E-2</v>
      </c>
      <c r="O439" t="s">
        <v>6</v>
      </c>
    </row>
    <row r="440" spans="2:15" x14ac:dyDescent="0.45">
      <c r="B440" t="s">
        <v>715</v>
      </c>
      <c r="C440" t="s">
        <v>29</v>
      </c>
      <c r="D440">
        <v>0.10081910025789063</v>
      </c>
      <c r="E440" t="s">
        <v>6</v>
      </c>
      <c r="G440" t="s">
        <v>716</v>
      </c>
      <c r="H440" t="s">
        <v>29</v>
      </c>
      <c r="I440">
        <v>3.5310221206854613E-2</v>
      </c>
      <c r="J440" t="s">
        <v>6</v>
      </c>
      <c r="L440" t="s">
        <v>717</v>
      </c>
      <c r="M440" t="s">
        <v>29</v>
      </c>
      <c r="N440">
        <v>3.1152960898957988E-2</v>
      </c>
      <c r="O440" t="s">
        <v>6</v>
      </c>
    </row>
    <row r="441" spans="2:15" x14ac:dyDescent="0.45">
      <c r="B441" t="s">
        <v>715</v>
      </c>
      <c r="C441" t="s">
        <v>30</v>
      </c>
      <c r="D441">
        <v>7.1425148382660189E-2</v>
      </c>
      <c r="E441" t="s">
        <v>6</v>
      </c>
      <c r="G441" t="s">
        <v>716</v>
      </c>
      <c r="H441" t="s">
        <v>30</v>
      </c>
      <c r="I441">
        <v>3.6689422006459693E-2</v>
      </c>
      <c r="J441" t="s">
        <v>6</v>
      </c>
      <c r="L441" t="s">
        <v>717</v>
      </c>
      <c r="M441" t="s">
        <v>30</v>
      </c>
      <c r="N441">
        <v>3.1357460688249419E-2</v>
      </c>
      <c r="O441" t="s">
        <v>6</v>
      </c>
    </row>
    <row r="442" spans="2:15" x14ac:dyDescent="0.45">
      <c r="B442" t="s">
        <v>715</v>
      </c>
      <c r="C442" t="s">
        <v>31</v>
      </c>
      <c r="D442">
        <v>8.9531021660569556E-3</v>
      </c>
      <c r="E442" t="s">
        <v>6</v>
      </c>
      <c r="G442" t="s">
        <v>716</v>
      </c>
      <c r="H442" t="s">
        <v>31</v>
      </c>
      <c r="I442">
        <v>3.3783827527631691E-2</v>
      </c>
      <c r="J442" t="s">
        <v>6</v>
      </c>
      <c r="L442" t="s">
        <v>717</v>
      </c>
      <c r="M442" t="s">
        <v>31</v>
      </c>
      <c r="N442">
        <v>3.0598738562203198E-2</v>
      </c>
      <c r="O442" t="s">
        <v>6</v>
      </c>
    </row>
    <row r="443" spans="2:15" x14ac:dyDescent="0.45">
      <c r="B443" t="s">
        <v>718</v>
      </c>
      <c r="C443" t="s">
        <v>5</v>
      </c>
      <c r="D443">
        <v>0</v>
      </c>
      <c r="E443" t="s">
        <v>6</v>
      </c>
      <c r="G443" t="s">
        <v>719</v>
      </c>
      <c r="H443" t="s">
        <v>5</v>
      </c>
      <c r="I443">
        <v>0.13308749989179594</v>
      </c>
      <c r="J443" t="s">
        <v>6</v>
      </c>
      <c r="L443" t="s">
        <v>720</v>
      </c>
      <c r="M443" t="s">
        <v>5</v>
      </c>
      <c r="N443">
        <v>0.11331361428905447</v>
      </c>
      <c r="O443" t="s">
        <v>6</v>
      </c>
    </row>
    <row r="444" spans="2:15" x14ac:dyDescent="0.45">
      <c r="B444" t="s">
        <v>718</v>
      </c>
      <c r="C444" t="s">
        <v>9</v>
      </c>
      <c r="D444">
        <v>0</v>
      </c>
      <c r="E444" t="s">
        <v>6</v>
      </c>
      <c r="G444" t="s">
        <v>719</v>
      </c>
      <c r="H444" t="s">
        <v>9</v>
      </c>
      <c r="I444">
        <v>6.4286903123796577E-2</v>
      </c>
      <c r="J444" t="s">
        <v>6</v>
      </c>
      <c r="L444" t="s">
        <v>720</v>
      </c>
      <c r="M444" t="s">
        <v>9</v>
      </c>
      <c r="N444">
        <v>5.5563851192795541E-2</v>
      </c>
      <c r="O444" t="s">
        <v>6</v>
      </c>
    </row>
    <row r="445" spans="2:15" x14ac:dyDescent="0.45">
      <c r="B445" t="s">
        <v>718</v>
      </c>
      <c r="C445" t="s">
        <v>10</v>
      </c>
      <c r="D445">
        <v>3.3989094894423463E-2</v>
      </c>
      <c r="E445" t="s">
        <v>6</v>
      </c>
      <c r="G445" t="s">
        <v>719</v>
      </c>
      <c r="H445" t="s">
        <v>10</v>
      </c>
      <c r="I445">
        <v>4.3523549258168759E-2</v>
      </c>
      <c r="J445" t="s">
        <v>6</v>
      </c>
      <c r="L445" t="s">
        <v>720</v>
      </c>
      <c r="M445" t="s">
        <v>10</v>
      </c>
      <c r="N445">
        <v>3.9168230833119974E-2</v>
      </c>
      <c r="O445" t="s">
        <v>6</v>
      </c>
    </row>
    <row r="446" spans="2:15" x14ac:dyDescent="0.45">
      <c r="B446" t="s">
        <v>718</v>
      </c>
      <c r="C446" t="s">
        <v>11</v>
      </c>
      <c r="D446">
        <v>8.7782594520675855E-2</v>
      </c>
      <c r="E446" t="s">
        <v>6</v>
      </c>
      <c r="G446" t="s">
        <v>719</v>
      </c>
      <c r="H446" t="s">
        <v>11</v>
      </c>
      <c r="I446">
        <v>5.0074609028980178E-2</v>
      </c>
      <c r="J446" t="s">
        <v>6</v>
      </c>
      <c r="L446" t="s">
        <v>720</v>
      </c>
      <c r="M446" t="s">
        <v>11</v>
      </c>
      <c r="N446">
        <v>3.7349317459112082E-2</v>
      </c>
      <c r="O446" t="s">
        <v>6</v>
      </c>
    </row>
    <row r="447" spans="2:15" x14ac:dyDescent="0.45">
      <c r="B447" t="s">
        <v>718</v>
      </c>
      <c r="C447" t="s">
        <v>12</v>
      </c>
      <c r="D447">
        <v>6.8612840914788392E-2</v>
      </c>
      <c r="E447" t="s">
        <v>6</v>
      </c>
      <c r="G447" t="s">
        <v>719</v>
      </c>
      <c r="H447" t="s">
        <v>12</v>
      </c>
      <c r="I447">
        <v>5.5499024621925006E-2</v>
      </c>
      <c r="J447" t="s">
        <v>6</v>
      </c>
      <c r="L447" t="s">
        <v>720</v>
      </c>
      <c r="M447" t="s">
        <v>12</v>
      </c>
      <c r="N447">
        <v>3.7409559460100321E-2</v>
      </c>
      <c r="O447" t="s">
        <v>6</v>
      </c>
    </row>
    <row r="448" spans="2:15" x14ac:dyDescent="0.45">
      <c r="B448" t="s">
        <v>718</v>
      </c>
      <c r="C448" t="s">
        <v>13</v>
      </c>
      <c r="D448">
        <v>8.3058206932575852E-3</v>
      </c>
      <c r="E448" t="s">
        <v>6</v>
      </c>
      <c r="G448" t="s">
        <v>719</v>
      </c>
      <c r="H448" t="s">
        <v>13</v>
      </c>
      <c r="I448">
        <v>4.9727882261433522E-2</v>
      </c>
      <c r="J448" t="s">
        <v>6</v>
      </c>
      <c r="L448" t="s">
        <v>720</v>
      </c>
      <c r="M448" t="s">
        <v>13</v>
      </c>
      <c r="N448">
        <v>3.9393999359024878E-2</v>
      </c>
      <c r="O448" t="s">
        <v>6</v>
      </c>
    </row>
    <row r="449" spans="2:15" x14ac:dyDescent="0.45">
      <c r="B449" t="s">
        <v>718</v>
      </c>
      <c r="C449" t="s">
        <v>14</v>
      </c>
      <c r="D449">
        <v>0</v>
      </c>
      <c r="E449" t="s">
        <v>6</v>
      </c>
      <c r="G449" t="s">
        <v>719</v>
      </c>
      <c r="H449" t="s">
        <v>14</v>
      </c>
      <c r="I449">
        <v>0.10981352082800573</v>
      </c>
      <c r="J449" t="s">
        <v>6</v>
      </c>
      <c r="L449" t="s">
        <v>720</v>
      </c>
      <c r="M449" t="s">
        <v>14</v>
      </c>
      <c r="N449">
        <v>8.8369756828721405E-2</v>
      </c>
      <c r="O449" t="s">
        <v>6</v>
      </c>
    </row>
    <row r="450" spans="2:15" x14ac:dyDescent="0.45">
      <c r="B450" t="s">
        <v>718</v>
      </c>
      <c r="C450" t="s">
        <v>15</v>
      </c>
      <c r="D450">
        <v>3.1811223875554554E-3</v>
      </c>
      <c r="E450" t="s">
        <v>6</v>
      </c>
      <c r="G450" t="s">
        <v>719</v>
      </c>
      <c r="H450" t="s">
        <v>15</v>
      </c>
      <c r="I450">
        <v>4.9187236878590501E-2</v>
      </c>
      <c r="J450" t="s">
        <v>6</v>
      </c>
      <c r="L450" t="s">
        <v>720</v>
      </c>
      <c r="M450" t="s">
        <v>15</v>
      </c>
      <c r="N450">
        <v>4.8648741981647883E-2</v>
      </c>
      <c r="O450" t="s">
        <v>6</v>
      </c>
    </row>
    <row r="451" spans="2:15" x14ac:dyDescent="0.45">
      <c r="B451" t="s">
        <v>718</v>
      </c>
      <c r="C451" t="s">
        <v>16</v>
      </c>
      <c r="D451">
        <v>5.8603811756153965E-2</v>
      </c>
      <c r="E451" t="s">
        <v>6</v>
      </c>
      <c r="G451" t="s">
        <v>719</v>
      </c>
      <c r="H451" t="s">
        <v>16</v>
      </c>
      <c r="I451">
        <v>3.8577312259436433E-2</v>
      </c>
      <c r="J451" t="s">
        <v>6</v>
      </c>
      <c r="L451" t="s">
        <v>720</v>
      </c>
      <c r="M451" t="s">
        <v>16</v>
      </c>
      <c r="N451">
        <v>3.4482956645824257E-2</v>
      </c>
      <c r="O451" t="s">
        <v>6</v>
      </c>
    </row>
    <row r="452" spans="2:15" x14ac:dyDescent="0.45">
      <c r="B452" t="s">
        <v>718</v>
      </c>
      <c r="C452" t="s">
        <v>17</v>
      </c>
      <c r="D452">
        <v>0.10220139205868843</v>
      </c>
      <c r="E452" t="s">
        <v>6</v>
      </c>
      <c r="G452" t="s">
        <v>719</v>
      </c>
      <c r="H452" t="s">
        <v>17</v>
      </c>
      <c r="I452">
        <v>5.1035480413389046E-2</v>
      </c>
      <c r="J452" t="s">
        <v>6</v>
      </c>
      <c r="L452" t="s">
        <v>720</v>
      </c>
      <c r="M452" t="s">
        <v>17</v>
      </c>
      <c r="N452">
        <v>3.3858016917671596E-2</v>
      </c>
      <c r="O452" t="s">
        <v>6</v>
      </c>
    </row>
    <row r="453" spans="2:15" x14ac:dyDescent="0.45">
      <c r="B453" t="s">
        <v>718</v>
      </c>
      <c r="C453" t="s">
        <v>18</v>
      </c>
      <c r="D453">
        <v>8.2703594001484887E-2</v>
      </c>
      <c r="E453" t="s">
        <v>6</v>
      </c>
      <c r="G453" t="s">
        <v>719</v>
      </c>
      <c r="H453" t="s">
        <v>18</v>
      </c>
      <c r="I453">
        <v>5.9770586609304587E-2</v>
      </c>
      <c r="J453" t="s">
        <v>6</v>
      </c>
      <c r="L453" t="s">
        <v>720</v>
      </c>
      <c r="M453" t="s">
        <v>18</v>
      </c>
      <c r="N453">
        <v>3.6307691981626505E-2</v>
      </c>
      <c r="O453" t="s">
        <v>6</v>
      </c>
    </row>
    <row r="454" spans="2:15" x14ac:dyDescent="0.45">
      <c r="B454" t="s">
        <v>718</v>
      </c>
      <c r="C454" t="s">
        <v>19</v>
      </c>
      <c r="D454">
        <v>2.007426719001627E-2</v>
      </c>
      <c r="E454" t="s">
        <v>6</v>
      </c>
      <c r="G454" t="s">
        <v>719</v>
      </c>
      <c r="H454" t="s">
        <v>19</v>
      </c>
      <c r="I454">
        <v>4.9872486847191998E-2</v>
      </c>
      <c r="J454" t="s">
        <v>6</v>
      </c>
      <c r="L454" t="s">
        <v>720</v>
      </c>
      <c r="M454" t="s">
        <v>19</v>
      </c>
      <c r="N454">
        <v>3.4980765226571855E-2</v>
      </c>
      <c r="O454" t="s">
        <v>6</v>
      </c>
    </row>
    <row r="455" spans="2:15" x14ac:dyDescent="0.45">
      <c r="B455" t="s">
        <v>718</v>
      </c>
      <c r="C455" t="s">
        <v>20</v>
      </c>
      <c r="D455">
        <v>2.5767451585245806E-7</v>
      </c>
      <c r="E455" t="s">
        <v>6</v>
      </c>
      <c r="G455" t="s">
        <v>719</v>
      </c>
      <c r="H455" t="s">
        <v>20</v>
      </c>
      <c r="I455">
        <v>3.1504711912853853E-2</v>
      </c>
      <c r="J455" t="s">
        <v>6</v>
      </c>
      <c r="L455" t="s">
        <v>720</v>
      </c>
      <c r="M455" t="s">
        <v>20</v>
      </c>
      <c r="N455">
        <v>4.3708495666990012E-2</v>
      </c>
      <c r="O455" t="s">
        <v>6</v>
      </c>
    </row>
    <row r="456" spans="2:15" x14ac:dyDescent="0.45">
      <c r="B456" t="s">
        <v>718</v>
      </c>
      <c r="C456" t="s">
        <v>21</v>
      </c>
      <c r="D456">
        <v>5.1651219652575336E-3</v>
      </c>
      <c r="E456" t="s">
        <v>6</v>
      </c>
      <c r="G456" t="s">
        <v>719</v>
      </c>
      <c r="H456" t="s">
        <v>21</v>
      </c>
      <c r="I456">
        <v>1.0476549677485104E-2</v>
      </c>
      <c r="J456" t="s">
        <v>6</v>
      </c>
      <c r="L456" t="s">
        <v>720</v>
      </c>
      <c r="M456" t="s">
        <v>21</v>
      </c>
      <c r="N456">
        <v>1.9362821941595682E-2</v>
      </c>
      <c r="O456" t="s">
        <v>6</v>
      </c>
    </row>
    <row r="457" spans="2:15" x14ac:dyDescent="0.45">
      <c r="B457" t="s">
        <v>718</v>
      </c>
      <c r="C457" t="s">
        <v>22</v>
      </c>
      <c r="D457">
        <v>6.7590498806802859E-2</v>
      </c>
      <c r="E457" t="s">
        <v>6</v>
      </c>
      <c r="G457" t="s">
        <v>719</v>
      </c>
      <c r="H457" t="s">
        <v>22</v>
      </c>
      <c r="I457">
        <v>8.099068901959737E-3</v>
      </c>
      <c r="J457" t="s">
        <v>6</v>
      </c>
      <c r="L457" t="s">
        <v>720</v>
      </c>
      <c r="M457" t="s">
        <v>22</v>
      </c>
      <c r="N457">
        <v>1.3836764999821534E-2</v>
      </c>
      <c r="O457" t="s">
        <v>6</v>
      </c>
    </row>
    <row r="458" spans="2:15" x14ac:dyDescent="0.45">
      <c r="B458" t="s">
        <v>718</v>
      </c>
      <c r="C458" t="s">
        <v>23</v>
      </c>
      <c r="D458">
        <v>0.11218714682090324</v>
      </c>
      <c r="E458" t="s">
        <v>6</v>
      </c>
      <c r="G458" t="s">
        <v>719</v>
      </c>
      <c r="H458" t="s">
        <v>23</v>
      </c>
      <c r="I458">
        <v>1.4226586225223286E-2</v>
      </c>
      <c r="J458" t="s">
        <v>6</v>
      </c>
      <c r="L458" t="s">
        <v>720</v>
      </c>
      <c r="M458" t="s">
        <v>23</v>
      </c>
      <c r="N458">
        <v>1.6987743850291625E-2</v>
      </c>
      <c r="O458" t="s">
        <v>6</v>
      </c>
    </row>
    <row r="459" spans="2:15" x14ac:dyDescent="0.45">
      <c r="B459" t="s">
        <v>718</v>
      </c>
      <c r="C459" t="s">
        <v>24</v>
      </c>
      <c r="D459">
        <v>9.2000730833157074E-2</v>
      </c>
      <c r="E459" t="s">
        <v>6</v>
      </c>
      <c r="G459" t="s">
        <v>719</v>
      </c>
      <c r="H459" t="s">
        <v>24</v>
      </c>
      <c r="I459">
        <v>2.1087410210885289E-2</v>
      </c>
      <c r="J459" t="s">
        <v>6</v>
      </c>
      <c r="L459" t="s">
        <v>720</v>
      </c>
      <c r="M459" t="s">
        <v>24</v>
      </c>
      <c r="N459">
        <v>2.2804971681737222E-2</v>
      </c>
      <c r="O459" t="s">
        <v>6</v>
      </c>
    </row>
    <row r="460" spans="2:15" x14ac:dyDescent="0.45">
      <c r="B460" t="s">
        <v>718</v>
      </c>
      <c r="C460" t="s">
        <v>25</v>
      </c>
      <c r="D460">
        <v>2.6032448627401603E-2</v>
      </c>
      <c r="E460" t="s">
        <v>6</v>
      </c>
      <c r="G460" t="s">
        <v>719</v>
      </c>
      <c r="H460" t="s">
        <v>25</v>
      </c>
      <c r="I460">
        <v>2.1575442454030484E-2</v>
      </c>
      <c r="J460" t="s">
        <v>6</v>
      </c>
      <c r="L460" t="s">
        <v>720</v>
      </c>
      <c r="M460" t="s">
        <v>25</v>
      </c>
      <c r="N460">
        <v>2.1808903729122125E-2</v>
      </c>
      <c r="O460" t="s">
        <v>6</v>
      </c>
    </row>
    <row r="461" spans="2:15" x14ac:dyDescent="0.45">
      <c r="B461" t="s">
        <v>718</v>
      </c>
      <c r="C461" t="s">
        <v>26</v>
      </c>
      <c r="D461">
        <v>0</v>
      </c>
      <c r="E461" t="s">
        <v>6</v>
      </c>
      <c r="G461" t="s">
        <v>719</v>
      </c>
      <c r="H461" t="s">
        <v>26</v>
      </c>
      <c r="I461">
        <v>4.30275719720584E-2</v>
      </c>
      <c r="J461" t="s">
        <v>6</v>
      </c>
      <c r="L461" t="s">
        <v>720</v>
      </c>
      <c r="M461" t="s">
        <v>26</v>
      </c>
      <c r="N461">
        <v>8.868937748036837E-2</v>
      </c>
      <c r="O461" t="s">
        <v>6</v>
      </c>
    </row>
    <row r="462" spans="2:15" x14ac:dyDescent="0.45">
      <c r="B462" t="s">
        <v>718</v>
      </c>
      <c r="C462" t="s">
        <v>27</v>
      </c>
      <c r="D462">
        <v>9.5926057817962904E-4</v>
      </c>
      <c r="E462" t="s">
        <v>6</v>
      </c>
      <c r="G462" t="s">
        <v>719</v>
      </c>
      <c r="H462" t="s">
        <v>27</v>
      </c>
      <c r="I462">
        <v>1.7738415777284026E-2</v>
      </c>
      <c r="J462" t="s">
        <v>6</v>
      </c>
      <c r="L462" t="s">
        <v>720</v>
      </c>
      <c r="M462" t="s">
        <v>27</v>
      </c>
      <c r="N462">
        <v>4.4393752798959393E-2</v>
      </c>
      <c r="O462" t="s">
        <v>6</v>
      </c>
    </row>
    <row r="463" spans="2:15" x14ac:dyDescent="0.45">
      <c r="B463" t="s">
        <v>718</v>
      </c>
      <c r="C463" t="s">
        <v>28</v>
      </c>
      <c r="D463">
        <v>5.2649277370390241E-2</v>
      </c>
      <c r="E463" t="s">
        <v>6</v>
      </c>
      <c r="G463" t="s">
        <v>719</v>
      </c>
      <c r="H463" t="s">
        <v>28</v>
      </c>
      <c r="I463">
        <v>1.290975328096911E-2</v>
      </c>
      <c r="J463" t="s">
        <v>6</v>
      </c>
      <c r="L463" t="s">
        <v>720</v>
      </c>
      <c r="M463" t="s">
        <v>28</v>
      </c>
      <c r="N463">
        <v>3.1069503764173102E-2</v>
      </c>
      <c r="O463" t="s">
        <v>6</v>
      </c>
    </row>
    <row r="464" spans="2:15" x14ac:dyDescent="0.45">
      <c r="B464" t="s">
        <v>718</v>
      </c>
      <c r="C464" t="s">
        <v>29</v>
      </c>
      <c r="D464">
        <v>9.8416223511727283E-2</v>
      </c>
      <c r="E464" t="s">
        <v>6</v>
      </c>
      <c r="G464" t="s">
        <v>719</v>
      </c>
      <c r="H464" t="s">
        <v>29</v>
      </c>
      <c r="I464">
        <v>2.0079751528737692E-2</v>
      </c>
      <c r="J464" t="s">
        <v>6</v>
      </c>
      <c r="L464" t="s">
        <v>720</v>
      </c>
      <c r="M464" t="s">
        <v>29</v>
      </c>
      <c r="N464">
        <v>3.0494410252343132E-2</v>
      </c>
      <c r="O464" t="s">
        <v>6</v>
      </c>
    </row>
    <row r="465" spans="2:15" x14ac:dyDescent="0.45">
      <c r="B465" t="s">
        <v>718</v>
      </c>
      <c r="C465" t="s">
        <v>30</v>
      </c>
      <c r="D465">
        <v>7.0606683650352359E-2</v>
      </c>
      <c r="E465" t="s">
        <v>6</v>
      </c>
      <c r="G465" t="s">
        <v>719</v>
      </c>
      <c r="H465" t="s">
        <v>30</v>
      </c>
      <c r="I465">
        <v>2.3881705464236506E-2</v>
      </c>
      <c r="J465" t="s">
        <v>6</v>
      </c>
      <c r="L465" t="s">
        <v>720</v>
      </c>
      <c r="M465" t="s">
        <v>30</v>
      </c>
      <c r="N465">
        <v>3.3130203593998153E-2</v>
      </c>
      <c r="O465" t="s">
        <v>6</v>
      </c>
    </row>
    <row r="466" spans="2:15" x14ac:dyDescent="0.45">
      <c r="B466" t="s">
        <v>718</v>
      </c>
      <c r="C466" t="s">
        <v>31</v>
      </c>
      <c r="D466">
        <v>8.9378117442690738E-3</v>
      </c>
      <c r="E466" t="s">
        <v>6</v>
      </c>
      <c r="G466" t="s">
        <v>719</v>
      </c>
      <c r="H466" t="s">
        <v>31</v>
      </c>
      <c r="I466">
        <v>2.0936940572257253E-2</v>
      </c>
      <c r="J466" t="s">
        <v>6</v>
      </c>
      <c r="L466" t="s">
        <v>720</v>
      </c>
      <c r="M466" t="s">
        <v>31</v>
      </c>
      <c r="N466">
        <v>3.4866548065333437E-2</v>
      </c>
      <c r="O466" t="s">
        <v>6</v>
      </c>
    </row>
    <row r="467" spans="2:15" x14ac:dyDescent="0.45">
      <c r="B467" t="s">
        <v>721</v>
      </c>
      <c r="C467" t="s">
        <v>5</v>
      </c>
      <c r="D467">
        <v>0</v>
      </c>
      <c r="E467" t="s">
        <v>6</v>
      </c>
      <c r="G467" t="s">
        <v>722</v>
      </c>
      <c r="H467" t="s">
        <v>5</v>
      </c>
      <c r="I467">
        <v>0.14341961107411103</v>
      </c>
      <c r="J467" t="s">
        <v>6</v>
      </c>
    </row>
    <row r="468" spans="2:15" x14ac:dyDescent="0.45">
      <c r="B468" t="s">
        <v>721</v>
      </c>
      <c r="C468" t="s">
        <v>9</v>
      </c>
      <c r="D468">
        <v>0</v>
      </c>
      <c r="E468" t="s">
        <v>6</v>
      </c>
      <c r="G468" t="s">
        <v>722</v>
      </c>
      <c r="H468" t="s">
        <v>9</v>
      </c>
      <c r="I468">
        <v>8.0489166004983223E-2</v>
      </c>
      <c r="J468" t="s">
        <v>6</v>
      </c>
    </row>
    <row r="469" spans="2:15" x14ac:dyDescent="0.45">
      <c r="B469" t="s">
        <v>721</v>
      </c>
      <c r="C469" t="s">
        <v>10</v>
      </c>
      <c r="D469">
        <v>3.7997542613637289E-2</v>
      </c>
      <c r="E469" t="s">
        <v>6</v>
      </c>
      <c r="G469" t="s">
        <v>722</v>
      </c>
      <c r="H469" t="s">
        <v>10</v>
      </c>
      <c r="I469">
        <v>5.5196151460814427E-2</v>
      </c>
      <c r="J469" t="s">
        <v>6</v>
      </c>
    </row>
    <row r="470" spans="2:15" x14ac:dyDescent="0.45">
      <c r="B470" t="s">
        <v>721</v>
      </c>
      <c r="C470" t="s">
        <v>11</v>
      </c>
      <c r="D470">
        <v>9.03969568021845E-2</v>
      </c>
      <c r="E470" t="s">
        <v>6</v>
      </c>
      <c r="G470" t="s">
        <v>722</v>
      </c>
      <c r="H470" t="s">
        <v>11</v>
      </c>
      <c r="I470">
        <v>5.220638542952289E-2</v>
      </c>
      <c r="J470" t="s">
        <v>6</v>
      </c>
    </row>
    <row r="471" spans="2:15" x14ac:dyDescent="0.45">
      <c r="B471" t="s">
        <v>721</v>
      </c>
      <c r="C471" t="s">
        <v>12</v>
      </c>
      <c r="D471">
        <v>6.6575524934548019E-2</v>
      </c>
      <c r="E471" t="s">
        <v>6</v>
      </c>
      <c r="G471" t="s">
        <v>722</v>
      </c>
      <c r="H471" t="s">
        <v>12</v>
      </c>
      <c r="I471">
        <v>4.9592592808876644E-2</v>
      </c>
      <c r="J471" t="s">
        <v>6</v>
      </c>
    </row>
    <row r="472" spans="2:15" x14ac:dyDescent="0.45">
      <c r="B472" t="s">
        <v>721</v>
      </c>
      <c r="C472" t="s">
        <v>13</v>
      </c>
      <c r="D472">
        <v>7.0198134055819324E-3</v>
      </c>
      <c r="E472" t="s">
        <v>6</v>
      </c>
      <c r="G472" t="s">
        <v>722</v>
      </c>
      <c r="H472" t="s">
        <v>13</v>
      </c>
      <c r="I472">
        <v>4.7169754244318012E-2</v>
      </c>
      <c r="J472" t="s">
        <v>6</v>
      </c>
    </row>
    <row r="473" spans="2:15" x14ac:dyDescent="0.45">
      <c r="B473" t="s">
        <v>721</v>
      </c>
      <c r="C473" t="s">
        <v>14</v>
      </c>
      <c r="D473">
        <v>0</v>
      </c>
      <c r="E473" t="s">
        <v>6</v>
      </c>
      <c r="G473" t="s">
        <v>722</v>
      </c>
      <c r="H473" t="s">
        <v>14</v>
      </c>
      <c r="I473">
        <v>9.3492156165554355E-2</v>
      </c>
      <c r="J473" t="s">
        <v>6</v>
      </c>
    </row>
    <row r="474" spans="2:15" x14ac:dyDescent="0.45">
      <c r="B474" t="s">
        <v>721</v>
      </c>
      <c r="C474" t="s">
        <v>15</v>
      </c>
      <c r="D474">
        <v>4.1560419859774786E-3</v>
      </c>
      <c r="E474" t="s">
        <v>6</v>
      </c>
      <c r="G474" t="s">
        <v>722</v>
      </c>
      <c r="H474" t="s">
        <v>15</v>
      </c>
      <c r="I474">
        <v>5.0453151870359023E-2</v>
      </c>
      <c r="J474" t="s">
        <v>6</v>
      </c>
    </row>
    <row r="475" spans="2:15" x14ac:dyDescent="0.45">
      <c r="B475" t="s">
        <v>721</v>
      </c>
      <c r="C475" t="s">
        <v>16</v>
      </c>
      <c r="D475">
        <v>6.3977392809098782E-2</v>
      </c>
      <c r="E475" t="s">
        <v>6</v>
      </c>
      <c r="G475" t="s">
        <v>722</v>
      </c>
      <c r="H475" t="s">
        <v>16</v>
      </c>
      <c r="I475">
        <v>3.7602411182731846E-2</v>
      </c>
      <c r="J475" t="s">
        <v>6</v>
      </c>
    </row>
    <row r="476" spans="2:15" x14ac:dyDescent="0.45">
      <c r="B476" t="s">
        <v>721</v>
      </c>
      <c r="C476" t="s">
        <v>17</v>
      </c>
      <c r="D476">
        <v>0.10313620726719544</v>
      </c>
      <c r="E476" t="s">
        <v>6</v>
      </c>
      <c r="G476" t="s">
        <v>722</v>
      </c>
      <c r="H476" t="s">
        <v>17</v>
      </c>
      <c r="I476">
        <v>4.2248511199011907E-2</v>
      </c>
      <c r="J476" t="s">
        <v>6</v>
      </c>
    </row>
    <row r="477" spans="2:15" x14ac:dyDescent="0.45">
      <c r="B477" t="s">
        <v>721</v>
      </c>
      <c r="C477" t="s">
        <v>18</v>
      </c>
      <c r="D477">
        <v>8.0049120707756785E-2</v>
      </c>
      <c r="E477" t="s">
        <v>6</v>
      </c>
      <c r="G477" t="s">
        <v>722</v>
      </c>
      <c r="H477" t="s">
        <v>18</v>
      </c>
      <c r="I477">
        <v>4.8747972208901751E-2</v>
      </c>
      <c r="J477" t="s">
        <v>6</v>
      </c>
    </row>
    <row r="478" spans="2:15" x14ac:dyDescent="0.45">
      <c r="B478" t="s">
        <v>721</v>
      </c>
      <c r="C478" t="s">
        <v>19</v>
      </c>
      <c r="D478">
        <v>1.7841274150088803E-2</v>
      </c>
      <c r="E478" t="s">
        <v>6</v>
      </c>
      <c r="G478" t="s">
        <v>722</v>
      </c>
      <c r="H478" t="s">
        <v>19</v>
      </c>
      <c r="I478">
        <v>4.1110952797253339E-2</v>
      </c>
      <c r="J478" t="s">
        <v>6</v>
      </c>
    </row>
    <row r="479" spans="2:15" x14ac:dyDescent="0.45">
      <c r="B479" t="s">
        <v>721</v>
      </c>
      <c r="C479" t="s">
        <v>20</v>
      </c>
      <c r="D479">
        <v>0</v>
      </c>
      <c r="E479" t="s">
        <v>6</v>
      </c>
      <c r="G479" t="s">
        <v>722</v>
      </c>
      <c r="H479" t="s">
        <v>20</v>
      </c>
      <c r="I479">
        <v>1.7654383317343585E-2</v>
      </c>
      <c r="J479" t="s">
        <v>6</v>
      </c>
    </row>
    <row r="480" spans="2:15" x14ac:dyDescent="0.45">
      <c r="B480" t="s">
        <v>721</v>
      </c>
      <c r="C480" t="s">
        <v>21</v>
      </c>
      <c r="D480">
        <v>6.2041473031047905E-3</v>
      </c>
      <c r="E480" t="s">
        <v>6</v>
      </c>
      <c r="G480" t="s">
        <v>722</v>
      </c>
      <c r="H480" t="s">
        <v>21</v>
      </c>
      <c r="I480">
        <v>7.0394547966022803E-3</v>
      </c>
      <c r="J480" t="s">
        <v>6</v>
      </c>
    </row>
    <row r="481" spans="2:10" x14ac:dyDescent="0.45">
      <c r="B481" t="s">
        <v>721</v>
      </c>
      <c r="C481" t="s">
        <v>22</v>
      </c>
      <c r="D481">
        <v>6.9055935260517315E-2</v>
      </c>
      <c r="E481" t="s">
        <v>6</v>
      </c>
      <c r="G481" t="s">
        <v>722</v>
      </c>
      <c r="H481" t="s">
        <v>22</v>
      </c>
      <c r="I481">
        <v>5.0168765712506969E-3</v>
      </c>
      <c r="J481" t="s">
        <v>6</v>
      </c>
    </row>
    <row r="482" spans="2:10" x14ac:dyDescent="0.45">
      <c r="B482" t="s">
        <v>721</v>
      </c>
      <c r="C482" t="s">
        <v>23</v>
      </c>
      <c r="D482">
        <v>0.11153105890732991</v>
      </c>
      <c r="E482" t="s">
        <v>6</v>
      </c>
      <c r="G482" t="s">
        <v>722</v>
      </c>
      <c r="H482" t="s">
        <v>23</v>
      </c>
      <c r="I482">
        <v>1.1131533434911316E-2</v>
      </c>
      <c r="J482" t="s">
        <v>6</v>
      </c>
    </row>
    <row r="483" spans="2:10" x14ac:dyDescent="0.45">
      <c r="B483" t="s">
        <v>721</v>
      </c>
      <c r="C483" t="s">
        <v>24</v>
      </c>
      <c r="D483">
        <v>8.8444545819064788E-2</v>
      </c>
      <c r="E483" t="s">
        <v>6</v>
      </c>
      <c r="G483" t="s">
        <v>722</v>
      </c>
      <c r="H483" t="s">
        <v>24</v>
      </c>
      <c r="I483">
        <v>2.2219395014455176E-2</v>
      </c>
      <c r="J483" t="s">
        <v>6</v>
      </c>
    </row>
    <row r="484" spans="2:10" x14ac:dyDescent="0.45">
      <c r="B484" t="s">
        <v>721</v>
      </c>
      <c r="C484" t="s">
        <v>25</v>
      </c>
      <c r="D484">
        <v>2.3470116349007836E-2</v>
      </c>
      <c r="E484" t="s">
        <v>6</v>
      </c>
      <c r="G484" t="s">
        <v>722</v>
      </c>
      <c r="H484" t="s">
        <v>25</v>
      </c>
      <c r="I484">
        <v>1.831562480575414E-2</v>
      </c>
      <c r="J484" t="s">
        <v>6</v>
      </c>
    </row>
    <row r="485" spans="2:10" x14ac:dyDescent="0.45">
      <c r="B485" t="s">
        <v>721</v>
      </c>
      <c r="C485" t="s">
        <v>26</v>
      </c>
      <c r="D485">
        <v>0</v>
      </c>
      <c r="E485" t="s">
        <v>6</v>
      </c>
      <c r="G485" t="s">
        <v>722</v>
      </c>
      <c r="H485" t="s">
        <v>26</v>
      </c>
      <c r="I485">
        <v>5.9326770679361117E-2</v>
      </c>
      <c r="J485" t="s">
        <v>6</v>
      </c>
    </row>
    <row r="486" spans="2:10" x14ac:dyDescent="0.45">
      <c r="B486" t="s">
        <v>721</v>
      </c>
      <c r="C486" t="s">
        <v>27</v>
      </c>
      <c r="D486">
        <v>1.2557062611286644E-3</v>
      </c>
      <c r="E486" t="s">
        <v>6</v>
      </c>
      <c r="G486" t="s">
        <v>722</v>
      </c>
      <c r="H486" t="s">
        <v>27</v>
      </c>
      <c r="I486">
        <v>3.0956896625473893E-2</v>
      </c>
      <c r="J486" t="s">
        <v>6</v>
      </c>
    </row>
    <row r="487" spans="2:10" x14ac:dyDescent="0.45">
      <c r="B487" t="s">
        <v>721</v>
      </c>
      <c r="C487" t="s">
        <v>28</v>
      </c>
      <c r="D487">
        <v>5.3884371093163165E-2</v>
      </c>
      <c r="E487" t="s">
        <v>6</v>
      </c>
      <c r="G487" t="s">
        <v>722</v>
      </c>
      <c r="H487" t="s">
        <v>28</v>
      </c>
      <c r="I487">
        <v>1.8857502630868467E-2</v>
      </c>
      <c r="J487" t="s">
        <v>6</v>
      </c>
    </row>
    <row r="488" spans="2:10" x14ac:dyDescent="0.45">
      <c r="B488" t="s">
        <v>721</v>
      </c>
      <c r="C488" t="s">
        <v>29</v>
      </c>
      <c r="D488">
        <v>9.8367407529103376E-2</v>
      </c>
      <c r="E488" t="s">
        <v>6</v>
      </c>
      <c r="G488" t="s">
        <v>722</v>
      </c>
      <c r="H488" t="s">
        <v>29</v>
      </c>
      <c r="I488">
        <v>1.9337355647575136E-2</v>
      </c>
      <c r="J488" t="s">
        <v>6</v>
      </c>
    </row>
    <row r="489" spans="2:10" x14ac:dyDescent="0.45">
      <c r="B489" t="s">
        <v>721</v>
      </c>
      <c r="C489" t="s">
        <v>30</v>
      </c>
      <c r="D489">
        <v>6.8721979618016432E-2</v>
      </c>
      <c r="E489" t="s">
        <v>6</v>
      </c>
      <c r="G489" t="s">
        <v>722</v>
      </c>
      <c r="H489" t="s">
        <v>30</v>
      </c>
      <c r="I489">
        <v>2.3989349003621895E-2</v>
      </c>
      <c r="J489" t="s">
        <v>6</v>
      </c>
    </row>
    <row r="490" spans="2:10" x14ac:dyDescent="0.45">
      <c r="B490" t="s">
        <v>721</v>
      </c>
      <c r="C490" t="s">
        <v>31</v>
      </c>
      <c r="D490">
        <v>7.9148571834959051E-3</v>
      </c>
      <c r="E490" t="s">
        <v>6</v>
      </c>
      <c r="G490" t="s">
        <v>722</v>
      </c>
      <c r="H490" t="s">
        <v>31</v>
      </c>
      <c r="I490">
        <v>2.4426041026350723E-2</v>
      </c>
      <c r="J490" t="s">
        <v>6</v>
      </c>
    </row>
    <row r="491" spans="2:10" x14ac:dyDescent="0.45">
      <c r="B491" t="s">
        <v>723</v>
      </c>
      <c r="C491" t="s">
        <v>5</v>
      </c>
      <c r="D491">
        <v>0</v>
      </c>
      <c r="E491" t="s">
        <v>6</v>
      </c>
      <c r="G491" t="s">
        <v>724</v>
      </c>
      <c r="H491" t="s">
        <v>5</v>
      </c>
      <c r="I491">
        <v>0.12980047651400647</v>
      </c>
      <c r="J491" t="s">
        <v>6</v>
      </c>
    </row>
    <row r="492" spans="2:10" x14ac:dyDescent="0.45">
      <c r="B492" t="s">
        <v>723</v>
      </c>
      <c r="C492" t="s">
        <v>9</v>
      </c>
      <c r="D492">
        <v>0</v>
      </c>
      <c r="E492" t="s">
        <v>6</v>
      </c>
      <c r="G492" t="s">
        <v>724</v>
      </c>
      <c r="H492" t="s">
        <v>9</v>
      </c>
      <c r="I492">
        <v>7.2060843096749205E-2</v>
      </c>
      <c r="J492" t="s">
        <v>6</v>
      </c>
    </row>
    <row r="493" spans="2:10" x14ac:dyDescent="0.45">
      <c r="B493" t="s">
        <v>723</v>
      </c>
      <c r="C493" t="s">
        <v>10</v>
      </c>
      <c r="D493">
        <v>3.5038708863915954E-2</v>
      </c>
      <c r="E493" t="s">
        <v>6</v>
      </c>
      <c r="G493" t="s">
        <v>724</v>
      </c>
      <c r="H493" t="s">
        <v>10</v>
      </c>
      <c r="I493">
        <v>5.0971314112540335E-2</v>
      </c>
      <c r="J493" t="s">
        <v>6</v>
      </c>
    </row>
    <row r="494" spans="2:10" x14ac:dyDescent="0.45">
      <c r="B494" t="s">
        <v>723</v>
      </c>
      <c r="C494" t="s">
        <v>11</v>
      </c>
      <c r="D494">
        <v>8.8735299188988259E-2</v>
      </c>
      <c r="E494" t="s">
        <v>6</v>
      </c>
      <c r="G494" t="s">
        <v>724</v>
      </c>
      <c r="H494" t="s">
        <v>11</v>
      </c>
      <c r="I494">
        <v>5.07364684552844E-2</v>
      </c>
      <c r="J494" t="s">
        <v>6</v>
      </c>
    </row>
    <row r="495" spans="2:10" x14ac:dyDescent="0.45">
      <c r="B495" t="s">
        <v>723</v>
      </c>
      <c r="C495" t="s">
        <v>12</v>
      </c>
      <c r="D495">
        <v>6.7015323796023679E-2</v>
      </c>
      <c r="E495" t="s">
        <v>6</v>
      </c>
      <c r="G495" t="s">
        <v>724</v>
      </c>
      <c r="H495" t="s">
        <v>12</v>
      </c>
      <c r="I495">
        <v>5.0405256063240866E-2</v>
      </c>
      <c r="J495" t="s">
        <v>6</v>
      </c>
    </row>
    <row r="496" spans="2:10" x14ac:dyDescent="0.45">
      <c r="B496" t="s">
        <v>723</v>
      </c>
      <c r="C496" t="s">
        <v>13</v>
      </c>
      <c r="D496">
        <v>5.8568558202829564E-3</v>
      </c>
      <c r="E496" t="s">
        <v>6</v>
      </c>
      <c r="G496" t="s">
        <v>724</v>
      </c>
      <c r="H496" t="s">
        <v>13</v>
      </c>
      <c r="I496">
        <v>4.9263933978311948E-2</v>
      </c>
      <c r="J496" t="s">
        <v>6</v>
      </c>
    </row>
    <row r="497" spans="2:10" x14ac:dyDescent="0.45">
      <c r="B497" t="s">
        <v>723</v>
      </c>
      <c r="C497" t="s">
        <v>14</v>
      </c>
      <c r="D497">
        <v>0</v>
      </c>
      <c r="E497" t="s">
        <v>6</v>
      </c>
      <c r="G497" t="s">
        <v>724</v>
      </c>
      <c r="H497" t="s">
        <v>14</v>
      </c>
      <c r="I497">
        <v>8.3109779711875137E-2</v>
      </c>
      <c r="J497" t="s">
        <v>6</v>
      </c>
    </row>
    <row r="498" spans="2:10" x14ac:dyDescent="0.45">
      <c r="B498" t="s">
        <v>723</v>
      </c>
      <c r="C498" t="s">
        <v>15</v>
      </c>
      <c r="D498">
        <v>4.2432365468279528E-3</v>
      </c>
      <c r="E498" t="s">
        <v>6</v>
      </c>
      <c r="G498" t="s">
        <v>724</v>
      </c>
      <c r="H498" t="s">
        <v>15</v>
      </c>
      <c r="I498">
        <v>4.1274582416398232E-2</v>
      </c>
      <c r="J498" t="s">
        <v>6</v>
      </c>
    </row>
    <row r="499" spans="2:10" x14ac:dyDescent="0.45">
      <c r="B499" t="s">
        <v>723</v>
      </c>
      <c r="C499" t="s">
        <v>16</v>
      </c>
      <c r="D499">
        <v>6.3185448245018025E-2</v>
      </c>
      <c r="E499" t="s">
        <v>6</v>
      </c>
      <c r="G499" t="s">
        <v>724</v>
      </c>
      <c r="H499" t="s">
        <v>16</v>
      </c>
      <c r="I499">
        <v>3.1996641907864928E-2</v>
      </c>
      <c r="J499" t="s">
        <v>6</v>
      </c>
    </row>
    <row r="500" spans="2:10" x14ac:dyDescent="0.45">
      <c r="B500" t="s">
        <v>723</v>
      </c>
      <c r="C500" t="s">
        <v>17</v>
      </c>
      <c r="D500">
        <v>0.1054550213750625</v>
      </c>
      <c r="E500" t="s">
        <v>6</v>
      </c>
      <c r="G500" t="s">
        <v>724</v>
      </c>
      <c r="H500" t="s">
        <v>17</v>
      </c>
      <c r="I500">
        <v>4.0647391052614071E-2</v>
      </c>
      <c r="J500" t="s">
        <v>6</v>
      </c>
    </row>
    <row r="501" spans="2:10" x14ac:dyDescent="0.45">
      <c r="B501" t="s">
        <v>723</v>
      </c>
      <c r="C501" t="s">
        <v>18</v>
      </c>
      <c r="D501">
        <v>8.0923108034323885E-2</v>
      </c>
      <c r="E501" t="s">
        <v>6</v>
      </c>
      <c r="G501" t="s">
        <v>724</v>
      </c>
      <c r="H501" t="s">
        <v>18</v>
      </c>
      <c r="I501">
        <v>5.3080729212955029E-2</v>
      </c>
      <c r="J501" t="s">
        <v>6</v>
      </c>
    </row>
    <row r="502" spans="2:10" x14ac:dyDescent="0.45">
      <c r="B502" t="s">
        <v>723</v>
      </c>
      <c r="C502" t="s">
        <v>19</v>
      </c>
      <c r="D502">
        <v>1.7671575815101995E-2</v>
      </c>
      <c r="E502" t="s">
        <v>6</v>
      </c>
      <c r="G502" t="s">
        <v>724</v>
      </c>
      <c r="H502" t="s">
        <v>19</v>
      </c>
      <c r="I502">
        <v>4.5156728162393925E-2</v>
      </c>
      <c r="J502" t="s">
        <v>6</v>
      </c>
    </row>
    <row r="503" spans="2:10" x14ac:dyDescent="0.45">
      <c r="B503" t="s">
        <v>723</v>
      </c>
      <c r="C503" t="s">
        <v>20</v>
      </c>
      <c r="D503">
        <v>5.7309512065850559E-7</v>
      </c>
      <c r="E503" t="s">
        <v>6</v>
      </c>
      <c r="G503" t="s">
        <v>724</v>
      </c>
      <c r="H503" t="s">
        <v>20</v>
      </c>
      <c r="I503">
        <v>2.4878841819911377E-2</v>
      </c>
      <c r="J503" t="s">
        <v>6</v>
      </c>
    </row>
    <row r="504" spans="2:10" x14ac:dyDescent="0.45">
      <c r="B504" t="s">
        <v>723</v>
      </c>
      <c r="C504" t="s">
        <v>21</v>
      </c>
      <c r="D504">
        <v>6.798160036130982E-3</v>
      </c>
      <c r="E504" t="s">
        <v>6</v>
      </c>
      <c r="G504" t="s">
        <v>724</v>
      </c>
      <c r="H504" t="s">
        <v>21</v>
      </c>
      <c r="I504">
        <v>1.1711025538306816E-2</v>
      </c>
      <c r="J504" t="s">
        <v>6</v>
      </c>
    </row>
    <row r="505" spans="2:10" x14ac:dyDescent="0.45">
      <c r="B505" t="s">
        <v>723</v>
      </c>
      <c r="C505" t="s">
        <v>22</v>
      </c>
      <c r="D505">
        <v>7.2444350207270386E-2</v>
      </c>
      <c r="E505" t="s">
        <v>6</v>
      </c>
      <c r="G505" t="s">
        <v>724</v>
      </c>
      <c r="H505" t="s">
        <v>22</v>
      </c>
      <c r="I505">
        <v>9.6699741522331857E-3</v>
      </c>
      <c r="J505" t="s">
        <v>6</v>
      </c>
    </row>
    <row r="506" spans="2:10" x14ac:dyDescent="0.45">
      <c r="B506" t="s">
        <v>723</v>
      </c>
      <c r="C506" t="s">
        <v>23</v>
      </c>
      <c r="D506">
        <v>0.11168748920362896</v>
      </c>
      <c r="E506" t="s">
        <v>6</v>
      </c>
      <c r="G506" t="s">
        <v>724</v>
      </c>
      <c r="H506" t="s">
        <v>23</v>
      </c>
      <c r="I506">
        <v>1.9673058469292914E-2</v>
      </c>
      <c r="J506" t="s">
        <v>6</v>
      </c>
    </row>
    <row r="507" spans="2:10" x14ac:dyDescent="0.45">
      <c r="B507" t="s">
        <v>723</v>
      </c>
      <c r="C507" t="s">
        <v>24</v>
      </c>
      <c r="D507">
        <v>8.5667312440994611E-2</v>
      </c>
      <c r="E507" t="s">
        <v>6</v>
      </c>
      <c r="G507" t="s">
        <v>724</v>
      </c>
      <c r="H507" t="s">
        <v>24</v>
      </c>
      <c r="I507">
        <v>3.0278936507234119E-2</v>
      </c>
      <c r="J507" t="s">
        <v>6</v>
      </c>
    </row>
    <row r="508" spans="2:10" x14ac:dyDescent="0.45">
      <c r="B508" t="s">
        <v>723</v>
      </c>
      <c r="C508" t="s">
        <v>25</v>
      </c>
      <c r="D508">
        <v>2.3275474493296578E-2</v>
      </c>
      <c r="E508" t="s">
        <v>6</v>
      </c>
      <c r="G508" t="s">
        <v>724</v>
      </c>
      <c r="H508" t="s">
        <v>25</v>
      </c>
      <c r="I508">
        <v>2.3507043790004168E-2</v>
      </c>
      <c r="J508" t="s">
        <v>6</v>
      </c>
    </row>
    <row r="509" spans="2:10" x14ac:dyDescent="0.45">
      <c r="B509" t="s">
        <v>723</v>
      </c>
      <c r="C509" t="s">
        <v>26</v>
      </c>
      <c r="D509">
        <v>0</v>
      </c>
      <c r="E509" t="s">
        <v>6</v>
      </c>
      <c r="G509" t="s">
        <v>724</v>
      </c>
      <c r="H509" t="s">
        <v>26</v>
      </c>
      <c r="I509">
        <v>5.8020368432616903E-2</v>
      </c>
      <c r="J509" t="s">
        <v>6</v>
      </c>
    </row>
    <row r="510" spans="2:10" x14ac:dyDescent="0.45">
      <c r="B510" t="s">
        <v>723</v>
      </c>
      <c r="C510" t="s">
        <v>27</v>
      </c>
      <c r="D510">
        <v>1.4066208657577965E-3</v>
      </c>
      <c r="E510" t="s">
        <v>6</v>
      </c>
      <c r="G510" t="s">
        <v>724</v>
      </c>
      <c r="H510" t="s">
        <v>27</v>
      </c>
      <c r="I510">
        <v>2.9531303239218619E-2</v>
      </c>
      <c r="J510" t="s">
        <v>6</v>
      </c>
    </row>
    <row r="511" spans="2:10" x14ac:dyDescent="0.45">
      <c r="B511" t="s">
        <v>723</v>
      </c>
      <c r="C511" t="s">
        <v>28</v>
      </c>
      <c r="D511">
        <v>5.3261829968830457E-2</v>
      </c>
      <c r="E511" t="s">
        <v>6</v>
      </c>
      <c r="G511" t="s">
        <v>724</v>
      </c>
      <c r="H511" t="s">
        <v>28</v>
      </c>
      <c r="I511">
        <v>1.9759432515364529E-2</v>
      </c>
      <c r="J511" t="s">
        <v>6</v>
      </c>
    </row>
    <row r="512" spans="2:10" x14ac:dyDescent="0.45">
      <c r="B512" t="s">
        <v>723</v>
      </c>
      <c r="C512" t="s">
        <v>29</v>
      </c>
      <c r="D512">
        <v>0.10015440357508038</v>
      </c>
      <c r="E512" t="s">
        <v>6</v>
      </c>
      <c r="G512" t="s">
        <v>724</v>
      </c>
      <c r="H512" t="s">
        <v>29</v>
      </c>
      <c r="I512">
        <v>2.0723565604280961E-2</v>
      </c>
      <c r="J512" t="s">
        <v>6</v>
      </c>
    </row>
    <row r="513" spans="2:10" x14ac:dyDescent="0.45">
      <c r="B513" t="s">
        <v>723</v>
      </c>
      <c r="C513" t="s">
        <v>30</v>
      </c>
      <c r="D513">
        <v>6.9454271096204431E-2</v>
      </c>
      <c r="E513" t="s">
        <v>6</v>
      </c>
      <c r="G513" t="s">
        <v>724</v>
      </c>
      <c r="H513" t="s">
        <v>30</v>
      </c>
      <c r="I513">
        <v>2.6596109654456083E-2</v>
      </c>
      <c r="J513" t="s">
        <v>6</v>
      </c>
    </row>
    <row r="514" spans="2:10" x14ac:dyDescent="0.45">
      <c r="B514" t="s">
        <v>723</v>
      </c>
      <c r="C514" t="s">
        <v>31</v>
      </c>
      <c r="D514">
        <v>7.7249373321393823E-3</v>
      </c>
      <c r="E514" t="s">
        <v>6</v>
      </c>
      <c r="G514" t="s">
        <v>724</v>
      </c>
      <c r="H514" t="s">
        <v>31</v>
      </c>
      <c r="I514">
        <v>2.7146195592848563E-2</v>
      </c>
      <c r="J514" t="s">
        <v>6</v>
      </c>
    </row>
    <row r="515" spans="2:10" x14ac:dyDescent="0.45">
      <c r="B515" t="s">
        <v>725</v>
      </c>
      <c r="C515" t="s">
        <v>5</v>
      </c>
      <c r="D515">
        <v>0</v>
      </c>
      <c r="E515" t="s">
        <v>6</v>
      </c>
      <c r="G515" t="s">
        <v>726</v>
      </c>
      <c r="H515" t="s">
        <v>5</v>
      </c>
      <c r="I515">
        <v>9.5012229927854103E-2</v>
      </c>
      <c r="J515" t="s">
        <v>6</v>
      </c>
    </row>
    <row r="516" spans="2:10" x14ac:dyDescent="0.45">
      <c r="B516" t="s">
        <v>725</v>
      </c>
      <c r="C516" t="s">
        <v>9</v>
      </c>
      <c r="D516">
        <v>0</v>
      </c>
      <c r="E516" t="s">
        <v>6</v>
      </c>
      <c r="G516" t="s">
        <v>726</v>
      </c>
      <c r="H516" t="s">
        <v>9</v>
      </c>
      <c r="I516">
        <v>5.1187402559587085E-2</v>
      </c>
      <c r="J516" t="s">
        <v>6</v>
      </c>
    </row>
    <row r="517" spans="2:10" x14ac:dyDescent="0.45">
      <c r="B517" t="s">
        <v>725</v>
      </c>
      <c r="C517" t="s">
        <v>10</v>
      </c>
      <c r="D517">
        <v>3.2245980166618109E-2</v>
      </c>
      <c r="E517" t="s">
        <v>6</v>
      </c>
      <c r="G517" t="s">
        <v>726</v>
      </c>
      <c r="H517" t="s">
        <v>10</v>
      </c>
      <c r="I517">
        <v>3.691949936500058E-2</v>
      </c>
      <c r="J517" t="s">
        <v>6</v>
      </c>
    </row>
    <row r="518" spans="2:10" x14ac:dyDescent="0.45">
      <c r="B518" t="s">
        <v>725</v>
      </c>
      <c r="C518" t="s">
        <v>11</v>
      </c>
      <c r="D518">
        <v>8.6498558095019981E-2</v>
      </c>
      <c r="E518" t="s">
        <v>6</v>
      </c>
      <c r="G518" t="s">
        <v>726</v>
      </c>
      <c r="H518" t="s">
        <v>11</v>
      </c>
      <c r="I518">
        <v>4.0872666287709664E-2</v>
      </c>
      <c r="J518" t="s">
        <v>6</v>
      </c>
    </row>
    <row r="519" spans="2:10" x14ac:dyDescent="0.45">
      <c r="B519" t="s">
        <v>725</v>
      </c>
      <c r="C519" t="s">
        <v>12</v>
      </c>
      <c r="D519">
        <v>6.302280926283145E-2</v>
      </c>
      <c r="E519" t="s">
        <v>6</v>
      </c>
      <c r="G519" t="s">
        <v>726</v>
      </c>
      <c r="H519" t="s">
        <v>12</v>
      </c>
      <c r="I519">
        <v>4.0253655615759137E-2</v>
      </c>
      <c r="J519" t="s">
        <v>6</v>
      </c>
    </row>
    <row r="520" spans="2:10" x14ac:dyDescent="0.45">
      <c r="B520" t="s">
        <v>725</v>
      </c>
      <c r="C520" t="s">
        <v>13</v>
      </c>
      <c r="D520">
        <v>4.9164732560820212E-3</v>
      </c>
      <c r="E520" t="s">
        <v>6</v>
      </c>
      <c r="G520" t="s">
        <v>726</v>
      </c>
      <c r="H520" t="s">
        <v>13</v>
      </c>
      <c r="I520">
        <v>3.8055993286082564E-2</v>
      </c>
      <c r="J520" t="s">
        <v>6</v>
      </c>
    </row>
    <row r="521" spans="2:10" x14ac:dyDescent="0.45">
      <c r="B521" t="s">
        <v>725</v>
      </c>
      <c r="C521" t="s">
        <v>14</v>
      </c>
      <c r="D521">
        <v>0</v>
      </c>
      <c r="E521" t="s">
        <v>6</v>
      </c>
      <c r="G521" t="s">
        <v>726</v>
      </c>
      <c r="H521" t="s">
        <v>14</v>
      </c>
      <c r="I521">
        <v>8.3530614995668148E-2</v>
      </c>
      <c r="J521" t="s">
        <v>6</v>
      </c>
    </row>
    <row r="522" spans="2:10" x14ac:dyDescent="0.45">
      <c r="B522" t="s">
        <v>725</v>
      </c>
      <c r="C522" t="s">
        <v>15</v>
      </c>
      <c r="D522">
        <v>4.1683007255200761E-3</v>
      </c>
      <c r="E522" t="s">
        <v>6</v>
      </c>
      <c r="G522" t="s">
        <v>726</v>
      </c>
      <c r="H522" t="s">
        <v>15</v>
      </c>
      <c r="I522">
        <v>3.5954543880884593E-2</v>
      </c>
      <c r="J522" t="s">
        <v>6</v>
      </c>
    </row>
    <row r="523" spans="2:10" x14ac:dyDescent="0.45">
      <c r="B523" t="s">
        <v>725</v>
      </c>
      <c r="C523" t="s">
        <v>16</v>
      </c>
      <c r="D523">
        <v>6.0776366925438939E-2</v>
      </c>
      <c r="E523" t="s">
        <v>6</v>
      </c>
      <c r="G523" t="s">
        <v>726</v>
      </c>
      <c r="H523" t="s">
        <v>16</v>
      </c>
      <c r="I523">
        <v>2.9888195736869166E-2</v>
      </c>
      <c r="J523" t="s">
        <v>6</v>
      </c>
    </row>
    <row r="524" spans="2:10" x14ac:dyDescent="0.45">
      <c r="B524" t="s">
        <v>725</v>
      </c>
      <c r="C524" t="s">
        <v>17</v>
      </c>
      <c r="D524">
        <v>0.10361991426545197</v>
      </c>
      <c r="E524" t="s">
        <v>6</v>
      </c>
      <c r="G524" t="s">
        <v>726</v>
      </c>
      <c r="H524" t="s">
        <v>17</v>
      </c>
      <c r="I524">
        <v>3.757822954965083E-2</v>
      </c>
      <c r="J524" t="s">
        <v>6</v>
      </c>
    </row>
    <row r="525" spans="2:10" x14ac:dyDescent="0.45">
      <c r="B525" t="s">
        <v>725</v>
      </c>
      <c r="C525" t="s">
        <v>18</v>
      </c>
      <c r="D525">
        <v>8.1983820177225886E-2</v>
      </c>
      <c r="E525" t="s">
        <v>6</v>
      </c>
      <c r="G525" t="s">
        <v>726</v>
      </c>
      <c r="H525" t="s">
        <v>18</v>
      </c>
      <c r="I525">
        <v>4.119306824545732E-2</v>
      </c>
      <c r="J525" t="s">
        <v>6</v>
      </c>
    </row>
    <row r="526" spans="2:10" x14ac:dyDescent="0.45">
      <c r="B526" t="s">
        <v>725</v>
      </c>
      <c r="C526" t="s">
        <v>19</v>
      </c>
      <c r="D526">
        <v>1.8389355104537819E-2</v>
      </c>
      <c r="E526" t="s">
        <v>6</v>
      </c>
      <c r="G526" t="s">
        <v>726</v>
      </c>
      <c r="H526" t="s">
        <v>19</v>
      </c>
      <c r="I526">
        <v>3.7339298890514044E-2</v>
      </c>
      <c r="J526" t="s">
        <v>6</v>
      </c>
    </row>
    <row r="527" spans="2:10" x14ac:dyDescent="0.45">
      <c r="B527" t="s">
        <v>725</v>
      </c>
      <c r="C527" t="s">
        <v>20</v>
      </c>
      <c r="D527">
        <v>1.9009125460958717E-5</v>
      </c>
      <c r="E527" t="s">
        <v>6</v>
      </c>
      <c r="G527" t="s">
        <v>726</v>
      </c>
      <c r="H527" t="s">
        <v>20</v>
      </c>
      <c r="I527">
        <v>6.5405839916736375E-2</v>
      </c>
      <c r="J527" t="s">
        <v>6</v>
      </c>
    </row>
    <row r="528" spans="2:10" x14ac:dyDescent="0.45">
      <c r="B528" t="s">
        <v>725</v>
      </c>
      <c r="C528" t="s">
        <v>21</v>
      </c>
      <c r="D528">
        <v>6.8596372193063275E-3</v>
      </c>
      <c r="E528" t="s">
        <v>6</v>
      </c>
      <c r="G528" t="s">
        <v>726</v>
      </c>
      <c r="H528" t="s">
        <v>21</v>
      </c>
      <c r="I528">
        <v>2.0717218867131331E-2</v>
      </c>
      <c r="J528" t="s">
        <v>6</v>
      </c>
    </row>
    <row r="529" spans="2:10" x14ac:dyDescent="0.45">
      <c r="B529" t="s">
        <v>725</v>
      </c>
      <c r="C529" t="s">
        <v>22</v>
      </c>
      <c r="D529">
        <v>7.3273287840646323E-2</v>
      </c>
      <c r="E529" t="s">
        <v>6</v>
      </c>
      <c r="G529" t="s">
        <v>726</v>
      </c>
      <c r="H529" t="s">
        <v>22</v>
      </c>
      <c r="I529">
        <v>1.3088662050151575E-2</v>
      </c>
      <c r="J529" t="s">
        <v>6</v>
      </c>
    </row>
    <row r="530" spans="2:10" x14ac:dyDescent="0.45">
      <c r="B530" t="s">
        <v>725</v>
      </c>
      <c r="C530" t="s">
        <v>23</v>
      </c>
      <c r="D530">
        <v>0.1160597837947077</v>
      </c>
      <c r="E530" t="s">
        <v>6</v>
      </c>
      <c r="G530" t="s">
        <v>726</v>
      </c>
      <c r="H530" t="s">
        <v>23</v>
      </c>
      <c r="I530">
        <v>1.5932859884104228E-2</v>
      </c>
      <c r="J530" t="s">
        <v>6</v>
      </c>
    </row>
    <row r="531" spans="2:10" x14ac:dyDescent="0.45">
      <c r="B531" t="s">
        <v>725</v>
      </c>
      <c r="C531" t="s">
        <v>24</v>
      </c>
      <c r="D531">
        <v>9.1392447342986849E-2</v>
      </c>
      <c r="E531" t="s">
        <v>6</v>
      </c>
      <c r="G531" t="s">
        <v>726</v>
      </c>
      <c r="H531" t="s">
        <v>24</v>
      </c>
      <c r="I531">
        <v>2.0469598332248273E-2</v>
      </c>
      <c r="J531" t="s">
        <v>6</v>
      </c>
    </row>
    <row r="532" spans="2:10" x14ac:dyDescent="0.45">
      <c r="B532" t="s">
        <v>725</v>
      </c>
      <c r="C532" t="s">
        <v>25</v>
      </c>
      <c r="D532">
        <v>2.5062423050377057E-2</v>
      </c>
      <c r="E532" t="s">
        <v>6</v>
      </c>
      <c r="G532" t="s">
        <v>726</v>
      </c>
      <c r="H532" t="s">
        <v>25</v>
      </c>
      <c r="I532">
        <v>2.7042581070503488E-2</v>
      </c>
      <c r="J532" t="s">
        <v>6</v>
      </c>
    </row>
    <row r="533" spans="2:10" x14ac:dyDescent="0.45">
      <c r="B533" t="s">
        <v>725</v>
      </c>
      <c r="C533" t="s">
        <v>26</v>
      </c>
      <c r="D533">
        <v>0</v>
      </c>
      <c r="E533" t="s">
        <v>6</v>
      </c>
      <c r="G533" t="s">
        <v>726</v>
      </c>
      <c r="H533" t="s">
        <v>26</v>
      </c>
      <c r="I533">
        <v>9.2988549074232457E-2</v>
      </c>
      <c r="J533" t="s">
        <v>6</v>
      </c>
    </row>
    <row r="534" spans="2:10" x14ac:dyDescent="0.45">
      <c r="B534" t="s">
        <v>725</v>
      </c>
      <c r="C534" t="s">
        <v>27</v>
      </c>
      <c r="D534">
        <v>1.3944194077784222E-3</v>
      </c>
      <c r="E534" t="s">
        <v>6</v>
      </c>
      <c r="G534" t="s">
        <v>726</v>
      </c>
      <c r="H534" t="s">
        <v>27</v>
      </c>
      <c r="I534">
        <v>4.2034069745107774E-2</v>
      </c>
      <c r="J534" t="s">
        <v>6</v>
      </c>
    </row>
    <row r="535" spans="2:10" x14ac:dyDescent="0.45">
      <c r="B535" t="s">
        <v>725</v>
      </c>
      <c r="C535" t="s">
        <v>28</v>
      </c>
      <c r="D535">
        <v>5.3146856124153E-2</v>
      </c>
      <c r="E535" t="s">
        <v>6</v>
      </c>
      <c r="G535" t="s">
        <v>726</v>
      </c>
      <c r="H535" t="s">
        <v>28</v>
      </c>
      <c r="I535">
        <v>2.775856711315643E-2</v>
      </c>
      <c r="J535" t="s">
        <v>6</v>
      </c>
    </row>
    <row r="536" spans="2:10" x14ac:dyDescent="0.45">
      <c r="B536" t="s">
        <v>725</v>
      </c>
      <c r="C536" t="s">
        <v>29</v>
      </c>
      <c r="D536">
        <v>9.8418596567866085E-2</v>
      </c>
      <c r="E536" t="s">
        <v>6</v>
      </c>
      <c r="G536" t="s">
        <v>726</v>
      </c>
      <c r="H536" t="s">
        <v>29</v>
      </c>
      <c r="I536">
        <v>3.0805982401123332E-2</v>
      </c>
      <c r="J536" t="s">
        <v>6</v>
      </c>
    </row>
    <row r="537" spans="2:10" x14ac:dyDescent="0.45">
      <c r="B537" t="s">
        <v>725</v>
      </c>
      <c r="C537" t="s">
        <v>30</v>
      </c>
      <c r="D537">
        <v>7.0535609529786908E-2</v>
      </c>
      <c r="E537" t="s">
        <v>6</v>
      </c>
      <c r="G537" t="s">
        <v>726</v>
      </c>
      <c r="H537" t="s">
        <v>30</v>
      </c>
      <c r="I537">
        <v>3.4913875287841782E-2</v>
      </c>
      <c r="J537" t="s">
        <v>6</v>
      </c>
    </row>
    <row r="538" spans="2:10" x14ac:dyDescent="0.45">
      <c r="B538" t="s">
        <v>725</v>
      </c>
      <c r="C538" t="s">
        <v>31</v>
      </c>
      <c r="D538">
        <v>8.216352018203494E-3</v>
      </c>
      <c r="E538" t="s">
        <v>6</v>
      </c>
      <c r="G538" t="s">
        <v>726</v>
      </c>
      <c r="H538" t="s">
        <v>31</v>
      </c>
      <c r="I538">
        <v>4.105679791662533E-2</v>
      </c>
      <c r="J538" t="s">
        <v>6</v>
      </c>
    </row>
    <row r="539" spans="2:10" x14ac:dyDescent="0.45">
      <c r="B539" t="s">
        <v>727</v>
      </c>
      <c r="C539" t="s">
        <v>5</v>
      </c>
      <c r="D539">
        <v>0</v>
      </c>
      <c r="E539" t="s">
        <v>6</v>
      </c>
      <c r="G539" t="s">
        <v>728</v>
      </c>
      <c r="H539" t="s">
        <v>5</v>
      </c>
      <c r="I539">
        <v>9.1418878626068664E-2</v>
      </c>
      <c r="J539" t="s">
        <v>6</v>
      </c>
    </row>
    <row r="540" spans="2:10" x14ac:dyDescent="0.45">
      <c r="B540" t="s">
        <v>727</v>
      </c>
      <c r="C540" t="s">
        <v>9</v>
      </c>
      <c r="D540">
        <v>0</v>
      </c>
      <c r="E540" t="s">
        <v>6</v>
      </c>
      <c r="G540" t="s">
        <v>728</v>
      </c>
      <c r="H540" t="s">
        <v>9</v>
      </c>
      <c r="I540">
        <v>4.9562451500168567E-2</v>
      </c>
      <c r="J540" t="s">
        <v>6</v>
      </c>
    </row>
    <row r="541" spans="2:10" x14ac:dyDescent="0.45">
      <c r="B541" t="s">
        <v>727</v>
      </c>
      <c r="C541" t="s">
        <v>10</v>
      </c>
      <c r="D541">
        <v>4.0289350705156032E-2</v>
      </c>
      <c r="E541" t="s">
        <v>6</v>
      </c>
      <c r="G541" t="s">
        <v>728</v>
      </c>
      <c r="H541" t="s">
        <v>10</v>
      </c>
      <c r="I541">
        <v>3.5390478392678199E-2</v>
      </c>
      <c r="J541" t="s">
        <v>6</v>
      </c>
    </row>
    <row r="542" spans="2:10" x14ac:dyDescent="0.45">
      <c r="B542" t="s">
        <v>727</v>
      </c>
      <c r="C542" t="s">
        <v>11</v>
      </c>
      <c r="D542">
        <v>9.0174529184058203E-2</v>
      </c>
      <c r="E542" t="s">
        <v>6</v>
      </c>
      <c r="G542" t="s">
        <v>728</v>
      </c>
      <c r="H542" t="s">
        <v>11</v>
      </c>
      <c r="I542">
        <v>3.9179077033545034E-2</v>
      </c>
      <c r="J542" t="s">
        <v>6</v>
      </c>
    </row>
    <row r="543" spans="2:10" x14ac:dyDescent="0.45">
      <c r="B543" t="s">
        <v>727</v>
      </c>
      <c r="C543" t="s">
        <v>12</v>
      </c>
      <c r="D543">
        <v>6.1777341923655305E-2</v>
      </c>
      <c r="E543" t="s">
        <v>6</v>
      </c>
      <c r="G543" t="s">
        <v>728</v>
      </c>
      <c r="H543" t="s">
        <v>12</v>
      </c>
      <c r="I543">
        <v>3.9482148357078396E-2</v>
      </c>
      <c r="J543" t="s">
        <v>6</v>
      </c>
    </row>
    <row r="544" spans="2:10" x14ac:dyDescent="0.45">
      <c r="B544" t="s">
        <v>727</v>
      </c>
      <c r="C544" t="s">
        <v>13</v>
      </c>
      <c r="D544">
        <v>3.0672066279658333E-3</v>
      </c>
      <c r="E544" t="s">
        <v>6</v>
      </c>
      <c r="G544" t="s">
        <v>728</v>
      </c>
      <c r="H544" t="s">
        <v>13</v>
      </c>
      <c r="I544">
        <v>3.5567166541324122E-2</v>
      </c>
      <c r="J544" t="s">
        <v>6</v>
      </c>
    </row>
    <row r="545" spans="2:10" x14ac:dyDescent="0.45">
      <c r="B545" t="s">
        <v>727</v>
      </c>
      <c r="C545" t="s">
        <v>14</v>
      </c>
      <c r="D545">
        <v>0</v>
      </c>
      <c r="E545" t="s">
        <v>6</v>
      </c>
      <c r="G545" t="s">
        <v>728</v>
      </c>
      <c r="H545" t="s">
        <v>14</v>
      </c>
      <c r="I545">
        <v>7.3770796570631431E-2</v>
      </c>
      <c r="J545" t="s">
        <v>6</v>
      </c>
    </row>
    <row r="546" spans="2:10" x14ac:dyDescent="0.45">
      <c r="B546" t="s">
        <v>727</v>
      </c>
      <c r="C546" t="s">
        <v>15</v>
      </c>
      <c r="D546">
        <v>5.8955836379450798E-3</v>
      </c>
      <c r="E546" t="s">
        <v>6</v>
      </c>
      <c r="G546" t="s">
        <v>728</v>
      </c>
      <c r="H546" t="s">
        <v>15</v>
      </c>
      <c r="I546">
        <v>3.6075401049249819E-2</v>
      </c>
      <c r="J546" t="s">
        <v>6</v>
      </c>
    </row>
    <row r="547" spans="2:10" x14ac:dyDescent="0.45">
      <c r="B547" t="s">
        <v>727</v>
      </c>
      <c r="C547" t="s">
        <v>16</v>
      </c>
      <c r="D547">
        <v>6.784046364011484E-2</v>
      </c>
      <c r="E547" t="s">
        <v>6</v>
      </c>
      <c r="G547" t="s">
        <v>728</v>
      </c>
      <c r="H547" t="s">
        <v>16</v>
      </c>
      <c r="I547">
        <v>3.2755806970606267E-2</v>
      </c>
      <c r="J547" t="s">
        <v>6</v>
      </c>
    </row>
    <row r="548" spans="2:10" x14ac:dyDescent="0.45">
      <c r="B548" t="s">
        <v>727</v>
      </c>
      <c r="C548" t="s">
        <v>17</v>
      </c>
      <c r="D548">
        <v>0.10525620460521916</v>
      </c>
      <c r="E548" t="s">
        <v>6</v>
      </c>
      <c r="G548" t="s">
        <v>728</v>
      </c>
      <c r="H548" t="s">
        <v>17</v>
      </c>
      <c r="I548">
        <v>4.1232187092005566E-2</v>
      </c>
      <c r="J548" t="s">
        <v>6</v>
      </c>
    </row>
    <row r="549" spans="2:10" x14ac:dyDescent="0.45">
      <c r="B549" t="s">
        <v>727</v>
      </c>
      <c r="C549" t="s">
        <v>18</v>
      </c>
      <c r="D549">
        <v>7.7717774919270427E-2</v>
      </c>
      <c r="E549" t="s">
        <v>6</v>
      </c>
      <c r="G549" t="s">
        <v>728</v>
      </c>
      <c r="H549" t="s">
        <v>18</v>
      </c>
      <c r="I549">
        <v>4.3544299707826452E-2</v>
      </c>
      <c r="J549" t="s">
        <v>6</v>
      </c>
    </row>
    <row r="550" spans="2:10" x14ac:dyDescent="0.45">
      <c r="B550" t="s">
        <v>727</v>
      </c>
      <c r="C550" t="s">
        <v>19</v>
      </c>
      <c r="D550">
        <v>1.4310803745212614E-2</v>
      </c>
      <c r="E550" t="s">
        <v>6</v>
      </c>
      <c r="G550" t="s">
        <v>728</v>
      </c>
      <c r="H550" t="s">
        <v>19</v>
      </c>
      <c r="I550">
        <v>3.6749256949907536E-2</v>
      </c>
      <c r="J550" t="s">
        <v>6</v>
      </c>
    </row>
    <row r="551" spans="2:10" x14ac:dyDescent="0.45">
      <c r="B551" t="s">
        <v>727</v>
      </c>
      <c r="C551" t="s">
        <v>20</v>
      </c>
      <c r="D551">
        <v>0</v>
      </c>
      <c r="E551" t="s">
        <v>6</v>
      </c>
      <c r="G551" t="s">
        <v>728</v>
      </c>
      <c r="H551" t="s">
        <v>20</v>
      </c>
      <c r="I551">
        <v>5.2222828395151688E-2</v>
      </c>
      <c r="J551" t="s">
        <v>6</v>
      </c>
    </row>
    <row r="552" spans="2:10" x14ac:dyDescent="0.45">
      <c r="B552" t="s">
        <v>727</v>
      </c>
      <c r="C552" t="s">
        <v>21</v>
      </c>
      <c r="D552">
        <v>9.3815624975445485E-3</v>
      </c>
      <c r="E552" t="s">
        <v>6</v>
      </c>
      <c r="G552" t="s">
        <v>728</v>
      </c>
      <c r="H552" t="s">
        <v>21</v>
      </c>
      <c r="I552">
        <v>1.9057431357223494E-2</v>
      </c>
      <c r="J552" t="s">
        <v>6</v>
      </c>
    </row>
    <row r="553" spans="2:10" x14ac:dyDescent="0.45">
      <c r="B553" t="s">
        <v>727</v>
      </c>
      <c r="C553" t="s">
        <v>22</v>
      </c>
      <c r="D553">
        <v>7.7556662740749321E-2</v>
      </c>
      <c r="E553" t="s">
        <v>6</v>
      </c>
      <c r="G553" t="s">
        <v>728</v>
      </c>
      <c r="H553" t="s">
        <v>22</v>
      </c>
      <c r="I553">
        <v>1.6182347647863634E-2</v>
      </c>
      <c r="J553" t="s">
        <v>6</v>
      </c>
    </row>
    <row r="554" spans="2:10" x14ac:dyDescent="0.45">
      <c r="B554" t="s">
        <v>727</v>
      </c>
      <c r="C554" t="s">
        <v>23</v>
      </c>
      <c r="D554">
        <v>0.11619312248259052</v>
      </c>
      <c r="E554" t="s">
        <v>6</v>
      </c>
      <c r="G554" t="s">
        <v>728</v>
      </c>
      <c r="H554" t="s">
        <v>23</v>
      </c>
      <c r="I554">
        <v>1.8787720578029184E-2</v>
      </c>
      <c r="J554" t="s">
        <v>6</v>
      </c>
    </row>
    <row r="555" spans="2:10" x14ac:dyDescent="0.45">
      <c r="B555" t="s">
        <v>727</v>
      </c>
      <c r="C555" t="s">
        <v>24</v>
      </c>
      <c r="D555">
        <v>8.6834446382883526E-2</v>
      </c>
      <c r="E555" t="s">
        <v>6</v>
      </c>
      <c r="G555" t="s">
        <v>728</v>
      </c>
      <c r="H555" t="s">
        <v>24</v>
      </c>
      <c r="I555">
        <v>2.4303022005455723E-2</v>
      </c>
      <c r="J555" t="s">
        <v>6</v>
      </c>
    </row>
    <row r="556" spans="2:10" x14ac:dyDescent="0.45">
      <c r="B556" t="s">
        <v>727</v>
      </c>
      <c r="C556" t="s">
        <v>25</v>
      </c>
      <c r="D556">
        <v>2.0968018952230248E-2</v>
      </c>
      <c r="E556" t="s">
        <v>6</v>
      </c>
      <c r="G556" t="s">
        <v>728</v>
      </c>
      <c r="H556" t="s">
        <v>25</v>
      </c>
      <c r="I556">
        <v>2.8523742224868347E-2</v>
      </c>
      <c r="J556" t="s">
        <v>6</v>
      </c>
    </row>
    <row r="557" spans="2:10" x14ac:dyDescent="0.45">
      <c r="B557" t="s">
        <v>727</v>
      </c>
      <c r="C557" t="s">
        <v>26</v>
      </c>
      <c r="D557">
        <v>0</v>
      </c>
      <c r="E557" t="s">
        <v>6</v>
      </c>
      <c r="G557" t="s">
        <v>728</v>
      </c>
      <c r="H557" t="s">
        <v>26</v>
      </c>
      <c r="I557">
        <v>9.3305047006815967E-2</v>
      </c>
      <c r="J557" t="s">
        <v>6</v>
      </c>
    </row>
    <row r="558" spans="2:10" x14ac:dyDescent="0.45">
      <c r="B558" t="s">
        <v>727</v>
      </c>
      <c r="C558" t="s">
        <v>27</v>
      </c>
      <c r="D558">
        <v>2.1778543657745802E-3</v>
      </c>
      <c r="E558" t="s">
        <v>6</v>
      </c>
      <c r="G558" t="s">
        <v>728</v>
      </c>
      <c r="H558" t="s">
        <v>27</v>
      </c>
      <c r="I558">
        <v>4.3367731794072051E-2</v>
      </c>
      <c r="J558" t="s">
        <v>6</v>
      </c>
    </row>
    <row r="559" spans="2:10" x14ac:dyDescent="0.45">
      <c r="B559" t="s">
        <v>727</v>
      </c>
      <c r="C559" t="s">
        <v>28</v>
      </c>
      <c r="D559">
        <v>5.6238720244987501E-2</v>
      </c>
      <c r="E559" t="s">
        <v>6</v>
      </c>
      <c r="G559" t="s">
        <v>728</v>
      </c>
      <c r="H559" t="s">
        <v>28</v>
      </c>
      <c r="I559">
        <v>3.2658798617159292E-2</v>
      </c>
      <c r="J559" t="s">
        <v>6</v>
      </c>
    </row>
    <row r="560" spans="2:10" x14ac:dyDescent="0.45">
      <c r="B560" t="s">
        <v>727</v>
      </c>
      <c r="C560" t="s">
        <v>29</v>
      </c>
      <c r="D560">
        <v>9.7110289179200462E-2</v>
      </c>
      <c r="E560" t="s">
        <v>6</v>
      </c>
      <c r="G560" t="s">
        <v>728</v>
      </c>
      <c r="H560" t="s">
        <v>29</v>
      </c>
      <c r="I560">
        <v>3.7747838655396722E-2</v>
      </c>
      <c r="J560" t="s">
        <v>6</v>
      </c>
    </row>
    <row r="561" spans="2:10" x14ac:dyDescent="0.45">
      <c r="B561" t="s">
        <v>727</v>
      </c>
      <c r="C561" t="s">
        <v>30</v>
      </c>
      <c r="D561">
        <v>6.2359301340162612E-2</v>
      </c>
      <c r="E561" t="s">
        <v>6</v>
      </c>
      <c r="G561" t="s">
        <v>728</v>
      </c>
      <c r="H561" t="s">
        <v>30</v>
      </c>
      <c r="I561">
        <v>4.1099284730332315E-2</v>
      </c>
      <c r="J561" t="s">
        <v>6</v>
      </c>
    </row>
    <row r="562" spans="2:10" x14ac:dyDescent="0.45">
      <c r="B562" t="s">
        <v>727</v>
      </c>
      <c r="C562" t="s">
        <v>31</v>
      </c>
      <c r="D562">
        <v>4.8507628252796716E-3</v>
      </c>
      <c r="E562" t="s">
        <v>6</v>
      </c>
      <c r="G562" t="s">
        <v>728</v>
      </c>
      <c r="H562" t="s">
        <v>31</v>
      </c>
      <c r="I562">
        <v>3.8016258196539733E-2</v>
      </c>
      <c r="J562" t="s">
        <v>6</v>
      </c>
    </row>
    <row r="563" spans="2:10" x14ac:dyDescent="0.45">
      <c r="B563" t="s">
        <v>729</v>
      </c>
      <c r="C563" t="s">
        <v>5</v>
      </c>
      <c r="D563">
        <v>0</v>
      </c>
      <c r="E563" t="s">
        <v>6</v>
      </c>
      <c r="G563" t="s">
        <v>730</v>
      </c>
      <c r="H563" t="s">
        <v>5</v>
      </c>
      <c r="I563">
        <v>0.10630227072278982</v>
      </c>
      <c r="J563" t="s">
        <v>6</v>
      </c>
    </row>
    <row r="564" spans="2:10" x14ac:dyDescent="0.45">
      <c r="B564" t="s">
        <v>729</v>
      </c>
      <c r="C564" t="s">
        <v>9</v>
      </c>
      <c r="D564">
        <v>0</v>
      </c>
      <c r="E564" t="s">
        <v>6</v>
      </c>
      <c r="G564" t="s">
        <v>730</v>
      </c>
      <c r="H564" t="s">
        <v>9</v>
      </c>
      <c r="I564">
        <v>5.2358726827197145E-2</v>
      </c>
      <c r="J564" t="s">
        <v>6</v>
      </c>
    </row>
    <row r="565" spans="2:10" x14ac:dyDescent="0.45">
      <c r="B565" t="s">
        <v>729</v>
      </c>
      <c r="C565" t="s">
        <v>10</v>
      </c>
      <c r="D565">
        <v>3.2251903918269355E-2</v>
      </c>
      <c r="E565" t="s">
        <v>6</v>
      </c>
      <c r="G565" t="s">
        <v>730</v>
      </c>
      <c r="H565" t="s">
        <v>10</v>
      </c>
      <c r="I565">
        <v>3.8345407048053393E-2</v>
      </c>
      <c r="J565" t="s">
        <v>6</v>
      </c>
    </row>
    <row r="566" spans="2:10" x14ac:dyDescent="0.45">
      <c r="B566" t="s">
        <v>729</v>
      </c>
      <c r="C566" t="s">
        <v>11</v>
      </c>
      <c r="D566">
        <v>8.7488881279645325E-2</v>
      </c>
      <c r="E566" t="s">
        <v>6</v>
      </c>
      <c r="G566" t="s">
        <v>730</v>
      </c>
      <c r="H566" t="s">
        <v>11</v>
      </c>
      <c r="I566">
        <v>4.092055045868976E-2</v>
      </c>
      <c r="J566" t="s">
        <v>6</v>
      </c>
    </row>
    <row r="567" spans="2:10" x14ac:dyDescent="0.45">
      <c r="B567" t="s">
        <v>729</v>
      </c>
      <c r="C567" t="s">
        <v>12</v>
      </c>
      <c r="D567">
        <v>6.2048468000146906E-2</v>
      </c>
      <c r="E567" t="s">
        <v>6</v>
      </c>
      <c r="G567" t="s">
        <v>730</v>
      </c>
      <c r="H567" t="s">
        <v>12</v>
      </c>
      <c r="I567">
        <v>4.4219155820302856E-2</v>
      </c>
      <c r="J567" t="s">
        <v>6</v>
      </c>
    </row>
    <row r="568" spans="2:10" x14ac:dyDescent="0.45">
      <c r="B568" t="s">
        <v>729</v>
      </c>
      <c r="C568" t="s">
        <v>13</v>
      </c>
      <c r="D568">
        <v>4.2625131985558036E-3</v>
      </c>
      <c r="E568" t="s">
        <v>6</v>
      </c>
      <c r="G568" t="s">
        <v>730</v>
      </c>
      <c r="H568" t="s">
        <v>13</v>
      </c>
      <c r="I568">
        <v>4.5793210429569256E-2</v>
      </c>
      <c r="J568" t="s">
        <v>6</v>
      </c>
    </row>
    <row r="569" spans="2:10" x14ac:dyDescent="0.45">
      <c r="B569" t="s">
        <v>729</v>
      </c>
      <c r="C569" t="s">
        <v>14</v>
      </c>
      <c r="D569">
        <v>0</v>
      </c>
      <c r="E569" t="s">
        <v>6</v>
      </c>
      <c r="G569" t="s">
        <v>730</v>
      </c>
      <c r="H569" t="s">
        <v>14</v>
      </c>
      <c r="I569">
        <v>8.6547512299777571E-2</v>
      </c>
      <c r="J569" t="s">
        <v>6</v>
      </c>
    </row>
    <row r="570" spans="2:10" x14ac:dyDescent="0.45">
      <c r="B570" t="s">
        <v>729</v>
      </c>
      <c r="C570" t="s">
        <v>15</v>
      </c>
      <c r="D570">
        <v>4.1344722934933062E-3</v>
      </c>
      <c r="E570" t="s">
        <v>6</v>
      </c>
      <c r="G570" t="s">
        <v>730</v>
      </c>
      <c r="H570" t="s">
        <v>15</v>
      </c>
      <c r="I570">
        <v>4.5842599423212352E-2</v>
      </c>
      <c r="J570" t="s">
        <v>6</v>
      </c>
    </row>
    <row r="571" spans="2:10" x14ac:dyDescent="0.45">
      <c r="B571" t="s">
        <v>729</v>
      </c>
      <c r="C571" t="s">
        <v>16</v>
      </c>
      <c r="D571">
        <v>5.9940273305748963E-2</v>
      </c>
      <c r="E571" t="s">
        <v>6</v>
      </c>
      <c r="G571" t="s">
        <v>730</v>
      </c>
      <c r="H571" t="s">
        <v>16</v>
      </c>
      <c r="I571">
        <v>3.4085436452857991E-2</v>
      </c>
      <c r="J571" t="s">
        <v>6</v>
      </c>
    </row>
    <row r="572" spans="2:10" x14ac:dyDescent="0.45">
      <c r="B572" t="s">
        <v>729</v>
      </c>
      <c r="C572" t="s">
        <v>17</v>
      </c>
      <c r="D572">
        <v>0.10347951509654171</v>
      </c>
      <c r="E572" t="s">
        <v>6</v>
      </c>
      <c r="G572" t="s">
        <v>730</v>
      </c>
      <c r="H572" t="s">
        <v>17</v>
      </c>
      <c r="I572">
        <v>4.7816201489549424E-2</v>
      </c>
      <c r="J572" t="s">
        <v>6</v>
      </c>
    </row>
    <row r="573" spans="2:10" x14ac:dyDescent="0.45">
      <c r="B573" t="s">
        <v>729</v>
      </c>
      <c r="C573" t="s">
        <v>18</v>
      </c>
      <c r="D573">
        <v>8.2585455646207478E-2</v>
      </c>
      <c r="E573" t="s">
        <v>6</v>
      </c>
      <c r="G573" t="s">
        <v>730</v>
      </c>
      <c r="H573" t="s">
        <v>18</v>
      </c>
      <c r="I573">
        <v>6.0477774837430283E-2</v>
      </c>
      <c r="J573" t="s">
        <v>6</v>
      </c>
    </row>
    <row r="574" spans="2:10" x14ac:dyDescent="0.45">
      <c r="B574" t="s">
        <v>729</v>
      </c>
      <c r="C574" t="s">
        <v>19</v>
      </c>
      <c r="D574">
        <v>1.8423455335100133E-2</v>
      </c>
      <c r="E574" t="s">
        <v>6</v>
      </c>
      <c r="G574" t="s">
        <v>730</v>
      </c>
      <c r="H574" t="s">
        <v>19</v>
      </c>
      <c r="I574">
        <v>4.9052302383335744E-2</v>
      </c>
      <c r="J574" t="s">
        <v>6</v>
      </c>
    </row>
    <row r="575" spans="2:10" x14ac:dyDescent="0.45">
      <c r="B575" t="s">
        <v>729</v>
      </c>
      <c r="C575" t="s">
        <v>20</v>
      </c>
      <c r="D575">
        <v>2.7080093666499058E-5</v>
      </c>
      <c r="E575" t="s">
        <v>6</v>
      </c>
      <c r="G575" t="s">
        <v>730</v>
      </c>
      <c r="H575" t="s">
        <v>20</v>
      </c>
      <c r="I575">
        <v>2.5398447205144597E-2</v>
      </c>
      <c r="J575" t="s">
        <v>6</v>
      </c>
    </row>
    <row r="576" spans="2:10" x14ac:dyDescent="0.45">
      <c r="B576" t="s">
        <v>729</v>
      </c>
      <c r="C576" t="s">
        <v>21</v>
      </c>
      <c r="D576">
        <v>7.0174776844773943E-3</v>
      </c>
      <c r="E576" t="s">
        <v>6</v>
      </c>
      <c r="G576" t="s">
        <v>730</v>
      </c>
      <c r="H576" t="s">
        <v>21</v>
      </c>
      <c r="I576">
        <v>1.1009279399796075E-2</v>
      </c>
      <c r="J576" t="s">
        <v>6</v>
      </c>
    </row>
    <row r="577" spans="2:10" x14ac:dyDescent="0.45">
      <c r="B577" t="s">
        <v>729</v>
      </c>
      <c r="C577" t="s">
        <v>22</v>
      </c>
      <c r="D577">
        <v>7.3258925630767177E-2</v>
      </c>
      <c r="E577" t="s">
        <v>6</v>
      </c>
      <c r="G577" t="s">
        <v>730</v>
      </c>
      <c r="H577" t="s">
        <v>22</v>
      </c>
      <c r="I577">
        <v>8.5892711778198395E-3</v>
      </c>
      <c r="J577" t="s">
        <v>6</v>
      </c>
    </row>
    <row r="578" spans="2:10" x14ac:dyDescent="0.45">
      <c r="B578" t="s">
        <v>729</v>
      </c>
      <c r="C578" t="s">
        <v>23</v>
      </c>
      <c r="D578">
        <v>0.11781230654817666</v>
      </c>
      <c r="E578" t="s">
        <v>6</v>
      </c>
      <c r="G578" t="s">
        <v>730</v>
      </c>
      <c r="H578" t="s">
        <v>23</v>
      </c>
      <c r="I578">
        <v>1.7839482346388467E-2</v>
      </c>
      <c r="J578" t="s">
        <v>6</v>
      </c>
    </row>
    <row r="579" spans="2:10" x14ac:dyDescent="0.45">
      <c r="B579" t="s">
        <v>729</v>
      </c>
      <c r="C579" t="s">
        <v>24</v>
      </c>
      <c r="D579">
        <v>9.601093101206766E-2</v>
      </c>
      <c r="E579" t="s">
        <v>6</v>
      </c>
      <c r="G579" t="s">
        <v>730</v>
      </c>
      <c r="H579" t="s">
        <v>24</v>
      </c>
      <c r="I579">
        <v>2.8466673567092298E-2</v>
      </c>
      <c r="J579" t="s">
        <v>6</v>
      </c>
    </row>
    <row r="580" spans="2:10" x14ac:dyDescent="0.45">
      <c r="B580" t="s">
        <v>729</v>
      </c>
      <c r="C580" t="s">
        <v>25</v>
      </c>
      <c r="D580">
        <v>2.6127714305313549E-2</v>
      </c>
      <c r="E580" t="s">
        <v>6</v>
      </c>
      <c r="G580" t="s">
        <v>730</v>
      </c>
      <c r="H580" t="s">
        <v>25</v>
      </c>
      <c r="I580">
        <v>2.2629223186835839E-2</v>
      </c>
      <c r="J580" t="s">
        <v>6</v>
      </c>
    </row>
    <row r="581" spans="2:10" x14ac:dyDescent="0.45">
      <c r="B581" t="s">
        <v>729</v>
      </c>
      <c r="C581" t="s">
        <v>26</v>
      </c>
      <c r="D581">
        <v>0</v>
      </c>
      <c r="E581" t="s">
        <v>6</v>
      </c>
      <c r="G581" t="s">
        <v>730</v>
      </c>
      <c r="H581" t="s">
        <v>26</v>
      </c>
      <c r="I581">
        <v>7.5260761405596746E-2</v>
      </c>
      <c r="J581" t="s">
        <v>6</v>
      </c>
    </row>
    <row r="582" spans="2:10" x14ac:dyDescent="0.45">
      <c r="B582" t="s">
        <v>729</v>
      </c>
      <c r="C582" t="s">
        <v>27</v>
      </c>
      <c r="D582">
        <v>1.4216142615527669E-3</v>
      </c>
      <c r="E582" t="s">
        <v>6</v>
      </c>
      <c r="G582" t="s">
        <v>730</v>
      </c>
      <c r="H582" t="s">
        <v>27</v>
      </c>
      <c r="I582">
        <v>3.4836820190338361E-2</v>
      </c>
      <c r="J582" t="s">
        <v>6</v>
      </c>
    </row>
    <row r="583" spans="2:10" x14ac:dyDescent="0.45">
      <c r="B583" t="s">
        <v>729</v>
      </c>
      <c r="C583" t="s">
        <v>28</v>
      </c>
      <c r="D583">
        <v>5.1701145378041595E-2</v>
      </c>
      <c r="E583" t="s">
        <v>6</v>
      </c>
      <c r="G583" t="s">
        <v>730</v>
      </c>
      <c r="H583" t="s">
        <v>28</v>
      </c>
      <c r="I583">
        <v>2.3261294451053991E-2</v>
      </c>
      <c r="J583" t="s">
        <v>6</v>
      </c>
    </row>
    <row r="584" spans="2:10" x14ac:dyDescent="0.45">
      <c r="B584" t="s">
        <v>729</v>
      </c>
      <c r="C584" t="s">
        <v>29</v>
      </c>
      <c r="D584">
        <v>9.6298059729958321E-2</v>
      </c>
      <c r="E584" t="s">
        <v>6</v>
      </c>
      <c r="G584" t="s">
        <v>730</v>
      </c>
      <c r="H584" t="s">
        <v>29</v>
      </c>
      <c r="I584">
        <v>2.8986294751069758E-2</v>
      </c>
      <c r="J584" t="s">
        <v>6</v>
      </c>
    </row>
    <row r="585" spans="2:10" x14ac:dyDescent="0.45">
      <c r="B585" t="s">
        <v>729</v>
      </c>
      <c r="C585" t="s">
        <v>30</v>
      </c>
      <c r="D585">
        <v>6.832112164682709E-2</v>
      </c>
      <c r="E585" t="s">
        <v>6</v>
      </c>
      <c r="G585" t="s">
        <v>730</v>
      </c>
      <c r="H585" t="s">
        <v>30</v>
      </c>
      <c r="I585">
        <v>3.6191253526908627E-2</v>
      </c>
      <c r="J585" t="s">
        <v>6</v>
      </c>
    </row>
    <row r="586" spans="2:10" x14ac:dyDescent="0.45">
      <c r="B586" t="s">
        <v>729</v>
      </c>
      <c r="C586" t="s">
        <v>31</v>
      </c>
      <c r="D586">
        <v>7.3886856354439812E-3</v>
      </c>
      <c r="E586" t="s">
        <v>6</v>
      </c>
      <c r="G586" t="s">
        <v>730</v>
      </c>
      <c r="H586" t="s">
        <v>31</v>
      </c>
      <c r="I586">
        <v>3.5770050599191937E-2</v>
      </c>
      <c r="J586" t="s">
        <v>6</v>
      </c>
    </row>
    <row r="587" spans="2:10" x14ac:dyDescent="0.45">
      <c r="B587" t="s">
        <v>731</v>
      </c>
      <c r="C587" t="s">
        <v>5</v>
      </c>
      <c r="D587">
        <v>0</v>
      </c>
      <c r="E587" t="s">
        <v>6</v>
      </c>
      <c r="G587" t="s">
        <v>732</v>
      </c>
      <c r="H587" t="s">
        <v>5</v>
      </c>
      <c r="I587">
        <v>0.12447818732252201</v>
      </c>
      <c r="J587" t="s">
        <v>6</v>
      </c>
    </row>
    <row r="588" spans="2:10" x14ac:dyDescent="0.45">
      <c r="B588" t="s">
        <v>731</v>
      </c>
      <c r="C588" t="s">
        <v>9</v>
      </c>
      <c r="D588">
        <v>0</v>
      </c>
      <c r="E588" t="s">
        <v>6</v>
      </c>
      <c r="G588" t="s">
        <v>732</v>
      </c>
      <c r="H588" t="s">
        <v>9</v>
      </c>
      <c r="I588">
        <v>7.1116552694499555E-2</v>
      </c>
      <c r="J588" t="s">
        <v>6</v>
      </c>
    </row>
    <row r="589" spans="2:10" x14ac:dyDescent="0.45">
      <c r="B589" t="s">
        <v>731</v>
      </c>
      <c r="C589" t="s">
        <v>10</v>
      </c>
      <c r="D589">
        <v>3.8369507728747122E-2</v>
      </c>
      <c r="E589" t="s">
        <v>6</v>
      </c>
      <c r="G589" t="s">
        <v>732</v>
      </c>
      <c r="H589" t="s">
        <v>10</v>
      </c>
      <c r="I589">
        <v>4.928709249110818E-2</v>
      </c>
      <c r="J589" t="s">
        <v>6</v>
      </c>
    </row>
    <row r="590" spans="2:10" x14ac:dyDescent="0.45">
      <c r="B590" t="s">
        <v>731</v>
      </c>
      <c r="C590" t="s">
        <v>11</v>
      </c>
      <c r="D590">
        <v>9.4055142310138382E-2</v>
      </c>
      <c r="E590" t="s">
        <v>6</v>
      </c>
      <c r="G590" t="s">
        <v>732</v>
      </c>
      <c r="H590" t="s">
        <v>11</v>
      </c>
      <c r="I590">
        <v>4.9816295431813734E-2</v>
      </c>
      <c r="J590" t="s">
        <v>6</v>
      </c>
    </row>
    <row r="591" spans="2:10" x14ac:dyDescent="0.45">
      <c r="B591" t="s">
        <v>731</v>
      </c>
      <c r="C591" t="s">
        <v>12</v>
      </c>
      <c r="D591">
        <v>6.6517466739444461E-2</v>
      </c>
      <c r="E591" t="s">
        <v>6</v>
      </c>
      <c r="G591" t="s">
        <v>732</v>
      </c>
      <c r="H591" t="s">
        <v>12</v>
      </c>
      <c r="I591">
        <v>4.7103173597949341E-2</v>
      </c>
      <c r="J591" t="s">
        <v>6</v>
      </c>
    </row>
    <row r="592" spans="2:10" x14ac:dyDescent="0.45">
      <c r="B592" t="s">
        <v>731</v>
      </c>
      <c r="C592" t="s">
        <v>13</v>
      </c>
      <c r="D592">
        <v>3.4986797104329839E-3</v>
      </c>
      <c r="E592" t="s">
        <v>6</v>
      </c>
      <c r="G592" t="s">
        <v>732</v>
      </c>
      <c r="H592" t="s">
        <v>13</v>
      </c>
      <c r="I592">
        <v>4.1375917737893446E-2</v>
      </c>
      <c r="J592" t="s">
        <v>6</v>
      </c>
    </row>
    <row r="593" spans="2:10" x14ac:dyDescent="0.45">
      <c r="B593" t="s">
        <v>731</v>
      </c>
      <c r="C593" t="s">
        <v>14</v>
      </c>
      <c r="D593">
        <v>0</v>
      </c>
      <c r="E593" t="s">
        <v>6</v>
      </c>
      <c r="G593" t="s">
        <v>732</v>
      </c>
      <c r="H593" t="s">
        <v>14</v>
      </c>
      <c r="I593">
        <v>9.4422158546986115E-2</v>
      </c>
      <c r="J593" t="s">
        <v>6</v>
      </c>
    </row>
    <row r="594" spans="2:10" x14ac:dyDescent="0.45">
      <c r="B594" t="s">
        <v>731</v>
      </c>
      <c r="C594" t="s">
        <v>15</v>
      </c>
      <c r="D594">
        <v>5.7244601993362114E-3</v>
      </c>
      <c r="E594" t="s">
        <v>6</v>
      </c>
      <c r="G594" t="s">
        <v>732</v>
      </c>
      <c r="H594" t="s">
        <v>15</v>
      </c>
      <c r="I594">
        <v>4.5813440185433596E-2</v>
      </c>
      <c r="J594" t="s">
        <v>6</v>
      </c>
    </row>
    <row r="595" spans="2:10" x14ac:dyDescent="0.45">
      <c r="B595" t="s">
        <v>731</v>
      </c>
      <c r="C595" t="s">
        <v>16</v>
      </c>
      <c r="D595">
        <v>6.7994583352327442E-2</v>
      </c>
      <c r="E595" t="s">
        <v>6</v>
      </c>
      <c r="G595" t="s">
        <v>732</v>
      </c>
      <c r="H595" t="s">
        <v>16</v>
      </c>
      <c r="I595">
        <v>3.1329924614894721E-2</v>
      </c>
      <c r="J595" t="s">
        <v>6</v>
      </c>
    </row>
    <row r="596" spans="2:10" x14ac:dyDescent="0.45">
      <c r="B596" t="s">
        <v>731</v>
      </c>
      <c r="C596" t="s">
        <v>17</v>
      </c>
      <c r="D596">
        <v>0.10799174113942191</v>
      </c>
      <c r="E596" t="s">
        <v>6</v>
      </c>
      <c r="G596" t="s">
        <v>732</v>
      </c>
      <c r="H596" t="s">
        <v>17</v>
      </c>
      <c r="I596">
        <v>4.0691360455946943E-2</v>
      </c>
      <c r="J596" t="s">
        <v>6</v>
      </c>
    </row>
    <row r="597" spans="2:10" x14ac:dyDescent="0.45">
      <c r="B597" t="s">
        <v>731</v>
      </c>
      <c r="C597" t="s">
        <v>18</v>
      </c>
      <c r="D597">
        <v>7.9365624351892525E-2</v>
      </c>
      <c r="E597" t="s">
        <v>6</v>
      </c>
      <c r="G597" t="s">
        <v>732</v>
      </c>
      <c r="H597" t="s">
        <v>18</v>
      </c>
      <c r="I597">
        <v>4.7164593113371872E-2</v>
      </c>
      <c r="J597" t="s">
        <v>6</v>
      </c>
    </row>
    <row r="598" spans="2:10" x14ac:dyDescent="0.45">
      <c r="B598" t="s">
        <v>731</v>
      </c>
      <c r="C598" t="s">
        <v>19</v>
      </c>
      <c r="D598">
        <v>1.5715662282220457E-2</v>
      </c>
      <c r="E598" t="s">
        <v>6</v>
      </c>
      <c r="G598" t="s">
        <v>732</v>
      </c>
      <c r="H598" t="s">
        <v>19</v>
      </c>
      <c r="I598">
        <v>3.8170148735850479E-2</v>
      </c>
      <c r="J598" t="s">
        <v>6</v>
      </c>
    </row>
    <row r="599" spans="2:10" x14ac:dyDescent="0.45">
      <c r="B599" t="s">
        <v>731</v>
      </c>
      <c r="C599" t="s">
        <v>20</v>
      </c>
      <c r="D599">
        <v>0</v>
      </c>
      <c r="E599" t="s">
        <v>6</v>
      </c>
      <c r="G599" t="s">
        <v>732</v>
      </c>
      <c r="H599" t="s">
        <v>20</v>
      </c>
      <c r="I599">
        <v>2.0000779455829686E-2</v>
      </c>
      <c r="J599" t="s">
        <v>6</v>
      </c>
    </row>
    <row r="600" spans="2:10" x14ac:dyDescent="0.45">
      <c r="B600" t="s">
        <v>731</v>
      </c>
      <c r="C600" t="s">
        <v>21</v>
      </c>
      <c r="D600">
        <v>8.3949724543849417E-3</v>
      </c>
      <c r="E600" t="s">
        <v>6</v>
      </c>
      <c r="G600" t="s">
        <v>732</v>
      </c>
      <c r="H600" t="s">
        <v>21</v>
      </c>
      <c r="I600">
        <v>9.7646459487048028E-3</v>
      </c>
      <c r="J600" t="s">
        <v>6</v>
      </c>
    </row>
    <row r="601" spans="2:10" x14ac:dyDescent="0.45">
      <c r="B601" t="s">
        <v>731</v>
      </c>
      <c r="C601" t="s">
        <v>22</v>
      </c>
      <c r="D601">
        <v>7.4516845532318535E-2</v>
      </c>
      <c r="E601" t="s">
        <v>6</v>
      </c>
      <c r="G601" t="s">
        <v>732</v>
      </c>
      <c r="H601" t="s">
        <v>22</v>
      </c>
      <c r="I601">
        <v>7.1888815621408966E-3</v>
      </c>
      <c r="J601" t="s">
        <v>6</v>
      </c>
    </row>
    <row r="602" spans="2:10" x14ac:dyDescent="0.45">
      <c r="B602" t="s">
        <v>731</v>
      </c>
      <c r="C602" t="s">
        <v>23</v>
      </c>
      <c r="D602">
        <v>0.11169679483553337</v>
      </c>
      <c r="E602" t="s">
        <v>6</v>
      </c>
      <c r="G602" t="s">
        <v>732</v>
      </c>
      <c r="H602" t="s">
        <v>23</v>
      </c>
      <c r="I602">
        <v>1.826360090958434E-2</v>
      </c>
      <c r="J602" t="s">
        <v>6</v>
      </c>
    </row>
    <row r="603" spans="2:10" x14ac:dyDescent="0.45">
      <c r="B603" t="s">
        <v>731</v>
      </c>
      <c r="C603" t="s">
        <v>24</v>
      </c>
      <c r="D603">
        <v>8.2545678509370057E-2</v>
      </c>
      <c r="E603" t="s">
        <v>6</v>
      </c>
      <c r="G603" t="s">
        <v>732</v>
      </c>
      <c r="H603" t="s">
        <v>24</v>
      </c>
      <c r="I603">
        <v>2.3388020496127756E-2</v>
      </c>
      <c r="J603" t="s">
        <v>6</v>
      </c>
    </row>
    <row r="604" spans="2:10" x14ac:dyDescent="0.45">
      <c r="B604" t="s">
        <v>731</v>
      </c>
      <c r="C604" t="s">
        <v>25</v>
      </c>
      <c r="D604">
        <v>2.0323000605106872E-2</v>
      </c>
      <c r="E604" t="s">
        <v>6</v>
      </c>
      <c r="G604" t="s">
        <v>732</v>
      </c>
      <c r="H604" t="s">
        <v>25</v>
      </c>
      <c r="I604">
        <v>1.1963644206124304E-2</v>
      </c>
      <c r="J604" t="s">
        <v>6</v>
      </c>
    </row>
    <row r="605" spans="2:10" x14ac:dyDescent="0.45">
      <c r="B605" t="s">
        <v>731</v>
      </c>
      <c r="C605" t="s">
        <v>26</v>
      </c>
      <c r="D605">
        <v>0</v>
      </c>
      <c r="E605" t="s">
        <v>6</v>
      </c>
      <c r="G605" t="s">
        <v>732</v>
      </c>
      <c r="H605" t="s">
        <v>26</v>
      </c>
      <c r="I605">
        <v>7.7847444662013571E-2</v>
      </c>
      <c r="J605" t="s">
        <v>6</v>
      </c>
    </row>
    <row r="606" spans="2:10" x14ac:dyDescent="0.45">
      <c r="B606" t="s">
        <v>731</v>
      </c>
      <c r="C606" t="s">
        <v>27</v>
      </c>
      <c r="D606">
        <v>1.9135635268278522E-3</v>
      </c>
      <c r="E606" t="s">
        <v>6</v>
      </c>
      <c r="G606" t="s">
        <v>732</v>
      </c>
      <c r="H606" t="s">
        <v>27</v>
      </c>
      <c r="I606">
        <v>3.9424064591886181E-2</v>
      </c>
      <c r="J606" t="s">
        <v>6</v>
      </c>
    </row>
    <row r="607" spans="2:10" x14ac:dyDescent="0.45">
      <c r="B607" t="s">
        <v>731</v>
      </c>
      <c r="C607" t="s">
        <v>28</v>
      </c>
      <c r="D607">
        <v>5.4892521970097849E-2</v>
      </c>
      <c r="E607" t="s">
        <v>6</v>
      </c>
      <c r="G607" t="s">
        <v>732</v>
      </c>
      <c r="H607" t="s">
        <v>28</v>
      </c>
      <c r="I607">
        <v>2.5267999935816368E-2</v>
      </c>
      <c r="J607" t="s">
        <v>6</v>
      </c>
    </row>
    <row r="608" spans="2:10" x14ac:dyDescent="0.45">
      <c r="B608" t="s">
        <v>731</v>
      </c>
      <c r="C608" t="s">
        <v>29</v>
      </c>
      <c r="D608">
        <v>9.7668323439763491E-2</v>
      </c>
      <c r="E608" t="s">
        <v>6</v>
      </c>
      <c r="G608" t="s">
        <v>732</v>
      </c>
      <c r="H608" t="s">
        <v>29</v>
      </c>
      <c r="I608">
        <v>2.5564169298723585E-2</v>
      </c>
      <c r="J608" t="s">
        <v>6</v>
      </c>
    </row>
    <row r="609" spans="2:10" x14ac:dyDescent="0.45">
      <c r="B609" t="s">
        <v>731</v>
      </c>
      <c r="C609" t="s">
        <v>30</v>
      </c>
      <c r="D609">
        <v>6.318075734788843E-2</v>
      </c>
      <c r="E609" t="s">
        <v>6</v>
      </c>
      <c r="G609" t="s">
        <v>732</v>
      </c>
      <c r="H609" t="s">
        <v>30</v>
      </c>
      <c r="I609">
        <v>3.2397068507057189E-2</v>
      </c>
      <c r="J609" t="s">
        <v>6</v>
      </c>
    </row>
    <row r="610" spans="2:10" x14ac:dyDescent="0.45">
      <c r="B610" t="s">
        <v>731</v>
      </c>
      <c r="C610" t="s">
        <v>31</v>
      </c>
      <c r="D610">
        <v>5.634673964747791E-3</v>
      </c>
      <c r="E610" t="s">
        <v>6</v>
      </c>
      <c r="G610" t="s">
        <v>732</v>
      </c>
      <c r="H610" t="s">
        <v>31</v>
      </c>
      <c r="I610">
        <v>2.8160835497724936E-2</v>
      </c>
      <c r="J610" t="s">
        <v>6</v>
      </c>
    </row>
    <row r="611" spans="2:10" x14ac:dyDescent="0.45">
      <c r="B611" t="s">
        <v>733</v>
      </c>
      <c r="C611" t="s">
        <v>5</v>
      </c>
      <c r="D611">
        <v>0</v>
      </c>
      <c r="E611" t="s">
        <v>6</v>
      </c>
    </row>
    <row r="612" spans="2:10" x14ac:dyDescent="0.45">
      <c r="B612" t="s">
        <v>733</v>
      </c>
      <c r="C612" t="s">
        <v>9</v>
      </c>
      <c r="D612">
        <v>0</v>
      </c>
      <c r="E612" t="s">
        <v>6</v>
      </c>
    </row>
    <row r="613" spans="2:10" x14ac:dyDescent="0.45">
      <c r="B613" t="s">
        <v>733</v>
      </c>
      <c r="C613" t="s">
        <v>10</v>
      </c>
      <c r="D613">
        <v>3.6493170604186352E-2</v>
      </c>
      <c r="E613" t="s">
        <v>6</v>
      </c>
    </row>
    <row r="614" spans="2:10" x14ac:dyDescent="0.45">
      <c r="B614" t="s">
        <v>733</v>
      </c>
      <c r="C614" t="s">
        <v>11</v>
      </c>
      <c r="D614">
        <v>9.0988665661834944E-2</v>
      </c>
      <c r="E614" t="s">
        <v>6</v>
      </c>
    </row>
    <row r="615" spans="2:10" x14ac:dyDescent="0.45">
      <c r="B615" t="s">
        <v>733</v>
      </c>
      <c r="C615" t="s">
        <v>12</v>
      </c>
      <c r="D615">
        <v>6.5363452671531236E-2</v>
      </c>
      <c r="E615" t="s">
        <v>6</v>
      </c>
    </row>
    <row r="616" spans="2:10" x14ac:dyDescent="0.45">
      <c r="B616" t="s">
        <v>733</v>
      </c>
      <c r="C616" t="s">
        <v>13</v>
      </c>
      <c r="D616">
        <v>4.3068005759969389E-3</v>
      </c>
      <c r="E616" t="s">
        <v>6</v>
      </c>
    </row>
    <row r="617" spans="2:10" x14ac:dyDescent="0.45">
      <c r="B617" t="s">
        <v>733</v>
      </c>
      <c r="C617" t="s">
        <v>14</v>
      </c>
      <c r="D617">
        <v>0</v>
      </c>
      <c r="E617" t="s">
        <v>6</v>
      </c>
    </row>
    <row r="618" spans="2:10" x14ac:dyDescent="0.45">
      <c r="B618" t="s">
        <v>733</v>
      </c>
      <c r="C618" t="s">
        <v>15</v>
      </c>
      <c r="D618">
        <v>5.0813284561060544E-3</v>
      </c>
      <c r="E618" t="s">
        <v>6</v>
      </c>
    </row>
    <row r="619" spans="2:10" x14ac:dyDescent="0.45">
      <c r="B619" t="s">
        <v>733</v>
      </c>
      <c r="C619" t="s">
        <v>16</v>
      </c>
      <c r="D619">
        <v>6.5931777544492268E-2</v>
      </c>
      <c r="E619" t="s">
        <v>6</v>
      </c>
    </row>
    <row r="620" spans="2:10" x14ac:dyDescent="0.45">
      <c r="B620" t="s">
        <v>733</v>
      </c>
      <c r="C620" t="s">
        <v>17</v>
      </c>
      <c r="D620">
        <v>0.10584914311555067</v>
      </c>
      <c r="E620" t="s">
        <v>6</v>
      </c>
    </row>
    <row r="621" spans="2:10" x14ac:dyDescent="0.45">
      <c r="B621" t="s">
        <v>733</v>
      </c>
      <c r="C621" t="s">
        <v>18</v>
      </c>
      <c r="D621">
        <v>8.0274915861516541E-2</v>
      </c>
      <c r="E621" t="s">
        <v>6</v>
      </c>
    </row>
    <row r="622" spans="2:10" x14ac:dyDescent="0.45">
      <c r="B622" t="s">
        <v>733</v>
      </c>
      <c r="C622" t="s">
        <v>19</v>
      </c>
      <c r="D622">
        <v>1.6790147658974731E-2</v>
      </c>
      <c r="E622" t="s">
        <v>6</v>
      </c>
    </row>
    <row r="623" spans="2:10" x14ac:dyDescent="0.45">
      <c r="B623" t="s">
        <v>733</v>
      </c>
      <c r="C623" t="s">
        <v>20</v>
      </c>
      <c r="D623">
        <v>1.9634921699114798E-7</v>
      </c>
      <c r="E623" t="s">
        <v>6</v>
      </c>
    </row>
    <row r="624" spans="2:10" x14ac:dyDescent="0.45">
      <c r="B624" t="s">
        <v>733</v>
      </c>
      <c r="C624" t="s">
        <v>21</v>
      </c>
      <c r="D624">
        <v>7.4094475189642331E-3</v>
      </c>
      <c r="E624" t="s">
        <v>6</v>
      </c>
    </row>
    <row r="625" spans="2:5" x14ac:dyDescent="0.45">
      <c r="B625" t="s">
        <v>733</v>
      </c>
      <c r="C625" t="s">
        <v>22</v>
      </c>
      <c r="D625">
        <v>7.0887164669733688E-2</v>
      </c>
      <c r="E625" t="s">
        <v>6</v>
      </c>
    </row>
    <row r="626" spans="2:5" x14ac:dyDescent="0.45">
      <c r="B626" t="s">
        <v>733</v>
      </c>
      <c r="C626" t="s">
        <v>23</v>
      </c>
      <c r="D626">
        <v>0.11165896488930775</v>
      </c>
      <c r="E626" t="s">
        <v>6</v>
      </c>
    </row>
    <row r="627" spans="2:5" x14ac:dyDescent="0.45">
      <c r="B627" t="s">
        <v>733</v>
      </c>
      <c r="C627" t="s">
        <v>24</v>
      </c>
      <c r="D627">
        <v>8.6777064972903342E-2</v>
      </c>
      <c r="E627" t="s">
        <v>6</v>
      </c>
    </row>
    <row r="628" spans="2:5" x14ac:dyDescent="0.45">
      <c r="B628" t="s">
        <v>733</v>
      </c>
      <c r="C628" t="s">
        <v>25</v>
      </c>
      <c r="D628">
        <v>2.1949521632917322E-2</v>
      </c>
      <c r="E628" t="s">
        <v>6</v>
      </c>
    </row>
    <row r="629" spans="2:5" x14ac:dyDescent="0.45">
      <c r="B629" t="s">
        <v>733</v>
      </c>
      <c r="C629" t="s">
        <v>26</v>
      </c>
      <c r="D629">
        <v>0</v>
      </c>
      <c r="E629" t="s">
        <v>6</v>
      </c>
    </row>
    <row r="630" spans="2:5" x14ac:dyDescent="0.45">
      <c r="B630" t="s">
        <v>733</v>
      </c>
      <c r="C630" t="s">
        <v>27</v>
      </c>
      <c r="D630">
        <v>1.7485572733507112E-3</v>
      </c>
      <c r="E630" t="s">
        <v>6</v>
      </c>
    </row>
    <row r="631" spans="2:5" x14ac:dyDescent="0.45">
      <c r="B631" t="s">
        <v>733</v>
      </c>
      <c r="C631" t="s">
        <v>28</v>
      </c>
      <c r="D631">
        <v>5.5578960942861091E-2</v>
      </c>
      <c r="E631" t="s">
        <v>6</v>
      </c>
    </row>
    <row r="632" spans="2:5" x14ac:dyDescent="0.45">
      <c r="B632" t="s">
        <v>733</v>
      </c>
      <c r="C632" t="s">
        <v>29</v>
      </c>
      <c r="D632">
        <v>9.8148414841819173E-2</v>
      </c>
      <c r="E632" t="s">
        <v>6</v>
      </c>
    </row>
    <row r="633" spans="2:5" x14ac:dyDescent="0.45">
      <c r="B633" t="s">
        <v>733</v>
      </c>
      <c r="C633" t="s">
        <v>30</v>
      </c>
      <c r="D633">
        <v>6.8046674207230387E-2</v>
      </c>
      <c r="E633" t="s">
        <v>6</v>
      </c>
    </row>
    <row r="634" spans="2:5" x14ac:dyDescent="0.45">
      <c r="B634" t="s">
        <v>733</v>
      </c>
      <c r="C634" t="s">
        <v>31</v>
      </c>
      <c r="D634">
        <v>6.7156305515052393E-3</v>
      </c>
      <c r="E634" t="s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51639-CF86-4D6E-9362-8340DA6215BE}">
  <dimension ref="B9:DH80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other_indexes=ACT; region=ESP")</f>
        <v>~TFM_DINS-TSL: attribute=FLO_EMIS; other_indexes=ACT; region=ESP</v>
      </c>
      <c r="AC9" t="str">
        <f>IF(A11="x","DeActivated","~TFM_INS-TSL: attribute=FLO_SHAR; limtype=FX; region=ESP")</f>
        <v>~TFM_INS-TSL: attribute=FLO_SHAR; limtype=FX; region=ESP</v>
      </c>
      <c r="BD9" t="str">
        <f>IF(A11="x","DeActivated","~TFM_INS-TSL: attribute=FLO_SHAR; limtype=FX; region=ESP")</f>
        <v>~TFM_INS-TSL: attribute=FLO_SHAR; limtype=FX; region=ESP</v>
      </c>
      <c r="CE9" t="str">
        <f>IF(A11="x","DeActivated","~TFM_DINS-TSL: attribute=NCAP_PKCNT; region=ESP")</f>
        <v>~TFM_DINS-TSL: attribute=NCAP_PKCNT; region=ESP</v>
      </c>
      <c r="DE9" t="str">
        <f>IF(A11="x","DeActivated","~TFM_DINS-AT: region=ESP")</f>
        <v>~TFM_DINS-AT: region=ESP</v>
      </c>
    </row>
    <row r="10" spans="2:112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C10" t="s">
        <v>3</v>
      </c>
      <c r="AD10" t="s">
        <v>0</v>
      </c>
      <c r="AE10" t="s">
        <v>5</v>
      </c>
      <c r="AF10" t="s">
        <v>9</v>
      </c>
      <c r="AG10" t="s">
        <v>10</v>
      </c>
      <c r="AH10" t="s">
        <v>11</v>
      </c>
      <c r="AI10" t="s">
        <v>12</v>
      </c>
      <c r="AJ10" t="s">
        <v>13</v>
      </c>
      <c r="AK10" t="s">
        <v>14</v>
      </c>
      <c r="AL10" t="s">
        <v>15</v>
      </c>
      <c r="AM10" t="s">
        <v>16</v>
      </c>
      <c r="AN10" t="s">
        <v>17</v>
      </c>
      <c r="AO10" t="s">
        <v>18</v>
      </c>
      <c r="AP10" t="s">
        <v>19</v>
      </c>
      <c r="AQ10" t="s">
        <v>20</v>
      </c>
      <c r="AR10" t="s">
        <v>21</v>
      </c>
      <c r="AS10" t="s">
        <v>22</v>
      </c>
      <c r="AT10" t="s">
        <v>23</v>
      </c>
      <c r="AU10" t="s">
        <v>24</v>
      </c>
      <c r="AV10" t="s">
        <v>25</v>
      </c>
      <c r="AW10" t="s">
        <v>26</v>
      </c>
      <c r="AX10" t="s">
        <v>27</v>
      </c>
      <c r="AY10" t="s">
        <v>28</v>
      </c>
      <c r="AZ10" t="s">
        <v>29</v>
      </c>
      <c r="BA10" t="s">
        <v>30</v>
      </c>
      <c r="BB10" t="s">
        <v>31</v>
      </c>
      <c r="BD10" t="s">
        <v>3</v>
      </c>
      <c r="BE10" t="s">
        <v>0</v>
      </c>
      <c r="BF10" t="s">
        <v>5</v>
      </c>
      <c r="BG10" t="s">
        <v>9</v>
      </c>
      <c r="BH10" t="s">
        <v>10</v>
      </c>
      <c r="BI10" t="s">
        <v>11</v>
      </c>
      <c r="BJ10" t="s">
        <v>12</v>
      </c>
      <c r="BK10" t="s">
        <v>13</v>
      </c>
      <c r="BL10" t="s">
        <v>14</v>
      </c>
      <c r="BM10" t="s">
        <v>15</v>
      </c>
      <c r="BN10" t="s">
        <v>16</v>
      </c>
      <c r="BO10" t="s">
        <v>17</v>
      </c>
      <c r="BP10" t="s">
        <v>18</v>
      </c>
      <c r="BQ10" t="s">
        <v>19</v>
      </c>
      <c r="BR10" t="s">
        <v>20</v>
      </c>
      <c r="BS10" t="s">
        <v>21</v>
      </c>
      <c r="BT10" t="s">
        <v>22</v>
      </c>
      <c r="BU10" t="s">
        <v>23</v>
      </c>
      <c r="BV10" t="s">
        <v>24</v>
      </c>
      <c r="BW10" t="s">
        <v>25</v>
      </c>
      <c r="BX10" t="s">
        <v>26</v>
      </c>
      <c r="BY10" t="s">
        <v>27</v>
      </c>
      <c r="BZ10" t="s">
        <v>28</v>
      </c>
      <c r="CA10" t="s">
        <v>29</v>
      </c>
      <c r="CB10" t="s">
        <v>30</v>
      </c>
      <c r="CC10" t="s">
        <v>31</v>
      </c>
      <c r="CE10" t="s">
        <v>3</v>
      </c>
      <c r="CF10" t="s">
        <v>5</v>
      </c>
      <c r="CG10" t="s">
        <v>9</v>
      </c>
      <c r="CH10" t="s">
        <v>10</v>
      </c>
      <c r="CI10" t="s">
        <v>11</v>
      </c>
      <c r="CJ10" t="s">
        <v>12</v>
      </c>
      <c r="CK10" t="s">
        <v>13</v>
      </c>
      <c r="CL10" t="s">
        <v>14</v>
      </c>
      <c r="CM10" t="s">
        <v>15</v>
      </c>
      <c r="CN10" t="s">
        <v>16</v>
      </c>
      <c r="CO10" t="s">
        <v>17</v>
      </c>
      <c r="CP10" t="s">
        <v>18</v>
      </c>
      <c r="CQ10" t="s">
        <v>19</v>
      </c>
      <c r="CR10" t="s">
        <v>20</v>
      </c>
      <c r="CS10" t="s">
        <v>21</v>
      </c>
      <c r="CT10" t="s">
        <v>22</v>
      </c>
      <c r="CU10" t="s">
        <v>23</v>
      </c>
      <c r="CV10" t="s">
        <v>24</v>
      </c>
      <c r="CW10" t="s">
        <v>25</v>
      </c>
      <c r="CX10" t="s">
        <v>26</v>
      </c>
      <c r="CY10" t="s">
        <v>27</v>
      </c>
      <c r="CZ10" t="s">
        <v>28</v>
      </c>
      <c r="DA10" t="s">
        <v>29</v>
      </c>
      <c r="DB10" t="s">
        <v>30</v>
      </c>
      <c r="DC10" t="s">
        <v>31</v>
      </c>
      <c r="DE10" t="s">
        <v>3</v>
      </c>
      <c r="DF10" t="s">
        <v>0</v>
      </c>
      <c r="DG10" t="s">
        <v>104</v>
      </c>
      <c r="DH10" t="s">
        <v>105</v>
      </c>
    </row>
    <row r="11" spans="2:112" x14ac:dyDescent="0.45">
      <c r="B11" t="s">
        <v>734</v>
      </c>
      <c r="C11" t="s">
        <v>107</v>
      </c>
      <c r="D11">
        <v>0</v>
      </c>
      <c r="E11">
        <v>0</v>
      </c>
      <c r="F11">
        <v>0.39271695345310903</v>
      </c>
      <c r="G11">
        <v>0.15883499997745243</v>
      </c>
      <c r="H11">
        <v>0.2052856094454448</v>
      </c>
      <c r="I11">
        <v>0.73700989237415937</v>
      </c>
      <c r="J11">
        <v>0.99728260869565222</v>
      </c>
      <c r="K11">
        <v>0.7265641154357666</v>
      </c>
      <c r="L11">
        <v>0.22454562770844563</v>
      </c>
      <c r="M11">
        <v>0.13510404843505422</v>
      </c>
      <c r="N11">
        <v>0.1663033141200537</v>
      </c>
      <c r="O11">
        <v>0.41096779057476862</v>
      </c>
      <c r="P11">
        <v>0.93625211089803795</v>
      </c>
      <c r="Q11">
        <v>0.62736603118717493</v>
      </c>
      <c r="R11">
        <v>0.16294362294612486</v>
      </c>
      <c r="S11">
        <v>8.3174951294882241E-2</v>
      </c>
      <c r="T11">
        <v>0.10593735223417762</v>
      </c>
      <c r="U11">
        <v>0.32502624283457859</v>
      </c>
      <c r="V11">
        <v>0</v>
      </c>
      <c r="W11">
        <v>0.8771274867004617</v>
      </c>
      <c r="X11">
        <v>0.27187018010362352</v>
      </c>
      <c r="Y11">
        <v>0.15557934702659934</v>
      </c>
      <c r="Z11">
        <v>0.21301291207526732</v>
      </c>
      <c r="AA11">
        <v>0.63119489576196763</v>
      </c>
      <c r="AC11" t="s">
        <v>108</v>
      </c>
      <c r="AD11" t="s">
        <v>109</v>
      </c>
      <c r="AE11">
        <v>0</v>
      </c>
      <c r="AF11">
        <v>0</v>
      </c>
      <c r="AG11">
        <v>0.21541471477979399</v>
      </c>
      <c r="AH11">
        <v>6.1456230939406477E-2</v>
      </c>
      <c r="AI11">
        <v>9.4184190072607275E-3</v>
      </c>
      <c r="AJ11">
        <v>0.25483399071807294</v>
      </c>
      <c r="AK11">
        <v>0.93626094763987644</v>
      </c>
      <c r="AL11">
        <v>0.60199996921541099</v>
      </c>
      <c r="AM11">
        <v>0.11560448446232416</v>
      </c>
      <c r="AN11">
        <v>5.2321279387132914E-2</v>
      </c>
      <c r="AO11">
        <v>6.8086424317794761E-3</v>
      </c>
      <c r="AP11">
        <v>0.13231300075171137</v>
      </c>
      <c r="AQ11">
        <v>0.8311878422403074</v>
      </c>
      <c r="AR11">
        <v>0.48605974399343871</v>
      </c>
      <c r="AS11">
        <v>7.6842132686730028E-2</v>
      </c>
      <c r="AT11">
        <v>1.7387197909620334E-2</v>
      </c>
      <c r="AU11">
        <v>2.1313291777476175E-2</v>
      </c>
      <c r="AV11">
        <v>0.18861139897062387</v>
      </c>
      <c r="AW11">
        <v>0</v>
      </c>
      <c r="AX11">
        <v>0.74347256933706385</v>
      </c>
      <c r="AY11">
        <v>0.13202014027998563</v>
      </c>
      <c r="AZ11">
        <v>4.787760042026671E-2</v>
      </c>
      <c r="BA11">
        <v>7.9371472112862579E-3</v>
      </c>
      <c r="BB11">
        <v>0.17500822296269636</v>
      </c>
      <c r="BD11" t="s">
        <v>108</v>
      </c>
      <c r="BE11" t="s">
        <v>110</v>
      </c>
      <c r="BF11">
        <v>0</v>
      </c>
      <c r="BG11">
        <v>0</v>
      </c>
      <c r="BH11">
        <v>0</v>
      </c>
      <c r="BI11">
        <v>0</v>
      </c>
      <c r="BJ11">
        <v>9.0451169255443484E-2</v>
      </c>
      <c r="BK11">
        <v>0.16523727423551021</v>
      </c>
      <c r="BL11">
        <v>0</v>
      </c>
      <c r="BM11">
        <v>0</v>
      </c>
      <c r="BN11">
        <v>0</v>
      </c>
      <c r="BO11">
        <v>0</v>
      </c>
      <c r="BP11">
        <v>6.3669444563146146E-2</v>
      </c>
      <c r="BQ11">
        <v>0.10752264087070712</v>
      </c>
      <c r="BR11">
        <v>0</v>
      </c>
      <c r="BS11">
        <v>0</v>
      </c>
      <c r="BT11">
        <v>0</v>
      </c>
      <c r="BU11">
        <v>0</v>
      </c>
      <c r="BV11">
        <v>1.8983879329996654E-2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7.7693163624834291E-2</v>
      </c>
      <c r="CC11">
        <v>0.19815278634929787</v>
      </c>
      <c r="CE11" t="s">
        <v>734</v>
      </c>
      <c r="CF11">
        <v>0</v>
      </c>
      <c r="CG11">
        <v>0</v>
      </c>
      <c r="CH11">
        <v>0.14238596924994898</v>
      </c>
      <c r="CI11">
        <v>0.42642660139618138</v>
      </c>
      <c r="CJ11">
        <v>0.31027433284547573</v>
      </c>
      <c r="CK11">
        <v>2.2004700749965245E-2</v>
      </c>
      <c r="CL11">
        <v>1.4309138149962384E-8</v>
      </c>
      <c r="CM11">
        <v>1.3813865640975791E-2</v>
      </c>
      <c r="CN11">
        <v>0.29128275961539452</v>
      </c>
      <c r="CO11">
        <v>0.52894028355850287</v>
      </c>
      <c r="CP11">
        <v>0.42504205191176903</v>
      </c>
      <c r="CQ11">
        <v>9.8518950663833038E-2</v>
      </c>
      <c r="CR11">
        <v>1.1119263632688458E-4</v>
      </c>
      <c r="CS11">
        <v>2.5375926734369378E-2</v>
      </c>
      <c r="CT11">
        <v>0.37038527989275222</v>
      </c>
      <c r="CU11">
        <v>0.61148029229412326</v>
      </c>
      <c r="CV11">
        <v>0.50684736800773678</v>
      </c>
      <c r="CW11">
        <v>0.14490934935510083</v>
      </c>
      <c r="CX11">
        <v>0</v>
      </c>
      <c r="CY11">
        <v>4.241703175742218E-3</v>
      </c>
      <c r="CZ11">
        <v>0.24961688942774066</v>
      </c>
      <c r="DA11">
        <v>0.4747158648408274</v>
      </c>
      <c r="DB11">
        <v>0.33385463080277478</v>
      </c>
      <c r="DC11">
        <v>3.9619247419966773E-2</v>
      </c>
      <c r="DE11" t="s">
        <v>734</v>
      </c>
      <c r="DF11" t="s">
        <v>111</v>
      </c>
      <c r="DG11" t="s">
        <v>112</v>
      </c>
      <c r="DH11">
        <v>0.47645100161628678</v>
      </c>
    </row>
    <row r="12" spans="2:112" x14ac:dyDescent="0.45">
      <c r="B12" t="s">
        <v>735</v>
      </c>
      <c r="C12" t="s">
        <v>107</v>
      </c>
      <c r="D12">
        <v>0</v>
      </c>
      <c r="E12">
        <v>0</v>
      </c>
      <c r="F12">
        <v>0.43384005831117095</v>
      </c>
      <c r="G12">
        <v>0.18851189507953495</v>
      </c>
      <c r="H12">
        <v>0.23072929170263759</v>
      </c>
      <c r="I12">
        <v>0.65076029637761867</v>
      </c>
      <c r="J12">
        <v>0.99002845754572522</v>
      </c>
      <c r="K12">
        <v>0.75053290059978295</v>
      </c>
      <c r="L12">
        <v>0.24522378391497848</v>
      </c>
      <c r="M12">
        <v>0.14701741881977676</v>
      </c>
      <c r="N12">
        <v>0.16893052666041355</v>
      </c>
      <c r="O12">
        <v>0.40094209509646189</v>
      </c>
      <c r="P12">
        <v>0.92370780986486622</v>
      </c>
      <c r="Q12">
        <v>0.63731896817977118</v>
      </c>
      <c r="R12">
        <v>0.1724643822091235</v>
      </c>
      <c r="S12">
        <v>7.8879222881189925E-2</v>
      </c>
      <c r="T12">
        <v>0.10813459628202411</v>
      </c>
      <c r="U12">
        <v>0.31324548982330352</v>
      </c>
      <c r="V12">
        <v>0</v>
      </c>
      <c r="W12">
        <v>0.88705996951473576</v>
      </c>
      <c r="X12">
        <v>0.31214501441672815</v>
      </c>
      <c r="Y12">
        <v>0.18036511983411332</v>
      </c>
      <c r="Z12">
        <v>0.23914789429828226</v>
      </c>
      <c r="AA12">
        <v>0.59005448057010035</v>
      </c>
      <c r="AC12" t="s">
        <v>114</v>
      </c>
      <c r="AD12" t="s">
        <v>109</v>
      </c>
      <c r="AE12">
        <v>1.9708961720927196E-3</v>
      </c>
      <c r="AF12">
        <v>2.8487889016436982E-3</v>
      </c>
      <c r="AG12">
        <v>0</v>
      </c>
      <c r="AH12">
        <v>3.1668751296160158E-3</v>
      </c>
      <c r="AI12">
        <v>5.417764505085498E-3</v>
      </c>
      <c r="AJ12">
        <v>4.8725319184030006E-3</v>
      </c>
      <c r="AK12">
        <v>2.2075609347049123E-3</v>
      </c>
      <c r="AL12">
        <v>0</v>
      </c>
      <c r="AM12">
        <v>4.3089068203142457E-3</v>
      </c>
      <c r="AN12">
        <v>3.4047852011201019E-3</v>
      </c>
      <c r="AO12">
        <v>1.392745940966305E-3</v>
      </c>
      <c r="AP12">
        <v>3.5404304448264602E-3</v>
      </c>
      <c r="AQ12">
        <v>9.5327503769313277E-3</v>
      </c>
      <c r="AR12">
        <v>7.9254021530759684E-3</v>
      </c>
      <c r="AS12">
        <v>7.8863748431888155E-3</v>
      </c>
      <c r="AT12">
        <v>2.7456344574956812E-2</v>
      </c>
      <c r="AU12">
        <v>1.5946287849799845E-2</v>
      </c>
      <c r="AV12">
        <v>2.658786332694636E-3</v>
      </c>
      <c r="AW12">
        <v>4.6486577318231989E-3</v>
      </c>
      <c r="AX12">
        <v>2.0285359545369627E-4</v>
      </c>
      <c r="AY12">
        <v>2.7101590648174897E-3</v>
      </c>
      <c r="AZ12">
        <v>4.6005309362231791E-3</v>
      </c>
      <c r="BA12">
        <v>1.8358835601825336E-4</v>
      </c>
      <c r="BB12">
        <v>0</v>
      </c>
      <c r="BD12" t="s">
        <v>114</v>
      </c>
      <c r="BE12" t="s">
        <v>110</v>
      </c>
      <c r="BF12">
        <v>1.4269963253703567E-2</v>
      </c>
      <c r="BG12">
        <v>5.2781317419617699E-3</v>
      </c>
      <c r="BH12">
        <v>6.0392987435306114E-3</v>
      </c>
      <c r="BI12">
        <v>4.2339452240429542E-5</v>
      </c>
      <c r="BJ12">
        <v>8.523177476383946E-3</v>
      </c>
      <c r="BK12">
        <v>2.5026750939743464E-2</v>
      </c>
      <c r="BL12">
        <v>1.4218638472440018E-2</v>
      </c>
      <c r="BM12">
        <v>1.0147625165936824E-2</v>
      </c>
      <c r="BN12">
        <v>5.6088233799058047E-4</v>
      </c>
      <c r="BO12">
        <v>3.050565155595316E-3</v>
      </c>
      <c r="BP12">
        <v>5.0594934788251141E-3</v>
      </c>
      <c r="BQ12">
        <v>4.7852678702909705E-3</v>
      </c>
      <c r="BR12">
        <v>2.1031247250065537E-2</v>
      </c>
      <c r="BS12">
        <v>7.2710032909293508E-3</v>
      </c>
      <c r="BT12">
        <v>3.124671629524052E-2</v>
      </c>
      <c r="BU12">
        <v>2.056399712952443E-2</v>
      </c>
      <c r="BV12">
        <v>1.8570694724809052E-2</v>
      </c>
      <c r="BW12">
        <v>2.9070590365713092E-2</v>
      </c>
      <c r="BX12">
        <v>4.5186795063059263E-3</v>
      </c>
      <c r="BY12">
        <v>1.5563129034345619E-2</v>
      </c>
      <c r="BZ12">
        <v>6.8509825889184342E-3</v>
      </c>
      <c r="CA12">
        <v>7.5868076438970582E-3</v>
      </c>
      <c r="CB12">
        <v>1.7405948934389164E-2</v>
      </c>
      <c r="CC12">
        <v>7.2503348386053152E-3</v>
      </c>
      <c r="CE12" t="s">
        <v>735</v>
      </c>
      <c r="CF12">
        <v>0</v>
      </c>
      <c r="CG12">
        <v>0</v>
      </c>
      <c r="CH12">
        <v>0.11648319229124071</v>
      </c>
      <c r="CI12">
        <v>0.38068302613190941</v>
      </c>
      <c r="CJ12">
        <v>0.29927287500965349</v>
      </c>
      <c r="CK12">
        <v>3.0534221015018015E-2</v>
      </c>
      <c r="CL12">
        <v>6.0585388544455336E-6</v>
      </c>
      <c r="CM12">
        <v>1.090746761543839E-2</v>
      </c>
      <c r="CN12">
        <v>0.26503784247612766</v>
      </c>
      <c r="CO12">
        <v>0.51130157826598099</v>
      </c>
      <c r="CP12">
        <v>0.42520124201842291</v>
      </c>
      <c r="CQ12">
        <v>0.10597897493005794</v>
      </c>
      <c r="CR12">
        <v>2.4755024533121398E-4</v>
      </c>
      <c r="CS12">
        <v>2.134252924785103E-2</v>
      </c>
      <c r="CT12">
        <v>0.36871131338219054</v>
      </c>
      <c r="CU12">
        <v>0.63277633088676177</v>
      </c>
      <c r="CV12">
        <v>0.52776601845737459</v>
      </c>
      <c r="CW12">
        <v>0.16107452056442551</v>
      </c>
      <c r="CX12">
        <v>0</v>
      </c>
      <c r="CY12">
        <v>2.4952671774510367E-3</v>
      </c>
      <c r="CZ12">
        <v>0.21412273279494237</v>
      </c>
      <c r="DA12">
        <v>0.45220224089910932</v>
      </c>
      <c r="DB12">
        <v>0.3295949644792831</v>
      </c>
      <c r="DC12">
        <v>4.8959286402288332E-2</v>
      </c>
      <c r="DE12" t="s">
        <v>735</v>
      </c>
      <c r="DF12" t="s">
        <v>111</v>
      </c>
      <c r="DG12" t="s">
        <v>112</v>
      </c>
      <c r="DH12">
        <v>0.46804505618949088</v>
      </c>
    </row>
    <row r="13" spans="2:112" x14ac:dyDescent="0.45">
      <c r="B13" t="s">
        <v>736</v>
      </c>
      <c r="C13" t="s">
        <v>107</v>
      </c>
      <c r="D13">
        <v>0</v>
      </c>
      <c r="E13">
        <v>0</v>
      </c>
      <c r="F13">
        <v>0.44771992496225005</v>
      </c>
      <c r="G13">
        <v>0.19275834613192028</v>
      </c>
      <c r="H13">
        <v>0.22403860525371203</v>
      </c>
      <c r="I13">
        <v>0.70878732162876679</v>
      </c>
      <c r="J13">
        <v>0.98913043478260843</v>
      </c>
      <c r="K13">
        <v>0.74435992913554438</v>
      </c>
      <c r="L13">
        <v>0.25459699061631386</v>
      </c>
      <c r="M13">
        <v>0.16008904948784333</v>
      </c>
      <c r="N13">
        <v>0.17754515674694515</v>
      </c>
      <c r="O13">
        <v>0.40683518850975081</v>
      </c>
      <c r="P13">
        <v>0.92808198785262896</v>
      </c>
      <c r="Q13">
        <v>0.63566622578537113</v>
      </c>
      <c r="R13">
        <v>0.1953849290107747</v>
      </c>
      <c r="S13">
        <v>0.11680065335183192</v>
      </c>
      <c r="T13">
        <v>0.13214087051798939</v>
      </c>
      <c r="U13">
        <v>0.32721829399217717</v>
      </c>
      <c r="V13">
        <v>0</v>
      </c>
      <c r="W13">
        <v>0.88607919823485992</v>
      </c>
      <c r="X13">
        <v>0.32604156942500823</v>
      </c>
      <c r="Y13">
        <v>0.20149488679619051</v>
      </c>
      <c r="Z13">
        <v>0.25455475298770602</v>
      </c>
      <c r="AA13">
        <v>0.61551176776749827</v>
      </c>
      <c r="AC13" t="s">
        <v>116</v>
      </c>
      <c r="AD13" t="s">
        <v>109</v>
      </c>
      <c r="AE13">
        <v>5.9515166834729369E-5</v>
      </c>
      <c r="AF13">
        <v>6.5371650037381089E-4</v>
      </c>
      <c r="AG13">
        <v>9.6823868415372863E-4</v>
      </c>
      <c r="AH13">
        <v>1.990663202742821E-3</v>
      </c>
      <c r="AI13">
        <v>1.0143810648306987E-3</v>
      </c>
      <c r="AJ13">
        <v>2.2535680379725137E-3</v>
      </c>
      <c r="AK13">
        <v>7.9490272880491572E-5</v>
      </c>
      <c r="AL13">
        <v>1.3341374324971527E-3</v>
      </c>
      <c r="AM13">
        <v>8.2999197226260262E-5</v>
      </c>
      <c r="AN13">
        <v>1.3174298965356056E-4</v>
      </c>
      <c r="AO13">
        <v>2.7578591230904849E-3</v>
      </c>
      <c r="AP13">
        <v>1.7570747537276809E-3</v>
      </c>
      <c r="AQ13">
        <v>2.3854893122566027E-3</v>
      </c>
      <c r="AR13">
        <v>0</v>
      </c>
      <c r="AS13">
        <v>1.3732776704793032E-3</v>
      </c>
      <c r="AT13">
        <v>1.1730038056154274E-3</v>
      </c>
      <c r="AU13">
        <v>1.5319736745052993E-3</v>
      </c>
      <c r="AV13">
        <v>5.8646466013242352E-4</v>
      </c>
      <c r="AW13">
        <v>8.6017172051333046E-5</v>
      </c>
      <c r="AX13">
        <v>1.3297060766613758E-3</v>
      </c>
      <c r="AY13">
        <v>1.0819369031340027E-4</v>
      </c>
      <c r="AZ13">
        <v>6.8983424864617175E-5</v>
      </c>
      <c r="BA13">
        <v>0</v>
      </c>
      <c r="BB13">
        <v>0</v>
      </c>
      <c r="BD13" t="s">
        <v>116</v>
      </c>
      <c r="BE13" t="s">
        <v>110</v>
      </c>
      <c r="BF13">
        <v>5.9868465971646212E-3</v>
      </c>
      <c r="BG13">
        <v>1.5188696559158368E-3</v>
      </c>
      <c r="BH13">
        <v>1.9632963177292784E-3</v>
      </c>
      <c r="BI13">
        <v>3.767662424393158E-3</v>
      </c>
      <c r="BJ13">
        <v>9.412769640287753E-3</v>
      </c>
      <c r="BK13">
        <v>7.6678229223782843E-3</v>
      </c>
      <c r="BL13">
        <v>7.0630275089462839E-3</v>
      </c>
      <c r="BM13">
        <v>2.1825261064275714E-3</v>
      </c>
      <c r="BN13">
        <v>7.7164383470302101E-3</v>
      </c>
      <c r="BO13">
        <v>8.3001714332861711E-3</v>
      </c>
      <c r="BP13">
        <v>2.9136399033262445E-3</v>
      </c>
      <c r="BQ13">
        <v>1.2662908783156894E-2</v>
      </c>
      <c r="BR13">
        <v>3.0246215779403327E-3</v>
      </c>
      <c r="BS13">
        <v>6.5359692172729652E-3</v>
      </c>
      <c r="BT13">
        <v>3.4074070575354589E-3</v>
      </c>
      <c r="BU13">
        <v>6.8117020930473044E-3</v>
      </c>
      <c r="BV13">
        <v>4.3449756316822959E-3</v>
      </c>
      <c r="BW13">
        <v>5.0451938997616748E-3</v>
      </c>
      <c r="BX13">
        <v>1.1712850067084613E-3</v>
      </c>
      <c r="BY13">
        <v>3.6647458535199635E-3</v>
      </c>
      <c r="BZ13">
        <v>4.395214143756097E-3</v>
      </c>
      <c r="CA13">
        <v>9.0357895744030698E-4</v>
      </c>
      <c r="CB13">
        <v>1.6944087122585554E-3</v>
      </c>
      <c r="CC13">
        <v>1.8919994222600302E-3</v>
      </c>
      <c r="CE13" t="s">
        <v>736</v>
      </c>
      <c r="CF13">
        <v>0</v>
      </c>
      <c r="CG13">
        <v>0</v>
      </c>
      <c r="CH13">
        <v>0.11070172221718425</v>
      </c>
      <c r="CI13">
        <v>0.372891899619401</v>
      </c>
      <c r="CJ13">
        <v>0.28271977663794706</v>
      </c>
      <c r="CK13">
        <v>2.3012314337476251E-2</v>
      </c>
      <c r="CL13">
        <v>3.5322909085491176E-6</v>
      </c>
      <c r="CM13">
        <v>1.0643353442541475E-2</v>
      </c>
      <c r="CN13">
        <v>0.25690267029885239</v>
      </c>
      <c r="CO13">
        <v>0.49338929396212183</v>
      </c>
      <c r="CP13">
        <v>0.40700712885383233</v>
      </c>
      <c r="CQ13">
        <v>9.750432582343338E-2</v>
      </c>
      <c r="CR13">
        <v>2.0691706251507998E-4</v>
      </c>
      <c r="CS13">
        <v>2.0084467812502785E-2</v>
      </c>
      <c r="CT13">
        <v>0.33169253528733372</v>
      </c>
      <c r="CU13">
        <v>0.57603727067460875</v>
      </c>
      <c r="CV13">
        <v>0.48788880498064119</v>
      </c>
      <c r="CW13">
        <v>0.14912523341655026</v>
      </c>
      <c r="CX13">
        <v>0</v>
      </c>
      <c r="CY13">
        <v>2.4609552414737593E-3</v>
      </c>
      <c r="CZ13">
        <v>0.20678230990363736</v>
      </c>
      <c r="DA13">
        <v>0.41535118835609464</v>
      </c>
      <c r="DB13">
        <v>0.29095440792403171</v>
      </c>
      <c r="DC13">
        <v>4.048462784192032E-2</v>
      </c>
      <c r="DE13" t="s">
        <v>736</v>
      </c>
      <c r="DF13" t="s">
        <v>111</v>
      </c>
      <c r="DG13" t="s">
        <v>112</v>
      </c>
      <c r="DH13">
        <v>0.4421105337278004</v>
      </c>
    </row>
    <row r="14" spans="2:112" x14ac:dyDescent="0.45">
      <c r="B14" t="s">
        <v>737</v>
      </c>
      <c r="C14" t="s">
        <v>107</v>
      </c>
      <c r="D14">
        <v>0</v>
      </c>
      <c r="E14">
        <v>0</v>
      </c>
      <c r="F14">
        <v>0.51770982941633292</v>
      </c>
      <c r="G14">
        <v>0.26748943111101409</v>
      </c>
      <c r="H14">
        <v>0.26860535611995368</v>
      </c>
      <c r="I14">
        <v>0.63313930172874422</v>
      </c>
      <c r="J14">
        <v>0.9663307240478799</v>
      </c>
      <c r="K14">
        <v>0.8014029916471318</v>
      </c>
      <c r="L14">
        <v>0.27917423816003328</v>
      </c>
      <c r="M14">
        <v>0.17081197026135336</v>
      </c>
      <c r="N14">
        <v>0.17155977452129484</v>
      </c>
      <c r="O14">
        <v>0.36222243367421941</v>
      </c>
      <c r="P14">
        <v>0.90254857545120781</v>
      </c>
      <c r="Q14">
        <v>0.66359469201212784</v>
      </c>
      <c r="R14">
        <v>0.19233366949393751</v>
      </c>
      <c r="S14">
        <v>8.9027876971309983E-2</v>
      </c>
      <c r="T14">
        <v>9.9538042003741792E-2</v>
      </c>
      <c r="U14">
        <v>0.27089638098259566</v>
      </c>
      <c r="V14">
        <v>0</v>
      </c>
      <c r="W14">
        <v>0.92910131664908679</v>
      </c>
      <c r="X14">
        <v>0.3418127952205508</v>
      </c>
      <c r="Y14">
        <v>0.17249416240067614</v>
      </c>
      <c r="Z14">
        <v>0.20789517677083771</v>
      </c>
      <c r="AA14">
        <v>0.55571426199736818</v>
      </c>
      <c r="CE14" t="s">
        <v>737</v>
      </c>
      <c r="CF14">
        <v>0</v>
      </c>
      <c r="CG14">
        <v>0</v>
      </c>
      <c r="CH14">
        <v>8.4643678597106017E-2</v>
      </c>
      <c r="CI14">
        <v>0.33036221685093486</v>
      </c>
      <c r="CJ14">
        <v>0.27397495811542716</v>
      </c>
      <c r="CK14">
        <v>3.777327380035906E-2</v>
      </c>
      <c r="CL14">
        <v>1.2856518762358466E-4</v>
      </c>
      <c r="CM14">
        <v>6.2068300641048941E-3</v>
      </c>
      <c r="CN14">
        <v>0.23437519534221157</v>
      </c>
      <c r="CO14">
        <v>0.49732089660667389</v>
      </c>
      <c r="CP14">
        <v>0.4454093396827733</v>
      </c>
      <c r="CQ14">
        <v>0.13897715938568769</v>
      </c>
      <c r="CR14">
        <v>8.302017478820108E-4</v>
      </c>
      <c r="CS14">
        <v>1.1312416180120638E-2</v>
      </c>
      <c r="CT14">
        <v>0.32057190066455304</v>
      </c>
      <c r="CU14">
        <v>0.61468597888094145</v>
      </c>
      <c r="CV14">
        <v>0.5623299707414644</v>
      </c>
      <c r="CW14">
        <v>0.2065687019649656</v>
      </c>
      <c r="CX14">
        <v>0</v>
      </c>
      <c r="CY14">
        <v>5.3800410069578918E-4</v>
      </c>
      <c r="CZ14">
        <v>0.18246910317296325</v>
      </c>
      <c r="DA14">
        <v>0.45436963367662575</v>
      </c>
      <c r="DB14">
        <v>0.36870474926341151</v>
      </c>
      <c r="DC14">
        <v>6.7502994461102694E-2</v>
      </c>
      <c r="DE14" t="s">
        <v>737</v>
      </c>
      <c r="DF14" t="s">
        <v>111</v>
      </c>
      <c r="DG14" t="s">
        <v>112</v>
      </c>
      <c r="DH14">
        <v>0.45457744291626012</v>
      </c>
    </row>
    <row r="15" spans="2:112" x14ac:dyDescent="0.45">
      <c r="B15" t="s">
        <v>738</v>
      </c>
      <c r="C15" t="s">
        <v>107</v>
      </c>
      <c r="D15">
        <v>0</v>
      </c>
      <c r="E15">
        <v>0</v>
      </c>
      <c r="F15">
        <v>0.42153246957864426</v>
      </c>
      <c r="G15">
        <v>0.17733320498562991</v>
      </c>
      <c r="H15">
        <v>0.21324237982078378</v>
      </c>
      <c r="I15">
        <v>0.64804571403162115</v>
      </c>
      <c r="J15">
        <v>0.997282608695652</v>
      </c>
      <c r="K15">
        <v>0.74980601322670659</v>
      </c>
      <c r="L15">
        <v>0.22938240100781068</v>
      </c>
      <c r="M15">
        <v>0.13020731159487095</v>
      </c>
      <c r="N15">
        <v>0.16908772404721883</v>
      </c>
      <c r="O15">
        <v>0.40446676151451955</v>
      </c>
      <c r="P15">
        <v>0.92684970829534219</v>
      </c>
      <c r="Q15">
        <v>0.64540612846836432</v>
      </c>
      <c r="R15">
        <v>0.1398695034010696</v>
      </c>
      <c r="S15">
        <v>4.3317457386342351E-2</v>
      </c>
      <c r="T15">
        <v>8.7163022705327789E-2</v>
      </c>
      <c r="U15">
        <v>0.31021634822289434</v>
      </c>
      <c r="V15">
        <v>0</v>
      </c>
      <c r="W15">
        <v>0.88499254456652454</v>
      </c>
      <c r="X15">
        <v>0.27659559170881581</v>
      </c>
      <c r="Y15">
        <v>0.15224000832754639</v>
      </c>
      <c r="Z15">
        <v>0.1974420871759919</v>
      </c>
      <c r="AA15">
        <v>0.58134705571354961</v>
      </c>
      <c r="CE15" t="s">
        <v>738</v>
      </c>
      <c r="CF15">
        <v>0</v>
      </c>
      <c r="CG15">
        <v>0</v>
      </c>
      <c r="CH15">
        <v>0.153896700873867</v>
      </c>
      <c r="CI15">
        <v>0.44930966963155522</v>
      </c>
      <c r="CJ15">
        <v>0.35110563093402253</v>
      </c>
      <c r="CK15">
        <v>3.8572283745356713E-2</v>
      </c>
      <c r="CL15">
        <v>6.6010633775309154E-7</v>
      </c>
      <c r="CM15">
        <v>1.356609751642484E-2</v>
      </c>
      <c r="CN15">
        <v>0.31080994381499083</v>
      </c>
      <c r="CO15">
        <v>0.56072615390203262</v>
      </c>
      <c r="CP15">
        <v>0.45172784221798717</v>
      </c>
      <c r="CQ15">
        <v>0.11334986179165148</v>
      </c>
      <c r="CR15">
        <v>1.6668170629320254E-4</v>
      </c>
      <c r="CS15">
        <v>2.4545302206297782E-2</v>
      </c>
      <c r="CT15">
        <v>0.41318030413995255</v>
      </c>
      <c r="CU15">
        <v>0.67602187565305472</v>
      </c>
      <c r="CV15">
        <v>0.55432101080605478</v>
      </c>
      <c r="CW15">
        <v>0.16486767612158451</v>
      </c>
      <c r="CX15">
        <v>0</v>
      </c>
      <c r="CY15">
        <v>4.0783100270421003E-3</v>
      </c>
      <c r="CZ15">
        <v>0.27237555950409009</v>
      </c>
      <c r="DA15">
        <v>0.54005254409260151</v>
      </c>
      <c r="DB15">
        <v>0.40569945259575052</v>
      </c>
      <c r="DC15">
        <v>5.6906488991600501E-2</v>
      </c>
      <c r="DE15" t="s">
        <v>738</v>
      </c>
      <c r="DF15" t="s">
        <v>111</v>
      </c>
      <c r="DG15" t="s">
        <v>112</v>
      </c>
      <c r="DH15">
        <v>0.50954128972158474</v>
      </c>
    </row>
    <row r="16" spans="2:112" x14ac:dyDescent="0.45">
      <c r="B16" t="s">
        <v>739</v>
      </c>
      <c r="C16" t="s">
        <v>107</v>
      </c>
      <c r="D16">
        <v>0</v>
      </c>
      <c r="E16">
        <v>0</v>
      </c>
      <c r="F16">
        <v>0.43348845838392386</v>
      </c>
      <c r="G16">
        <v>0.17630047750020722</v>
      </c>
      <c r="H16">
        <v>0.21472475994192047</v>
      </c>
      <c r="I16">
        <v>0.63147577493647622</v>
      </c>
      <c r="J16">
        <v>0.98641304347826086</v>
      </c>
      <c r="K16">
        <v>0.76413365244613596</v>
      </c>
      <c r="L16">
        <v>0.23844911381002046</v>
      </c>
      <c r="M16">
        <v>0.14709256781255492</v>
      </c>
      <c r="N16">
        <v>0.16481943274313696</v>
      </c>
      <c r="O16">
        <v>0.39340730530256623</v>
      </c>
      <c r="P16">
        <v>0.91980073041627319</v>
      </c>
      <c r="Q16">
        <v>0.65025462620811103</v>
      </c>
      <c r="R16">
        <v>0.15070356934061235</v>
      </c>
      <c r="S16">
        <v>4.3945698938622622E-2</v>
      </c>
      <c r="T16">
        <v>8.0170556864189141E-2</v>
      </c>
      <c r="U16">
        <v>0.29594316875243071</v>
      </c>
      <c r="V16">
        <v>0</v>
      </c>
      <c r="W16">
        <v>0.89508909539043324</v>
      </c>
      <c r="X16">
        <v>0.29086398707486505</v>
      </c>
      <c r="Y16">
        <v>0.15300134049373298</v>
      </c>
      <c r="Z16">
        <v>0.2089394173415626</v>
      </c>
      <c r="AA16">
        <v>0.57353184671718938</v>
      </c>
      <c r="CE16" t="s">
        <v>739</v>
      </c>
      <c r="CF16">
        <v>0</v>
      </c>
      <c r="CG16">
        <v>0</v>
      </c>
      <c r="CH16">
        <v>0.13121345044862529</v>
      </c>
      <c r="CI16">
        <v>0.41453730613013784</v>
      </c>
      <c r="CJ16">
        <v>0.32992785511498063</v>
      </c>
      <c r="CK16">
        <v>4.1479465487157717E-2</v>
      </c>
      <c r="CL16">
        <v>1.2771520129854052E-5</v>
      </c>
      <c r="CM16">
        <v>1.132100568624006E-2</v>
      </c>
      <c r="CN16">
        <v>0.29666093634917751</v>
      </c>
      <c r="CO16">
        <v>0.54253697258496225</v>
      </c>
      <c r="CP16">
        <v>0.44839001335912326</v>
      </c>
      <c r="CQ16">
        <v>0.12033103188982276</v>
      </c>
      <c r="CR16">
        <v>3.0983512671176793E-4</v>
      </c>
      <c r="CS16">
        <v>2.0952473967859944E-2</v>
      </c>
      <c r="CT16">
        <v>0.399760207424882</v>
      </c>
      <c r="CU16">
        <v>0.68337761498465455</v>
      </c>
      <c r="CV16">
        <v>0.58164009099022851</v>
      </c>
      <c r="CW16">
        <v>0.18442812667440239</v>
      </c>
      <c r="CX16">
        <v>0</v>
      </c>
      <c r="CY16">
        <v>2.6151829084708556E-3</v>
      </c>
      <c r="CZ16">
        <v>0.25432316947947625</v>
      </c>
      <c r="DA16">
        <v>0.5280514536354276</v>
      </c>
      <c r="DB16">
        <v>0.39751830615146949</v>
      </c>
      <c r="DC16">
        <v>6.1051519159238704E-2</v>
      </c>
      <c r="DE16" t="s">
        <v>739</v>
      </c>
      <c r="DF16" t="s">
        <v>111</v>
      </c>
      <c r="DG16" t="s">
        <v>112</v>
      </c>
      <c r="DH16">
        <v>0.48390498581572172</v>
      </c>
    </row>
    <row r="17" spans="2:112" x14ac:dyDescent="0.45">
      <c r="B17" t="s">
        <v>740</v>
      </c>
      <c r="C17" t="s">
        <v>107</v>
      </c>
      <c r="D17">
        <v>0</v>
      </c>
      <c r="E17">
        <v>0</v>
      </c>
      <c r="F17">
        <v>0.4393346136865538</v>
      </c>
      <c r="G17">
        <v>0.17315459190332902</v>
      </c>
      <c r="H17">
        <v>0.22410335126482714</v>
      </c>
      <c r="I17">
        <v>0.64192312694357823</v>
      </c>
      <c r="J17">
        <v>0.97618073639828662</v>
      </c>
      <c r="K17">
        <v>0.7606020901524444</v>
      </c>
      <c r="L17">
        <v>0.24897104799196854</v>
      </c>
      <c r="M17">
        <v>0.13721714495129902</v>
      </c>
      <c r="N17">
        <v>0.15588207938950349</v>
      </c>
      <c r="O17">
        <v>0.38674431048542363</v>
      </c>
      <c r="P17">
        <v>0.91346787381115524</v>
      </c>
      <c r="Q17">
        <v>0.6416904249187938</v>
      </c>
      <c r="R17">
        <v>0.17044631743639002</v>
      </c>
      <c r="S17">
        <v>7.5062014439262692E-2</v>
      </c>
      <c r="T17">
        <v>0.10408804394743928</v>
      </c>
      <c r="U17">
        <v>0.30256706582737203</v>
      </c>
      <c r="V17">
        <v>0</v>
      </c>
      <c r="W17">
        <v>0.90105808933368803</v>
      </c>
      <c r="X17">
        <v>0.30657419079423448</v>
      </c>
      <c r="Y17">
        <v>0.16550630427575605</v>
      </c>
      <c r="Z17">
        <v>0.20990511357172395</v>
      </c>
      <c r="AA17">
        <v>0.5723049932286447</v>
      </c>
      <c r="CE17" t="s">
        <v>740</v>
      </c>
      <c r="CF17">
        <v>0</v>
      </c>
      <c r="CG17">
        <v>0</v>
      </c>
      <c r="CH17">
        <v>0.11265430800999852</v>
      </c>
      <c r="CI17">
        <v>0.38612248027088514</v>
      </c>
      <c r="CJ17">
        <v>0.31071968763207208</v>
      </c>
      <c r="CK17">
        <v>3.7527698705607709E-2</v>
      </c>
      <c r="CL17">
        <v>2.8391067488117701E-5</v>
      </c>
      <c r="CM17">
        <v>9.7892733902385475E-3</v>
      </c>
      <c r="CN17">
        <v>0.26616129839181535</v>
      </c>
      <c r="CO17">
        <v>0.51809916432402803</v>
      </c>
      <c r="CP17">
        <v>0.44243080569302851</v>
      </c>
      <c r="CQ17">
        <v>0.11523100198953008</v>
      </c>
      <c r="CR17">
        <v>3.8964982604722134E-4</v>
      </c>
      <c r="CS17">
        <v>1.871455889198511E-2</v>
      </c>
      <c r="CT17">
        <v>0.36527800771780167</v>
      </c>
      <c r="CU17">
        <v>0.63567680434956664</v>
      </c>
      <c r="CV17">
        <v>0.53456126335212861</v>
      </c>
      <c r="CW17">
        <v>0.16813310143674634</v>
      </c>
      <c r="CX17">
        <v>0</v>
      </c>
      <c r="CY17">
        <v>1.8334389953902944E-3</v>
      </c>
      <c r="CZ17">
        <v>0.22146821360224928</v>
      </c>
      <c r="DA17">
        <v>0.47175274837783032</v>
      </c>
      <c r="DB17">
        <v>0.35507416310374063</v>
      </c>
      <c r="DC17">
        <v>5.3745107773409732E-2</v>
      </c>
      <c r="DE17" t="s">
        <v>740</v>
      </c>
      <c r="DF17" t="s">
        <v>111</v>
      </c>
      <c r="DG17" t="s">
        <v>112</v>
      </c>
      <c r="DH17">
        <v>0.44992513039572979</v>
      </c>
    </row>
    <row r="18" spans="2:112" x14ac:dyDescent="0.45">
      <c r="B18" t="s">
        <v>741</v>
      </c>
      <c r="C18" t="s">
        <v>107</v>
      </c>
      <c r="D18">
        <v>0</v>
      </c>
      <c r="E18">
        <v>0</v>
      </c>
      <c r="F18">
        <v>0.47325108881883649</v>
      </c>
      <c r="G18">
        <v>0.22759316242778255</v>
      </c>
      <c r="H18">
        <v>0.24616071056721756</v>
      </c>
      <c r="I18">
        <v>0.63229279437180264</v>
      </c>
      <c r="J18">
        <v>0.97184583416503512</v>
      </c>
      <c r="K18">
        <v>0.78409149331274586</v>
      </c>
      <c r="L18">
        <v>0.27064779435014091</v>
      </c>
      <c r="M18">
        <v>0.16410999331905801</v>
      </c>
      <c r="N18">
        <v>0.16168893898936856</v>
      </c>
      <c r="O18">
        <v>0.37775376505671671</v>
      </c>
      <c r="P18">
        <v>0.90933285308779099</v>
      </c>
      <c r="Q18">
        <v>0.65724528225860557</v>
      </c>
      <c r="R18">
        <v>0.17000056259287072</v>
      </c>
      <c r="S18">
        <v>5.6766643495685616E-2</v>
      </c>
      <c r="T18">
        <v>8.7145121859753913E-2</v>
      </c>
      <c r="U18">
        <v>0.28020917357338337</v>
      </c>
      <c r="V18">
        <v>0</v>
      </c>
      <c r="W18">
        <v>0.92228819208930746</v>
      </c>
      <c r="X18">
        <v>0.31603351790522455</v>
      </c>
      <c r="Y18">
        <v>0.16956641040285503</v>
      </c>
      <c r="Z18">
        <v>0.20681606623696319</v>
      </c>
      <c r="AA18">
        <v>0.56460890104679062</v>
      </c>
      <c r="CE18" t="s">
        <v>741</v>
      </c>
      <c r="CF18">
        <v>0</v>
      </c>
      <c r="CG18">
        <v>0</v>
      </c>
      <c r="CH18">
        <v>0.10678730065259129</v>
      </c>
      <c r="CI18">
        <v>0.37435662579470147</v>
      </c>
      <c r="CJ18">
        <v>0.31682162943611131</v>
      </c>
      <c r="CK18">
        <v>4.2394929868561033E-2</v>
      </c>
      <c r="CL18">
        <v>6.8960861704278276E-5</v>
      </c>
      <c r="CM18">
        <v>8.1476109490858754E-3</v>
      </c>
      <c r="CN18">
        <v>0.26718285184839291</v>
      </c>
      <c r="CO18">
        <v>0.52395786314899362</v>
      </c>
      <c r="CP18">
        <v>0.462186009361303</v>
      </c>
      <c r="CQ18">
        <v>0.13294399821291131</v>
      </c>
      <c r="CR18">
        <v>5.821890288650128E-4</v>
      </c>
      <c r="CS18">
        <v>1.5006646574627436E-2</v>
      </c>
      <c r="CT18">
        <v>0.36775871875772953</v>
      </c>
      <c r="CU18">
        <v>0.66777868058819279</v>
      </c>
      <c r="CV18">
        <v>0.578652784764077</v>
      </c>
      <c r="CW18">
        <v>0.19582164957939902</v>
      </c>
      <c r="CX18">
        <v>0</v>
      </c>
      <c r="CY18">
        <v>1.2114868869622308E-3</v>
      </c>
      <c r="CZ18">
        <v>0.22346154085876482</v>
      </c>
      <c r="DA18">
        <v>0.50430819165925989</v>
      </c>
      <c r="DB18">
        <v>0.39524525401226385</v>
      </c>
      <c r="DC18">
        <v>6.5930928937309993E-2</v>
      </c>
      <c r="DE18" t="s">
        <v>741</v>
      </c>
      <c r="DF18" t="s">
        <v>111</v>
      </c>
      <c r="DG18" t="s">
        <v>112</v>
      </c>
      <c r="DH18">
        <v>0.48454847786572919</v>
      </c>
    </row>
    <row r="19" spans="2:112" x14ac:dyDescent="0.45">
      <c r="B19" t="s">
        <v>742</v>
      </c>
      <c r="C19" t="s">
        <v>107</v>
      </c>
      <c r="D19">
        <v>0</v>
      </c>
      <c r="E19">
        <v>0</v>
      </c>
      <c r="F19">
        <v>0.45638504173346328</v>
      </c>
      <c r="G19">
        <v>0.20964680148692477</v>
      </c>
      <c r="H19">
        <v>0.2341375228927344</v>
      </c>
      <c r="I19">
        <v>0.62645908023412478</v>
      </c>
      <c r="J19">
        <v>0.97961956521739135</v>
      </c>
      <c r="K19">
        <v>0.77944546476352994</v>
      </c>
      <c r="L19">
        <v>0.26266598982654854</v>
      </c>
      <c r="M19">
        <v>0.16947944609547116</v>
      </c>
      <c r="N19">
        <v>0.16687220190718322</v>
      </c>
      <c r="O19">
        <v>0.38465607059623619</v>
      </c>
      <c r="P19">
        <v>0.91337542570285224</v>
      </c>
      <c r="Q19">
        <v>0.66148272600802804</v>
      </c>
      <c r="R19">
        <v>0.15491363648643461</v>
      </c>
      <c r="S19">
        <v>4.1676636351421999E-2</v>
      </c>
      <c r="T19">
        <v>7.5172740183071532E-2</v>
      </c>
      <c r="U19">
        <v>0.27958693140175434</v>
      </c>
      <c r="V19">
        <v>0</v>
      </c>
      <c r="W19">
        <v>0.91559691729075943</v>
      </c>
      <c r="X19">
        <v>0.29017159152327143</v>
      </c>
      <c r="Y19">
        <v>0.14900479208076337</v>
      </c>
      <c r="Z19">
        <v>0.20620890979854337</v>
      </c>
      <c r="AA19">
        <v>0.56826320525483698</v>
      </c>
      <c r="CE19" t="s">
        <v>742</v>
      </c>
      <c r="CF19">
        <v>0</v>
      </c>
      <c r="CG19">
        <v>0</v>
      </c>
      <c r="CH19">
        <v>0.12240265605222483</v>
      </c>
      <c r="CI19">
        <v>0.40646564861150597</v>
      </c>
      <c r="CJ19">
        <v>0.33834109290700359</v>
      </c>
      <c r="CK19">
        <v>4.6381453952350701E-2</v>
      </c>
      <c r="CL19">
        <v>4.3394656163018815E-5</v>
      </c>
      <c r="CM19">
        <v>9.3173693803328735E-3</v>
      </c>
      <c r="CN19">
        <v>0.2867510019723844</v>
      </c>
      <c r="CO19">
        <v>0.53604159006733176</v>
      </c>
      <c r="CP19">
        <v>0.46414054815327771</v>
      </c>
      <c r="CQ19">
        <v>0.13325518191649885</v>
      </c>
      <c r="CR19">
        <v>4.7229498029160771E-4</v>
      </c>
      <c r="CS19">
        <v>1.6784041417915105E-2</v>
      </c>
      <c r="CT19">
        <v>0.38886489763318138</v>
      </c>
      <c r="CU19">
        <v>0.6893385623213133</v>
      </c>
      <c r="CV19">
        <v>0.59777648218740287</v>
      </c>
      <c r="CW19">
        <v>0.20097008665466065</v>
      </c>
      <c r="CX19">
        <v>0</v>
      </c>
      <c r="CY19">
        <v>1.5933703857736428E-3</v>
      </c>
      <c r="CZ19">
        <v>0.24857256093667185</v>
      </c>
      <c r="DA19">
        <v>0.53437953924285764</v>
      </c>
      <c r="DB19">
        <v>0.40880691071636577</v>
      </c>
      <c r="DC19">
        <v>6.7174905168639484E-2</v>
      </c>
      <c r="DE19" t="s">
        <v>742</v>
      </c>
      <c r="DF19" t="s">
        <v>111</v>
      </c>
      <c r="DG19" t="s">
        <v>112</v>
      </c>
      <c r="DH19">
        <v>0.48701257759830446</v>
      </c>
    </row>
    <row r="20" spans="2:112" x14ac:dyDescent="0.45">
      <c r="B20" t="s">
        <v>743</v>
      </c>
      <c r="C20" t="s">
        <v>107</v>
      </c>
      <c r="D20">
        <v>0</v>
      </c>
      <c r="E20">
        <v>0</v>
      </c>
      <c r="F20">
        <v>0.42503120724983284</v>
      </c>
      <c r="G20">
        <v>0.18980944870868144</v>
      </c>
      <c r="H20">
        <v>0.20928898052156789</v>
      </c>
      <c r="I20">
        <v>0.60275026115827812</v>
      </c>
      <c r="J20">
        <v>0.99864130434782572</v>
      </c>
      <c r="K20">
        <v>0.78325302535077124</v>
      </c>
      <c r="L20">
        <v>0.23552183120289558</v>
      </c>
      <c r="M20">
        <v>0.14392418123861297</v>
      </c>
      <c r="N20">
        <v>0.14706565509780856</v>
      </c>
      <c r="O20">
        <v>0.38825144841532444</v>
      </c>
      <c r="P20">
        <v>0.92984391762765828</v>
      </c>
      <c r="Q20">
        <v>0.68169026142595357</v>
      </c>
      <c r="R20">
        <v>0.14605142013279859</v>
      </c>
      <c r="S20">
        <v>4.1425020189595915E-2</v>
      </c>
      <c r="T20">
        <v>6.9833958728734241E-2</v>
      </c>
      <c r="U20">
        <v>0.29576067612616808</v>
      </c>
      <c r="V20">
        <v>0</v>
      </c>
      <c r="W20">
        <v>0.8970905717441372</v>
      </c>
      <c r="X20">
        <v>0.24225921871025988</v>
      </c>
      <c r="Y20">
        <v>0.10005532272730425</v>
      </c>
      <c r="Z20">
        <v>0.15306845676594211</v>
      </c>
      <c r="AA20">
        <v>0.54765301986918846</v>
      </c>
      <c r="CE20" t="s">
        <v>743</v>
      </c>
      <c r="CF20">
        <v>0</v>
      </c>
      <c r="CG20">
        <v>0</v>
      </c>
      <c r="CH20">
        <v>0.17225017465443496</v>
      </c>
      <c r="CI20">
        <v>0.49848928139527832</v>
      </c>
      <c r="CJ20">
        <v>0.4060802679685781</v>
      </c>
      <c r="CK20">
        <v>5.7745255831960537E-2</v>
      </c>
      <c r="CL20">
        <v>4.8845022007796123E-8</v>
      </c>
      <c r="CM20">
        <v>1.0666907893008224E-2</v>
      </c>
      <c r="CN20">
        <v>0.32019029180143177</v>
      </c>
      <c r="CO20">
        <v>0.57009808996028022</v>
      </c>
      <c r="CP20">
        <v>0.47631763850312964</v>
      </c>
      <c r="CQ20">
        <v>0.12923983225366631</v>
      </c>
      <c r="CR20">
        <v>1.4233846813652999E-4</v>
      </c>
      <c r="CS20">
        <v>1.7335573302670614E-2</v>
      </c>
      <c r="CT20">
        <v>0.39000838638063368</v>
      </c>
      <c r="CU20">
        <v>0.66898603070961493</v>
      </c>
      <c r="CV20">
        <v>0.5846427594674577</v>
      </c>
      <c r="CW20">
        <v>0.18767612731683633</v>
      </c>
      <c r="CX20">
        <v>0</v>
      </c>
      <c r="CY20">
        <v>2.2893453628681833E-3</v>
      </c>
      <c r="CZ20">
        <v>0.29737220681220528</v>
      </c>
      <c r="DA20">
        <v>0.59115571888148644</v>
      </c>
      <c r="DB20">
        <v>0.45210754212380905</v>
      </c>
      <c r="DC20">
        <v>6.9888682369418656E-2</v>
      </c>
      <c r="DE20" t="s">
        <v>743</v>
      </c>
      <c r="DF20" t="s">
        <v>111</v>
      </c>
      <c r="DG20" t="s">
        <v>112</v>
      </c>
      <c r="DH20">
        <v>0.52448111915140161</v>
      </c>
    </row>
    <row r="21" spans="2:112" x14ac:dyDescent="0.45">
      <c r="B21" t="s">
        <v>744</v>
      </c>
      <c r="C21" t="s">
        <v>107</v>
      </c>
      <c r="D21">
        <v>0</v>
      </c>
      <c r="E21">
        <v>0</v>
      </c>
      <c r="F21">
        <v>0.40764594399955723</v>
      </c>
      <c r="G21">
        <v>0.17522609492664573</v>
      </c>
      <c r="H21">
        <v>0.21574957214113083</v>
      </c>
      <c r="I21">
        <v>0.62323437872814635</v>
      </c>
      <c r="J21">
        <v>0</v>
      </c>
      <c r="K21">
        <v>0.76354580500203972</v>
      </c>
      <c r="L21">
        <v>0.22810471223512721</v>
      </c>
      <c r="M21">
        <v>0.13815971692388526</v>
      </c>
      <c r="N21">
        <v>0.15383315716082147</v>
      </c>
      <c r="O21">
        <v>0.40028654530052132</v>
      </c>
      <c r="P21">
        <v>0.9402729285023903</v>
      </c>
      <c r="Q21">
        <v>0.66818323873010499</v>
      </c>
      <c r="R21">
        <v>0.13730729187835408</v>
      </c>
      <c r="S21">
        <v>3.8231543424034772E-2</v>
      </c>
      <c r="T21">
        <v>7.758987866425128E-2</v>
      </c>
      <c r="U21">
        <v>0.31130040455984526</v>
      </c>
      <c r="V21">
        <v>0</v>
      </c>
      <c r="W21">
        <v>0.88262839359099166</v>
      </c>
      <c r="X21">
        <v>0.22347890734615894</v>
      </c>
      <c r="Y21">
        <v>8.9292518513605201E-2</v>
      </c>
      <c r="Z21">
        <v>0.15264286268210503</v>
      </c>
      <c r="AA21">
        <v>0.5628175544847559</v>
      </c>
      <c r="CE21" t="s">
        <v>744</v>
      </c>
      <c r="CF21">
        <v>0</v>
      </c>
      <c r="CG21">
        <v>0</v>
      </c>
      <c r="CH21">
        <v>0.1825677318176048</v>
      </c>
      <c r="CI21">
        <v>0.50741838501535297</v>
      </c>
      <c r="CJ21">
        <v>0.38832683291898712</v>
      </c>
      <c r="CK21">
        <v>4.6595541728212203E-2</v>
      </c>
      <c r="CL21">
        <v>0</v>
      </c>
      <c r="CM21">
        <v>1.2895832723549961E-2</v>
      </c>
      <c r="CN21">
        <v>0.33199550205608086</v>
      </c>
      <c r="CO21">
        <v>0.56918470869826188</v>
      </c>
      <c r="CP21">
        <v>0.45446282043511066</v>
      </c>
      <c r="CQ21">
        <v>0.11806941277961763</v>
      </c>
      <c r="CR21">
        <v>6.2817032563108018E-5</v>
      </c>
      <c r="CS21">
        <v>2.1300076018137971E-2</v>
      </c>
      <c r="CT21">
        <v>0.40672279565739056</v>
      </c>
      <c r="CU21">
        <v>0.67311750981664242</v>
      </c>
      <c r="CV21">
        <v>0.56880514878216504</v>
      </c>
      <c r="CW21">
        <v>0.17161160853684213</v>
      </c>
      <c r="CX21">
        <v>0</v>
      </c>
      <c r="CY21">
        <v>3.6501377280904355E-3</v>
      </c>
      <c r="CZ21">
        <v>0.31526377541552375</v>
      </c>
      <c r="DA21">
        <v>0.60319753808663235</v>
      </c>
      <c r="DB21">
        <v>0.44524410247639046</v>
      </c>
      <c r="DC21">
        <v>6.2759663276411179E-2</v>
      </c>
      <c r="DE21" t="s">
        <v>744</v>
      </c>
      <c r="DF21" t="s">
        <v>111</v>
      </c>
      <c r="DG21" t="s">
        <v>112</v>
      </c>
      <c r="DH21">
        <v>0.51315417187731183</v>
      </c>
    </row>
    <row r="22" spans="2:112" x14ac:dyDescent="0.45">
      <c r="B22" t="s">
        <v>745</v>
      </c>
      <c r="C22" t="s">
        <v>107</v>
      </c>
      <c r="D22">
        <v>0</v>
      </c>
      <c r="E22">
        <v>0</v>
      </c>
      <c r="F22">
        <v>0.38271856175602537</v>
      </c>
      <c r="G22">
        <v>0.13576935140184512</v>
      </c>
      <c r="H22">
        <v>0.17662548108711487</v>
      </c>
      <c r="I22">
        <v>0.57747583540717851</v>
      </c>
      <c r="J22">
        <v>0</v>
      </c>
      <c r="K22">
        <v>0.79566483092045159</v>
      </c>
      <c r="L22">
        <v>0.23250089097387083</v>
      </c>
      <c r="M22">
        <v>0.1096600201921025</v>
      </c>
      <c r="N22">
        <v>0.12472948426343773</v>
      </c>
      <c r="O22">
        <v>0.36419515202352287</v>
      </c>
      <c r="P22">
        <v>0.92934782608695643</v>
      </c>
      <c r="Q22">
        <v>0.69644042493868774</v>
      </c>
      <c r="R22">
        <v>0.15203411965319635</v>
      </c>
      <c r="S22">
        <v>3.3763182676457656E-2</v>
      </c>
      <c r="T22">
        <v>6.0096041745150305E-2</v>
      </c>
      <c r="U22">
        <v>0.28714857400208427</v>
      </c>
      <c r="V22">
        <v>0</v>
      </c>
      <c r="W22">
        <v>0.89539377150740029</v>
      </c>
      <c r="X22">
        <v>0.24025493207254386</v>
      </c>
      <c r="Y22">
        <v>7.981533361037435E-2</v>
      </c>
      <c r="Z22">
        <v>0.13250058270857212</v>
      </c>
      <c r="AA22">
        <v>0.53686232915087839</v>
      </c>
      <c r="CE22" t="s">
        <v>745</v>
      </c>
      <c r="CF22">
        <v>0</v>
      </c>
      <c r="CG22">
        <v>0</v>
      </c>
      <c r="CH22">
        <v>0.17804557156103873</v>
      </c>
      <c r="CI22">
        <v>0.52474931654371126</v>
      </c>
      <c r="CJ22">
        <v>0.43574565191871967</v>
      </c>
      <c r="CK22">
        <v>6.7793908980915432E-2</v>
      </c>
      <c r="CL22">
        <v>0</v>
      </c>
      <c r="CM22">
        <v>9.0205675491566144E-3</v>
      </c>
      <c r="CN22">
        <v>0.32338390633118497</v>
      </c>
      <c r="CO22">
        <v>0.6136531887747424</v>
      </c>
      <c r="CP22">
        <v>0.52192277588112046</v>
      </c>
      <c r="CQ22">
        <v>0.14595361647719637</v>
      </c>
      <c r="CR22">
        <v>1.4028805316229674E-4</v>
      </c>
      <c r="CS22">
        <v>1.468337042662498E-2</v>
      </c>
      <c r="CT22">
        <v>0.37870895045959541</v>
      </c>
      <c r="CU22">
        <v>0.68231237642699216</v>
      </c>
      <c r="CV22">
        <v>0.60924155944845115</v>
      </c>
      <c r="CW22">
        <v>0.20031771754686692</v>
      </c>
      <c r="CX22">
        <v>0</v>
      </c>
      <c r="CY22">
        <v>1.6047465308865112E-3</v>
      </c>
      <c r="CZ22">
        <v>0.28839161069397995</v>
      </c>
      <c r="DA22">
        <v>0.60074399397240319</v>
      </c>
      <c r="DB22">
        <v>0.47317284953620498</v>
      </c>
      <c r="DC22">
        <v>7.6343421064610659E-2</v>
      </c>
      <c r="DE22" t="s">
        <v>745</v>
      </c>
      <c r="DF22" t="s">
        <v>111</v>
      </c>
      <c r="DG22" t="s">
        <v>112</v>
      </c>
      <c r="DH22">
        <v>0.5406592828604756</v>
      </c>
    </row>
    <row r="23" spans="2:112" x14ac:dyDescent="0.45">
      <c r="B23" t="s">
        <v>746</v>
      </c>
      <c r="C23" t="s">
        <v>107</v>
      </c>
      <c r="D23">
        <v>0</v>
      </c>
      <c r="E23">
        <v>0</v>
      </c>
      <c r="F23">
        <v>0.41798825992114608</v>
      </c>
      <c r="G23">
        <v>0.16583254827251392</v>
      </c>
      <c r="H23">
        <v>0.19675206697459729</v>
      </c>
      <c r="I23">
        <v>0.58192287874177728</v>
      </c>
      <c r="J23">
        <v>0.98913043478260876</v>
      </c>
      <c r="K23">
        <v>0.80049097248229917</v>
      </c>
      <c r="L23">
        <v>0.24520273598315859</v>
      </c>
      <c r="M23">
        <v>0.14474692639660075</v>
      </c>
      <c r="N23">
        <v>0.14178718178118463</v>
      </c>
      <c r="O23">
        <v>0.37118041677542107</v>
      </c>
      <c r="P23">
        <v>0.92051327537036587</v>
      </c>
      <c r="Q23">
        <v>0.69452442970303863</v>
      </c>
      <c r="R23">
        <v>0.1549320121685164</v>
      </c>
      <c r="S23">
        <v>3.5402592989985777E-2</v>
      </c>
      <c r="T23">
        <v>6.3893320297473188E-2</v>
      </c>
      <c r="U23">
        <v>0.28134775105706339</v>
      </c>
      <c r="V23">
        <v>0</v>
      </c>
      <c r="W23">
        <v>0.91100164646778481</v>
      </c>
      <c r="X23">
        <v>0.25776848351045162</v>
      </c>
      <c r="Y23">
        <v>0.10771769697775815</v>
      </c>
      <c r="Z23">
        <v>0.14946107443288251</v>
      </c>
      <c r="AA23">
        <v>0.53844788928797882</v>
      </c>
      <c r="CE23" t="s">
        <v>746</v>
      </c>
      <c r="CF23">
        <v>0</v>
      </c>
      <c r="CG23">
        <v>0</v>
      </c>
      <c r="CH23">
        <v>0.16623058026320175</v>
      </c>
      <c r="CI23">
        <v>0.50578344654941998</v>
      </c>
      <c r="CJ23">
        <v>0.42216737041735763</v>
      </c>
      <c r="CK23">
        <v>6.7644430383216672E-2</v>
      </c>
      <c r="CL23">
        <v>6.1271272624956034E-6</v>
      </c>
      <c r="CM23">
        <v>8.4761346804944192E-3</v>
      </c>
      <c r="CN23">
        <v>0.30829561260348931</v>
      </c>
      <c r="CO23">
        <v>0.57614869317708517</v>
      </c>
      <c r="CP23">
        <v>0.50184853700162346</v>
      </c>
      <c r="CQ23">
        <v>0.14294161004485992</v>
      </c>
      <c r="CR23">
        <v>2.5296414166714644E-4</v>
      </c>
      <c r="CS23">
        <v>1.3395475909987672E-2</v>
      </c>
      <c r="CT23">
        <v>0.374278193143606</v>
      </c>
      <c r="CU23">
        <v>0.67573511795713137</v>
      </c>
      <c r="CV23">
        <v>0.60043782933634016</v>
      </c>
      <c r="CW23">
        <v>0.20285687509821393</v>
      </c>
      <c r="CX23">
        <v>0</v>
      </c>
      <c r="CY23">
        <v>1.2801438688239293E-3</v>
      </c>
      <c r="CZ23">
        <v>0.27519567251352856</v>
      </c>
      <c r="DA23">
        <v>0.57994618873684456</v>
      </c>
      <c r="DB23">
        <v>0.46066878745414158</v>
      </c>
      <c r="DC23">
        <v>7.5657989267525816E-2</v>
      </c>
      <c r="DE23" t="s">
        <v>746</v>
      </c>
      <c r="DF23" t="s">
        <v>111</v>
      </c>
      <c r="DG23" t="s">
        <v>112</v>
      </c>
      <c r="DH23">
        <v>0.54534048801279056</v>
      </c>
    </row>
    <row r="24" spans="2:112" x14ac:dyDescent="0.45">
      <c r="B24" t="s">
        <v>747</v>
      </c>
      <c r="C24" t="s">
        <v>107</v>
      </c>
      <c r="D24">
        <v>0</v>
      </c>
      <c r="E24">
        <v>0</v>
      </c>
      <c r="F24">
        <v>0.47137530065560668</v>
      </c>
      <c r="G24">
        <v>0.21559340536093088</v>
      </c>
      <c r="H24">
        <v>0.23514807720598233</v>
      </c>
      <c r="I24">
        <v>0.62709051836038709</v>
      </c>
      <c r="J24">
        <v>0.98369565217391319</v>
      </c>
      <c r="K24">
        <v>0.79023097841857226</v>
      </c>
      <c r="L24">
        <v>0.27701786880357882</v>
      </c>
      <c r="M24">
        <v>0.17855425178094975</v>
      </c>
      <c r="N24">
        <v>0.17877928084245517</v>
      </c>
      <c r="O24">
        <v>0.38992621563613339</v>
      </c>
      <c r="P24">
        <v>0.91442104803703095</v>
      </c>
      <c r="Q24">
        <v>0.67602346789464562</v>
      </c>
      <c r="R24">
        <v>0.15363372545146495</v>
      </c>
      <c r="S24">
        <v>3.8279070597271751E-2</v>
      </c>
      <c r="T24">
        <v>7.2448451712532586E-2</v>
      </c>
      <c r="U24">
        <v>0.2778980396260019</v>
      </c>
      <c r="V24">
        <v>0</v>
      </c>
      <c r="W24">
        <v>0.91824976919478418</v>
      </c>
      <c r="X24">
        <v>0.2940466709199821</v>
      </c>
      <c r="Y24">
        <v>0.13971511452492524</v>
      </c>
      <c r="Z24">
        <v>0.18440084185338892</v>
      </c>
      <c r="AA24">
        <v>0.56156095786132176</v>
      </c>
      <c r="CE24" t="s">
        <v>747</v>
      </c>
      <c r="CF24">
        <v>0</v>
      </c>
      <c r="CG24">
        <v>0</v>
      </c>
      <c r="CH24">
        <v>0.13860976816802228</v>
      </c>
      <c r="CI24">
        <v>0.45396189262583647</v>
      </c>
      <c r="CJ24">
        <v>0.37710914058470912</v>
      </c>
      <c r="CK24">
        <v>5.2771639039464378E-2</v>
      </c>
      <c r="CL24">
        <v>2.7813895066198072E-5</v>
      </c>
      <c r="CM24">
        <v>8.9959924600939972E-3</v>
      </c>
      <c r="CN24">
        <v>0.2919095863359974</v>
      </c>
      <c r="CO24">
        <v>0.54980303116173479</v>
      </c>
      <c r="CP24">
        <v>0.46271476915926069</v>
      </c>
      <c r="CQ24">
        <v>0.13464417305936335</v>
      </c>
      <c r="CR24">
        <v>4.073563384604753E-4</v>
      </c>
      <c r="CS24">
        <v>1.5177030995524655E-2</v>
      </c>
      <c r="CT24">
        <v>0.38590794109626914</v>
      </c>
      <c r="CU24">
        <v>0.68651866273464446</v>
      </c>
      <c r="CV24">
        <v>0.59695998859900423</v>
      </c>
      <c r="CW24">
        <v>0.20180858796633333</v>
      </c>
      <c r="CX24">
        <v>0</v>
      </c>
      <c r="CY24">
        <v>1.4764122569563547E-3</v>
      </c>
      <c r="CZ24">
        <v>0.25887683815555179</v>
      </c>
      <c r="DA24">
        <v>0.56079168440767146</v>
      </c>
      <c r="DB24">
        <v>0.43702491751889966</v>
      </c>
      <c r="DC24">
        <v>7.1634023094758262E-2</v>
      </c>
      <c r="DE24" t="s">
        <v>747</v>
      </c>
      <c r="DF24" t="s">
        <v>111</v>
      </c>
      <c r="DG24" t="s">
        <v>112</v>
      </c>
      <c r="DH24">
        <v>0.52375986130156915</v>
      </c>
    </row>
    <row r="25" spans="2:112" x14ac:dyDescent="0.45">
      <c r="B25" t="s">
        <v>748</v>
      </c>
      <c r="C25" t="s">
        <v>107</v>
      </c>
      <c r="D25">
        <v>0</v>
      </c>
      <c r="E25">
        <v>0</v>
      </c>
      <c r="F25">
        <v>0.45462904438721236</v>
      </c>
      <c r="G25">
        <v>0.20121422712436524</v>
      </c>
      <c r="H25">
        <v>0.22579447678457451</v>
      </c>
      <c r="I25">
        <v>0.60882463124269082</v>
      </c>
      <c r="J25">
        <v>0.9820408830166002</v>
      </c>
      <c r="K25">
        <v>0.79740145920411787</v>
      </c>
      <c r="L25">
        <v>0.26092641229111868</v>
      </c>
      <c r="M25">
        <v>0.15596997898987713</v>
      </c>
      <c r="N25">
        <v>0.14929799958160189</v>
      </c>
      <c r="O25">
        <v>0.37957231941075759</v>
      </c>
      <c r="P25">
        <v>0.91517333559671032</v>
      </c>
      <c r="Q25">
        <v>0.6849244790110095</v>
      </c>
      <c r="R25">
        <v>0.15710636405505357</v>
      </c>
      <c r="S25">
        <v>3.9761919577333882E-2</v>
      </c>
      <c r="T25">
        <v>6.7507859830754538E-2</v>
      </c>
      <c r="U25">
        <v>0.27791915788400118</v>
      </c>
      <c r="V25">
        <v>0</v>
      </c>
      <c r="W25">
        <v>0.91338633192281804</v>
      </c>
      <c r="X25">
        <v>0.273970301562379</v>
      </c>
      <c r="Y25">
        <v>0.12522022523160964</v>
      </c>
      <c r="Z25">
        <v>0.16554570287059561</v>
      </c>
      <c r="AA25">
        <v>0.54652270485612964</v>
      </c>
      <c r="CE25" t="s">
        <v>748</v>
      </c>
      <c r="CF25">
        <v>0</v>
      </c>
      <c r="CG25">
        <v>0</v>
      </c>
      <c r="CH25">
        <v>0.14858626079274986</v>
      </c>
      <c r="CI25">
        <v>0.46534525859605452</v>
      </c>
      <c r="CJ25">
        <v>0.389419575275676</v>
      </c>
      <c r="CK25">
        <v>5.9151244671033873E-2</v>
      </c>
      <c r="CL25">
        <v>1.8727847122642584E-5</v>
      </c>
      <c r="CM25">
        <v>8.5092387538825039E-3</v>
      </c>
      <c r="CN25">
        <v>0.30016482360395108</v>
      </c>
      <c r="CO25">
        <v>0.5764257404813562</v>
      </c>
      <c r="CP25">
        <v>0.49713397247889374</v>
      </c>
      <c r="CQ25">
        <v>0.13866355162695276</v>
      </c>
      <c r="CR25">
        <v>3.4778686080589981E-4</v>
      </c>
      <c r="CS25">
        <v>1.3854910414135458E-2</v>
      </c>
      <c r="CT25">
        <v>0.37629519799059469</v>
      </c>
      <c r="CU25">
        <v>0.67622078436922994</v>
      </c>
      <c r="CV25">
        <v>0.60064342495685663</v>
      </c>
      <c r="CW25">
        <v>0.20456369318281611</v>
      </c>
      <c r="CX25">
        <v>0</v>
      </c>
      <c r="CY25">
        <v>1.3677824086110394E-3</v>
      </c>
      <c r="CZ25">
        <v>0.26529479362829966</v>
      </c>
      <c r="DA25">
        <v>0.56610812122030596</v>
      </c>
      <c r="DB25">
        <v>0.4488421598783246</v>
      </c>
      <c r="DC25">
        <v>7.5355905756447128E-2</v>
      </c>
      <c r="DE25" t="s">
        <v>748</v>
      </c>
      <c r="DF25" t="s">
        <v>111</v>
      </c>
      <c r="DG25" t="s">
        <v>112</v>
      </c>
      <c r="DH25">
        <v>0.54421647578267651</v>
      </c>
    </row>
    <row r="26" spans="2:112" x14ac:dyDescent="0.45">
      <c r="B26" t="s">
        <v>749</v>
      </c>
      <c r="C26" t="s">
        <v>107</v>
      </c>
      <c r="D26">
        <v>0</v>
      </c>
      <c r="E26">
        <v>0</v>
      </c>
      <c r="F26">
        <v>0.39297102183352506</v>
      </c>
      <c r="G26">
        <v>0.1528926526225117</v>
      </c>
      <c r="H26">
        <v>0.2064874220536661</v>
      </c>
      <c r="I26">
        <v>0.64098772938166593</v>
      </c>
      <c r="J26">
        <v>0</v>
      </c>
      <c r="K26">
        <v>0.74650051577131915</v>
      </c>
      <c r="L26">
        <v>0.22178672495894949</v>
      </c>
      <c r="M26">
        <v>0.12188725836401455</v>
      </c>
      <c r="N26">
        <v>0.16009141191006135</v>
      </c>
      <c r="O26">
        <v>0.40286116834205565</v>
      </c>
      <c r="P26">
        <v>0.93927234150134997</v>
      </c>
      <c r="Q26">
        <v>0.6509224049656076</v>
      </c>
      <c r="R26">
        <v>0.13721581118793297</v>
      </c>
      <c r="S26">
        <v>4.4432203208685211E-2</v>
      </c>
      <c r="T26">
        <v>8.1278077164801857E-2</v>
      </c>
      <c r="U26">
        <v>0.31407205863846388</v>
      </c>
      <c r="V26">
        <v>0</v>
      </c>
      <c r="W26">
        <v>0.88056915775353528</v>
      </c>
      <c r="X26">
        <v>0.24207750612464488</v>
      </c>
      <c r="Y26">
        <v>0.11497827488896785</v>
      </c>
      <c r="Z26">
        <v>0.17211620360248667</v>
      </c>
      <c r="AA26">
        <v>0.57530475026791539</v>
      </c>
      <c r="CE26" t="s">
        <v>749</v>
      </c>
      <c r="CF26">
        <v>0</v>
      </c>
      <c r="CG26">
        <v>0</v>
      </c>
      <c r="CH26">
        <v>0.1802354774599377</v>
      </c>
      <c r="CI26">
        <v>0.49775060828755679</v>
      </c>
      <c r="CJ26">
        <v>0.37102378018156956</v>
      </c>
      <c r="CK26">
        <v>4.2603462533527016E-2</v>
      </c>
      <c r="CL26">
        <v>0</v>
      </c>
      <c r="CM26">
        <v>1.4519411650246309E-2</v>
      </c>
      <c r="CN26">
        <v>0.33501728831413691</v>
      </c>
      <c r="CO26">
        <v>0.58176767351034209</v>
      </c>
      <c r="CP26">
        <v>0.45564792963830741</v>
      </c>
      <c r="CQ26">
        <v>0.11396073613305525</v>
      </c>
      <c r="CR26">
        <v>8.2520863366973091E-5</v>
      </c>
      <c r="CS26">
        <v>2.4458987402560816E-2</v>
      </c>
      <c r="CT26">
        <v>0.41269273667743511</v>
      </c>
      <c r="CU26">
        <v>0.67018098544901572</v>
      </c>
      <c r="CV26">
        <v>0.55988452686518009</v>
      </c>
      <c r="CW26">
        <v>0.1649811659040987</v>
      </c>
      <c r="CX26">
        <v>0</v>
      </c>
      <c r="CY26">
        <v>4.2629389687807318E-3</v>
      </c>
      <c r="CZ26">
        <v>0.29891926323946405</v>
      </c>
      <c r="DA26">
        <v>0.57945682073227123</v>
      </c>
      <c r="DB26">
        <v>0.42761920143546417</v>
      </c>
      <c r="DC26">
        <v>5.8595296410844482E-2</v>
      </c>
      <c r="DE26" t="s">
        <v>749</v>
      </c>
      <c r="DF26" t="s">
        <v>111</v>
      </c>
      <c r="DG26" t="s">
        <v>112</v>
      </c>
      <c r="DH26">
        <v>0.52041496685497646</v>
      </c>
    </row>
    <row r="27" spans="2:112" x14ac:dyDescent="0.45">
      <c r="B27" t="s">
        <v>750</v>
      </c>
      <c r="C27" t="s">
        <v>107</v>
      </c>
      <c r="D27">
        <v>0</v>
      </c>
      <c r="E27">
        <v>0</v>
      </c>
      <c r="F27">
        <v>0.42231407962946499</v>
      </c>
      <c r="G27">
        <v>0.17081452073351786</v>
      </c>
      <c r="H27">
        <v>0.20543282809111088</v>
      </c>
      <c r="I27">
        <v>0.62138291577961047</v>
      </c>
      <c r="J27">
        <v>0.99320652173913049</v>
      </c>
      <c r="K27">
        <v>0.76794465164047332</v>
      </c>
      <c r="L27">
        <v>0.23397661347313425</v>
      </c>
      <c r="M27">
        <v>0.14208940330964659</v>
      </c>
      <c r="N27">
        <v>0.15595451094845939</v>
      </c>
      <c r="O27">
        <v>0.39446283988446423</v>
      </c>
      <c r="P27">
        <v>0.92289703786543242</v>
      </c>
      <c r="Q27">
        <v>0.6643051165060716</v>
      </c>
      <c r="R27">
        <v>0.14602847248308576</v>
      </c>
      <c r="S27">
        <v>3.9585855557427212E-2</v>
      </c>
      <c r="T27">
        <v>7.2643308393992245E-2</v>
      </c>
      <c r="U27">
        <v>0.295029763414216</v>
      </c>
      <c r="V27">
        <v>0</v>
      </c>
      <c r="W27">
        <v>0.89178877952573055</v>
      </c>
      <c r="X27">
        <v>0.25607887643235561</v>
      </c>
      <c r="Y27">
        <v>0.1185965573259268</v>
      </c>
      <c r="Z27">
        <v>0.16841989344502509</v>
      </c>
      <c r="AA27">
        <v>0.55755554248770489</v>
      </c>
      <c r="CE27" t="s">
        <v>750</v>
      </c>
      <c r="CF27">
        <v>0</v>
      </c>
      <c r="CG27">
        <v>0</v>
      </c>
      <c r="CH27">
        <v>0.16423426704969626</v>
      </c>
      <c r="CI27">
        <v>0.49118371654417597</v>
      </c>
      <c r="CJ27">
        <v>0.38458212830100041</v>
      </c>
      <c r="CK27">
        <v>4.9891089593633593E-2</v>
      </c>
      <c r="CL27">
        <v>2.1692510086437157E-6</v>
      </c>
      <c r="CM27">
        <v>1.1779949495909098E-2</v>
      </c>
      <c r="CN27">
        <v>0.3206965149214297</v>
      </c>
      <c r="CO27">
        <v>0.56650490086807259</v>
      </c>
      <c r="CP27">
        <v>0.46465431246159544</v>
      </c>
      <c r="CQ27">
        <v>0.1246967248269228</v>
      </c>
      <c r="CR27">
        <v>2.0976098794780226E-4</v>
      </c>
      <c r="CS27">
        <v>1.9680905368110378E-2</v>
      </c>
      <c r="CT27">
        <v>0.39840836811459734</v>
      </c>
      <c r="CU27">
        <v>0.67672088592814739</v>
      </c>
      <c r="CV27">
        <v>0.5790227310646332</v>
      </c>
      <c r="CW27">
        <v>0.18330361071552653</v>
      </c>
      <c r="CX27">
        <v>0</v>
      </c>
      <c r="CY27">
        <v>2.7654183970798421E-3</v>
      </c>
      <c r="CZ27">
        <v>0.28444682170450541</v>
      </c>
      <c r="DA27">
        <v>0.57512098758240249</v>
      </c>
      <c r="DB27">
        <v>0.43824324436777534</v>
      </c>
      <c r="DC27">
        <v>6.6919223477705445E-2</v>
      </c>
      <c r="DE27" t="s">
        <v>750</v>
      </c>
      <c r="DF27" t="s">
        <v>111</v>
      </c>
      <c r="DG27" t="s">
        <v>112</v>
      </c>
      <c r="DH27">
        <v>0.55622107200902871</v>
      </c>
    </row>
    <row r="28" spans="2:112" x14ac:dyDescent="0.45">
      <c r="B28" t="s">
        <v>751</v>
      </c>
      <c r="C28" t="s">
        <v>107</v>
      </c>
      <c r="D28">
        <v>0</v>
      </c>
      <c r="E28">
        <v>0</v>
      </c>
      <c r="F28">
        <v>0.35508043211192525</v>
      </c>
      <c r="G28">
        <v>0.13845647372806308</v>
      </c>
      <c r="H28">
        <v>0.18906633068346126</v>
      </c>
      <c r="I28">
        <v>0.63056675443015475</v>
      </c>
      <c r="J28">
        <v>0</v>
      </c>
      <c r="K28">
        <v>0.73623911463733582</v>
      </c>
      <c r="L28">
        <v>0.20461878168860972</v>
      </c>
      <c r="M28">
        <v>0.11232294916774331</v>
      </c>
      <c r="N28">
        <v>0.14911934544243333</v>
      </c>
      <c r="O28">
        <v>0.40306495501984663</v>
      </c>
      <c r="P28">
        <v>0.96506620171669988</v>
      </c>
      <c r="Q28">
        <v>0.65205454997037926</v>
      </c>
      <c r="R28">
        <v>0.13575429564359573</v>
      </c>
      <c r="S28">
        <v>3.632199221000193E-2</v>
      </c>
      <c r="T28">
        <v>9.1378678577386754E-2</v>
      </c>
      <c r="U28">
        <v>0.32488602983223142</v>
      </c>
      <c r="V28">
        <v>0</v>
      </c>
      <c r="W28">
        <v>0.86538461538461542</v>
      </c>
      <c r="X28">
        <v>0.22036442078690405</v>
      </c>
      <c r="Y28">
        <v>8.1523421257626155E-2</v>
      </c>
      <c r="Z28">
        <v>0.15483501896195134</v>
      </c>
      <c r="AA28">
        <v>0.57664743107390248</v>
      </c>
      <c r="CE28" t="s">
        <v>751</v>
      </c>
      <c r="CF28">
        <v>0</v>
      </c>
      <c r="CG28">
        <v>0</v>
      </c>
      <c r="CH28">
        <v>0.20846478202675717</v>
      </c>
      <c r="CI28">
        <v>0.52729366211913975</v>
      </c>
      <c r="CJ28">
        <v>0.39722233247692151</v>
      </c>
      <c r="CK28">
        <v>4.4645590888669429E-2</v>
      </c>
      <c r="CL28">
        <v>0</v>
      </c>
      <c r="CM28">
        <v>1.6144086057851951E-2</v>
      </c>
      <c r="CN28">
        <v>0.3587792964369716</v>
      </c>
      <c r="CO28">
        <v>0.60153384022991974</v>
      </c>
      <c r="CP28">
        <v>0.46110521075499961</v>
      </c>
      <c r="CQ28">
        <v>0.10986429014501389</v>
      </c>
      <c r="CR28">
        <v>3.8830706406122798E-6</v>
      </c>
      <c r="CS28">
        <v>2.6268184421404106E-2</v>
      </c>
      <c r="CT28">
        <v>0.42035772494040208</v>
      </c>
      <c r="CU28">
        <v>0.67785228331144154</v>
      </c>
      <c r="CV28">
        <v>0.54204751595275436</v>
      </c>
      <c r="CW28">
        <v>0.15030816927370524</v>
      </c>
      <c r="CX28">
        <v>0</v>
      </c>
      <c r="CY28">
        <v>4.9642477660603035E-3</v>
      </c>
      <c r="CZ28">
        <v>0.3245444106574204</v>
      </c>
      <c r="DA28">
        <v>0.60473811668522115</v>
      </c>
      <c r="DB28">
        <v>0.42842585984605475</v>
      </c>
      <c r="DC28">
        <v>5.3702940499787959E-2</v>
      </c>
      <c r="DE28" t="s">
        <v>751</v>
      </c>
      <c r="DF28" t="s">
        <v>111</v>
      </c>
      <c r="DG28" t="s">
        <v>112</v>
      </c>
      <c r="DH28">
        <v>0.51713586568796477</v>
      </c>
    </row>
    <row r="29" spans="2:112" x14ac:dyDescent="0.45">
      <c r="B29" t="s">
        <v>752</v>
      </c>
      <c r="C29" t="s">
        <v>107</v>
      </c>
      <c r="D29">
        <v>0</v>
      </c>
      <c r="E29">
        <v>0</v>
      </c>
      <c r="F29">
        <v>0.33114615115500379</v>
      </c>
      <c r="G29">
        <v>0.11188660450804098</v>
      </c>
      <c r="H29">
        <v>0.15744838554645824</v>
      </c>
      <c r="I29">
        <v>0.60380471059433294</v>
      </c>
      <c r="J29">
        <v>0</v>
      </c>
      <c r="K29">
        <v>0.74156821288474262</v>
      </c>
      <c r="L29">
        <v>0.20275552267861865</v>
      </c>
      <c r="M29">
        <v>9.4945041902725347E-2</v>
      </c>
      <c r="N29">
        <v>0.11941458424402483</v>
      </c>
      <c r="O29">
        <v>0.3909378893194127</v>
      </c>
      <c r="P29">
        <v>0.97554347826086929</v>
      </c>
      <c r="Q29">
        <v>0.66541115440049881</v>
      </c>
      <c r="R29">
        <v>0.13407830332110496</v>
      </c>
      <c r="S29">
        <v>2.7834124971001087E-2</v>
      </c>
      <c r="T29">
        <v>7.9281778864111391E-2</v>
      </c>
      <c r="U29">
        <v>0.32118978071194915</v>
      </c>
      <c r="V29">
        <v>0</v>
      </c>
      <c r="W29">
        <v>0.86521621605157417</v>
      </c>
      <c r="X29">
        <v>0.21200580429626742</v>
      </c>
      <c r="Y29">
        <v>7.1139027652666137E-2</v>
      </c>
      <c r="Z29">
        <v>0.13619159157590652</v>
      </c>
      <c r="AA29">
        <v>0.559332776582812</v>
      </c>
      <c r="CE29" t="s">
        <v>752</v>
      </c>
      <c r="CF29">
        <v>0</v>
      </c>
      <c r="CG29">
        <v>0</v>
      </c>
      <c r="CH29">
        <v>0.21528927240682863</v>
      </c>
      <c r="CI29">
        <v>0.55602101094609135</v>
      </c>
      <c r="CJ29">
        <v>0.43459846883812814</v>
      </c>
      <c r="CK29">
        <v>5.2609641396670029E-2</v>
      </c>
      <c r="CL29">
        <v>0</v>
      </c>
      <c r="CM29">
        <v>1.4783562911783135E-2</v>
      </c>
      <c r="CN29">
        <v>0.36313100950643423</v>
      </c>
      <c r="CO29">
        <v>0.63327782884937056</v>
      </c>
      <c r="CP29">
        <v>0.5124622218181194</v>
      </c>
      <c r="CQ29">
        <v>0.12438762413857871</v>
      </c>
      <c r="CR29">
        <v>5.9874266874645145E-7</v>
      </c>
      <c r="CS29">
        <v>2.40037622630093E-2</v>
      </c>
      <c r="CT29">
        <v>0.41881586417764682</v>
      </c>
      <c r="CU29">
        <v>0.6951532785654202</v>
      </c>
      <c r="CV29">
        <v>0.57007073877350423</v>
      </c>
      <c r="CW29">
        <v>0.16130673187823927</v>
      </c>
      <c r="CX29">
        <v>0</v>
      </c>
      <c r="CY29">
        <v>4.5069399103368135E-3</v>
      </c>
      <c r="CZ29">
        <v>0.32981949476307398</v>
      </c>
      <c r="DA29">
        <v>0.61652487434486236</v>
      </c>
      <c r="DB29">
        <v>0.44231301722580135</v>
      </c>
      <c r="DC29">
        <v>5.5990598561190562E-2</v>
      </c>
      <c r="DE29" t="s">
        <v>752</v>
      </c>
      <c r="DF29" t="s">
        <v>111</v>
      </c>
      <c r="DG29" t="s">
        <v>112</v>
      </c>
      <c r="DH29">
        <v>0.53174222310143193</v>
      </c>
    </row>
    <row r="30" spans="2:112" x14ac:dyDescent="0.45">
      <c r="B30" t="s">
        <v>753</v>
      </c>
      <c r="C30" t="s">
        <v>107</v>
      </c>
      <c r="D30">
        <v>0</v>
      </c>
      <c r="E30">
        <v>0</v>
      </c>
      <c r="F30">
        <v>0.31045816729259462</v>
      </c>
      <c r="G30">
        <v>0.10782054607440697</v>
      </c>
      <c r="H30">
        <v>0.17107622808106598</v>
      </c>
      <c r="I30">
        <v>0.63350735723189777</v>
      </c>
      <c r="J30">
        <v>0</v>
      </c>
      <c r="K30">
        <v>0.71838246731665101</v>
      </c>
      <c r="L30">
        <v>0.17766920564895108</v>
      </c>
      <c r="M30">
        <v>9.4620080066988285E-2</v>
      </c>
      <c r="N30">
        <v>0.13133936973828808</v>
      </c>
      <c r="O30">
        <v>0.40607728061054837</v>
      </c>
      <c r="P30">
        <v>0</v>
      </c>
      <c r="Q30">
        <v>0.64483957218447197</v>
      </c>
      <c r="R30">
        <v>0.13669303955115697</v>
      </c>
      <c r="S30">
        <v>3.5390852073532063E-2</v>
      </c>
      <c r="T30">
        <v>9.154376029406773E-2</v>
      </c>
      <c r="U30">
        <v>0.33194490849609387</v>
      </c>
      <c r="V30">
        <v>0</v>
      </c>
      <c r="W30">
        <v>0.85398633653606648</v>
      </c>
      <c r="X30">
        <v>0.200998183090978</v>
      </c>
      <c r="Y30">
        <v>6.7287181163659726E-2</v>
      </c>
      <c r="Z30">
        <v>0.13585321883514226</v>
      </c>
      <c r="AA30">
        <v>0.57578632818850828</v>
      </c>
      <c r="CE30" t="s">
        <v>753</v>
      </c>
      <c r="CF30">
        <v>0</v>
      </c>
      <c r="CG30">
        <v>0</v>
      </c>
      <c r="CH30">
        <v>0.23459251380761853</v>
      </c>
      <c r="CI30">
        <v>0.5581005475120433</v>
      </c>
      <c r="CJ30">
        <v>0.41102973187671554</v>
      </c>
      <c r="CK30">
        <v>4.3339530927582977E-2</v>
      </c>
      <c r="CL30">
        <v>0</v>
      </c>
      <c r="CM30">
        <v>1.882584636297719E-2</v>
      </c>
      <c r="CN30">
        <v>0.38640243827875587</v>
      </c>
      <c r="CO30">
        <v>0.62290881533390263</v>
      </c>
      <c r="CP30">
        <v>0.48347039579813383</v>
      </c>
      <c r="CQ30">
        <v>0.10775543564528638</v>
      </c>
      <c r="CR30">
        <v>0</v>
      </c>
      <c r="CS30">
        <v>2.8103258902486699E-2</v>
      </c>
      <c r="CT30">
        <v>0.41707516656553917</v>
      </c>
      <c r="CU30">
        <v>0.67361096183142366</v>
      </c>
      <c r="CV30">
        <v>0.53417600587317826</v>
      </c>
      <c r="CW30">
        <v>0.14175179365316293</v>
      </c>
      <c r="CX30">
        <v>0</v>
      </c>
      <c r="CY30">
        <v>5.7505459562309418E-3</v>
      </c>
      <c r="CZ30">
        <v>0.32902020893041439</v>
      </c>
      <c r="DA30">
        <v>0.60063547779395454</v>
      </c>
      <c r="DB30">
        <v>0.41961926312433678</v>
      </c>
      <c r="DC30">
        <v>4.8328446845297357E-2</v>
      </c>
      <c r="DE30" t="s">
        <v>753</v>
      </c>
      <c r="DF30" t="s">
        <v>111</v>
      </c>
      <c r="DG30" t="s">
        <v>112</v>
      </c>
      <c r="DH30">
        <v>0.5262027411332324</v>
      </c>
    </row>
    <row r="31" spans="2:112" x14ac:dyDescent="0.45">
      <c r="B31" t="s">
        <v>754</v>
      </c>
      <c r="C31" t="s">
        <v>107</v>
      </c>
      <c r="D31">
        <v>0</v>
      </c>
      <c r="E31">
        <v>0</v>
      </c>
      <c r="F31">
        <v>0.34246522168142929</v>
      </c>
      <c r="G31">
        <v>0.12786774901946679</v>
      </c>
      <c r="H31">
        <v>0.17913526937529872</v>
      </c>
      <c r="I31">
        <v>0.68417753135275639</v>
      </c>
      <c r="J31">
        <v>0</v>
      </c>
      <c r="K31">
        <v>0.71196703491504554</v>
      </c>
      <c r="L31">
        <v>0.19938441766330703</v>
      </c>
      <c r="M31">
        <v>0.10817441024172021</v>
      </c>
      <c r="N31">
        <v>0.14815802901029512</v>
      </c>
      <c r="O31">
        <v>0.41286905180144051</v>
      </c>
      <c r="P31">
        <v>0.97554347826086951</v>
      </c>
      <c r="Q31">
        <v>0.63606608602980697</v>
      </c>
      <c r="R31">
        <v>0.13702138771120398</v>
      </c>
      <c r="S31">
        <v>5.1424817706165298E-2</v>
      </c>
      <c r="T31">
        <v>0.10482528153500786</v>
      </c>
      <c r="U31">
        <v>0.32884861094635331</v>
      </c>
      <c r="V31">
        <v>0</v>
      </c>
      <c r="W31">
        <v>0.85826644991853362</v>
      </c>
      <c r="X31">
        <v>0.23709752884834923</v>
      </c>
      <c r="Y31">
        <v>9.8365477915007354E-2</v>
      </c>
      <c r="Z31">
        <v>0.1658938344526906</v>
      </c>
      <c r="AA31">
        <v>0.59208590282813467</v>
      </c>
      <c r="CE31" t="s">
        <v>754</v>
      </c>
      <c r="CF31">
        <v>0</v>
      </c>
      <c r="CG31">
        <v>0</v>
      </c>
      <c r="CH31">
        <v>0.20810741598270888</v>
      </c>
      <c r="CI31">
        <v>0.52703065893190792</v>
      </c>
      <c r="CJ31">
        <v>0.39802796160669851</v>
      </c>
      <c r="CK31">
        <v>3.4785960158411913E-2</v>
      </c>
      <c r="CL31">
        <v>0</v>
      </c>
      <c r="CM31">
        <v>1.849067011735751E-2</v>
      </c>
      <c r="CN31">
        <v>0.36712268000217657</v>
      </c>
      <c r="CO31">
        <v>0.61271908552064935</v>
      </c>
      <c r="CP31">
        <v>0.47018275759417588</v>
      </c>
      <c r="CQ31">
        <v>0.1026761137777229</v>
      </c>
      <c r="CR31">
        <v>1.2486827808227413E-6</v>
      </c>
      <c r="CS31">
        <v>2.9624210963932852E-2</v>
      </c>
      <c r="CT31">
        <v>0.42091913150598487</v>
      </c>
      <c r="CU31">
        <v>0.64893122543264359</v>
      </c>
      <c r="CV31">
        <v>0.49774772840044718</v>
      </c>
      <c r="CW31">
        <v>0.13523611546073167</v>
      </c>
      <c r="CX31">
        <v>0</v>
      </c>
      <c r="CY31">
        <v>6.1969629286646967E-3</v>
      </c>
      <c r="CZ31">
        <v>0.31286477056665285</v>
      </c>
      <c r="DA31">
        <v>0.58831595748953824</v>
      </c>
      <c r="DB31">
        <v>0.40798062334892882</v>
      </c>
      <c r="DC31">
        <v>4.5376975358825226E-2</v>
      </c>
      <c r="DE31" t="s">
        <v>754</v>
      </c>
      <c r="DF31" t="s">
        <v>111</v>
      </c>
      <c r="DG31" t="s">
        <v>112</v>
      </c>
      <c r="DH31">
        <v>0.48793529266801039</v>
      </c>
    </row>
    <row r="32" spans="2:112" x14ac:dyDescent="0.45">
      <c r="B32" t="s">
        <v>755</v>
      </c>
      <c r="C32" t="s">
        <v>107</v>
      </c>
      <c r="D32">
        <v>0</v>
      </c>
      <c r="E32">
        <v>0</v>
      </c>
      <c r="F32">
        <v>0.36154266718846334</v>
      </c>
      <c r="G32">
        <v>0.13179338817116015</v>
      </c>
      <c r="H32">
        <v>0.19187830532443181</v>
      </c>
      <c r="I32">
        <v>0.70246460886885287</v>
      </c>
      <c r="J32">
        <v>0</v>
      </c>
      <c r="K32">
        <v>0.71757576848213611</v>
      </c>
      <c r="L32">
        <v>0.19647469825552918</v>
      </c>
      <c r="M32">
        <v>0.11918916850287949</v>
      </c>
      <c r="N32">
        <v>0.14990958717700459</v>
      </c>
      <c r="O32">
        <v>0.41541444497298829</v>
      </c>
      <c r="P32">
        <v>0.94389444394423772</v>
      </c>
      <c r="Q32">
        <v>0.63300465873157419</v>
      </c>
      <c r="R32">
        <v>0.13586167596137244</v>
      </c>
      <c r="S32">
        <v>4.3952227382311249E-2</v>
      </c>
      <c r="T32">
        <v>9.3729954288880382E-2</v>
      </c>
      <c r="U32">
        <v>0.32293130190148217</v>
      </c>
      <c r="V32">
        <v>0</v>
      </c>
      <c r="W32">
        <v>0.86780595337184563</v>
      </c>
      <c r="X32">
        <v>0.24034677464189522</v>
      </c>
      <c r="Y32">
        <v>0.12314041668884512</v>
      </c>
      <c r="Z32">
        <v>0.1760035541107664</v>
      </c>
      <c r="AA32">
        <v>0.60559965698583174</v>
      </c>
      <c r="CE32" t="s">
        <v>755</v>
      </c>
      <c r="CF32">
        <v>0</v>
      </c>
      <c r="CG32">
        <v>0</v>
      </c>
      <c r="CH32">
        <v>0.18731695556824718</v>
      </c>
      <c r="CI32">
        <v>0.50247027628503316</v>
      </c>
      <c r="CJ32">
        <v>0.36609960998155705</v>
      </c>
      <c r="CK32">
        <v>2.8559801801756719E-2</v>
      </c>
      <c r="CL32">
        <v>0</v>
      </c>
      <c r="CM32">
        <v>1.7765461653971668E-2</v>
      </c>
      <c r="CN32">
        <v>0.34537502199912457</v>
      </c>
      <c r="CO32">
        <v>0.58884286737446201</v>
      </c>
      <c r="CP32">
        <v>0.46589102194968302</v>
      </c>
      <c r="CQ32">
        <v>0.10450153974440769</v>
      </c>
      <c r="CR32">
        <v>4.0508820223145404E-5</v>
      </c>
      <c r="CS32">
        <v>2.9236043655304744E-2</v>
      </c>
      <c r="CT32">
        <v>0.41639151334856866</v>
      </c>
      <c r="CU32">
        <v>0.65953515172248545</v>
      </c>
      <c r="CV32">
        <v>0.51935760737988446</v>
      </c>
      <c r="CW32">
        <v>0.14242271050842067</v>
      </c>
      <c r="CX32">
        <v>0</v>
      </c>
      <c r="CY32">
        <v>6.0083788315669334E-3</v>
      </c>
      <c r="CZ32">
        <v>0.30533754145934489</v>
      </c>
      <c r="DA32">
        <v>0.56543123152405039</v>
      </c>
      <c r="DB32">
        <v>0.40523882633527486</v>
      </c>
      <c r="DC32">
        <v>4.7204310997102539E-2</v>
      </c>
      <c r="DE32" t="s">
        <v>755</v>
      </c>
      <c r="DF32" t="s">
        <v>111</v>
      </c>
      <c r="DG32" t="s">
        <v>112</v>
      </c>
      <c r="DH32">
        <v>0.5043912510350822</v>
      </c>
    </row>
    <row r="33" spans="2:112" x14ac:dyDescent="0.45">
      <c r="B33" t="s">
        <v>756</v>
      </c>
      <c r="C33" t="s">
        <v>107</v>
      </c>
      <c r="D33">
        <v>0</v>
      </c>
      <c r="E33">
        <v>0</v>
      </c>
      <c r="F33">
        <v>0.29360165977751218</v>
      </c>
      <c r="G33">
        <v>0.13454006889116693</v>
      </c>
      <c r="H33">
        <v>0.2001006881002334</v>
      </c>
      <c r="I33">
        <v>0.80760974026206955</v>
      </c>
      <c r="J33">
        <v>0</v>
      </c>
      <c r="K33">
        <v>0.68339264229104058</v>
      </c>
      <c r="L33">
        <v>0.19575489942289434</v>
      </c>
      <c r="M33">
        <v>0.1246071128949393</v>
      </c>
      <c r="N33">
        <v>0.15914350270960773</v>
      </c>
      <c r="O33">
        <v>0.45423938800588126</v>
      </c>
      <c r="P33">
        <v>0</v>
      </c>
      <c r="Q33">
        <v>0.60187115539287961</v>
      </c>
      <c r="R33">
        <v>0.13170747163045693</v>
      </c>
      <c r="S33">
        <v>4.7894951822704507E-2</v>
      </c>
      <c r="T33">
        <v>0.10195092465668233</v>
      </c>
      <c r="U33">
        <v>0.34527627753568085</v>
      </c>
      <c r="V33">
        <v>0</v>
      </c>
      <c r="W33">
        <v>0.83136591703808105</v>
      </c>
      <c r="X33">
        <v>0.21563567206397191</v>
      </c>
      <c r="Y33">
        <v>0.10713752655509283</v>
      </c>
      <c r="Z33">
        <v>0.19141140696658251</v>
      </c>
      <c r="AA33">
        <v>0.69411115789072464</v>
      </c>
      <c r="CE33" t="s">
        <v>756</v>
      </c>
      <c r="CF33">
        <v>0</v>
      </c>
      <c r="CG33">
        <v>0</v>
      </c>
      <c r="CH33">
        <v>0.22176376613207305</v>
      </c>
      <c r="CI33">
        <v>0.49634563106732071</v>
      </c>
      <c r="CJ33">
        <v>0.3400396324794917</v>
      </c>
      <c r="CK33">
        <v>1.688275639636732E-2</v>
      </c>
      <c r="CL33">
        <v>0</v>
      </c>
      <c r="CM33">
        <v>2.3809105004734335E-2</v>
      </c>
      <c r="CN33">
        <v>0.3652950686638255</v>
      </c>
      <c r="CO33">
        <v>0.56676458894100978</v>
      </c>
      <c r="CP33">
        <v>0.41848062943879033</v>
      </c>
      <c r="CQ33">
        <v>7.7058229797397709E-2</v>
      </c>
      <c r="CR33">
        <v>0</v>
      </c>
      <c r="CS33">
        <v>3.7887106744595493E-2</v>
      </c>
      <c r="CT33">
        <v>0.41761310169564797</v>
      </c>
      <c r="CU33">
        <v>0.62565572783680257</v>
      </c>
      <c r="CV33">
        <v>0.46757043439579626</v>
      </c>
      <c r="CW33">
        <v>0.11290479917018412</v>
      </c>
      <c r="CX33">
        <v>0</v>
      </c>
      <c r="CY33">
        <v>8.8918378712900085E-3</v>
      </c>
      <c r="CZ33">
        <v>0.30615183480027885</v>
      </c>
      <c r="DA33">
        <v>0.52864811078000551</v>
      </c>
      <c r="DB33">
        <v>0.33947099861071023</v>
      </c>
      <c r="DC33">
        <v>2.6406538638700957E-2</v>
      </c>
      <c r="DE33" t="s">
        <v>756</v>
      </c>
      <c r="DF33" t="s">
        <v>111</v>
      </c>
      <c r="DG33" t="s">
        <v>112</v>
      </c>
      <c r="DH33">
        <v>0.48672313326844185</v>
      </c>
    </row>
    <row r="34" spans="2:112" x14ac:dyDescent="0.45">
      <c r="B34" t="s">
        <v>757</v>
      </c>
      <c r="C34" t="s">
        <v>107</v>
      </c>
      <c r="D34">
        <v>0</v>
      </c>
      <c r="E34">
        <v>0</v>
      </c>
      <c r="F34">
        <v>0.36635227881509552</v>
      </c>
      <c r="G34">
        <v>0.13218922074353268</v>
      </c>
      <c r="H34">
        <v>0.19460483929213979</v>
      </c>
      <c r="I34">
        <v>0.75184103390526769</v>
      </c>
      <c r="J34">
        <v>0</v>
      </c>
      <c r="K34">
        <v>0.7156526846375203</v>
      </c>
      <c r="L34">
        <v>0.2125900946686225</v>
      </c>
      <c r="M34">
        <v>0.1295901971856295</v>
      </c>
      <c r="N34">
        <v>0.16406174725570777</v>
      </c>
      <c r="O34">
        <v>0.42090564521941476</v>
      </c>
      <c r="P34">
        <v>0.95231035072982839</v>
      </c>
      <c r="Q34">
        <v>0.62812623972593773</v>
      </c>
      <c r="R34">
        <v>0.14818052174731913</v>
      </c>
      <c r="S34">
        <v>5.3713751933255456E-2</v>
      </c>
      <c r="T34">
        <v>8.8760074550272614E-2</v>
      </c>
      <c r="U34">
        <v>0.32904294080861451</v>
      </c>
      <c r="V34">
        <v>0</v>
      </c>
      <c r="W34">
        <v>0.87147399365660272</v>
      </c>
      <c r="X34">
        <v>0.25266971921089498</v>
      </c>
      <c r="Y34">
        <v>0.13114162214210526</v>
      </c>
      <c r="Z34">
        <v>0.18456859564432282</v>
      </c>
      <c r="AA34">
        <v>0.64085637275128271</v>
      </c>
      <c r="CE34" t="s">
        <v>757</v>
      </c>
      <c r="CF34">
        <v>0</v>
      </c>
      <c r="CG34">
        <v>0</v>
      </c>
      <c r="CH34">
        <v>0.18187260685591411</v>
      </c>
      <c r="CI34">
        <v>0.49336097954277019</v>
      </c>
      <c r="CJ34">
        <v>0.34989923866820311</v>
      </c>
      <c r="CK34">
        <v>2.4036856526164545E-2</v>
      </c>
      <c r="CL34">
        <v>0</v>
      </c>
      <c r="CM34">
        <v>1.7105980233462274E-2</v>
      </c>
      <c r="CN34">
        <v>0.33066279727164838</v>
      </c>
      <c r="CO34">
        <v>0.57084868044561388</v>
      </c>
      <c r="CP34">
        <v>0.45558580686867622</v>
      </c>
      <c r="CQ34">
        <v>0.10163369201603549</v>
      </c>
      <c r="CR34">
        <v>5.6020637471492804E-5</v>
      </c>
      <c r="CS34">
        <v>2.9034136895378197E-2</v>
      </c>
      <c r="CT34">
        <v>0.4041356493424893</v>
      </c>
      <c r="CU34">
        <v>0.64991606957702486</v>
      </c>
      <c r="CV34">
        <v>0.52964795230689443</v>
      </c>
      <c r="CW34">
        <v>0.14413452962485604</v>
      </c>
      <c r="CX34">
        <v>0</v>
      </c>
      <c r="CY34">
        <v>5.9464269296297372E-3</v>
      </c>
      <c r="CZ34">
        <v>0.28834552520868173</v>
      </c>
      <c r="DA34">
        <v>0.53706962208239628</v>
      </c>
      <c r="DB34">
        <v>0.38103778088575135</v>
      </c>
      <c r="DC34">
        <v>4.1207877012697597E-2</v>
      </c>
      <c r="DE34" t="s">
        <v>757</v>
      </c>
      <c r="DF34" t="s">
        <v>111</v>
      </c>
      <c r="DG34" t="s">
        <v>112</v>
      </c>
      <c r="DH34">
        <v>0.57380063119506963</v>
      </c>
    </row>
    <row r="35" spans="2:112" x14ac:dyDescent="0.45">
      <c r="B35" t="s">
        <v>758</v>
      </c>
      <c r="C35" t="s">
        <v>107</v>
      </c>
      <c r="D35">
        <v>0</v>
      </c>
      <c r="E35">
        <v>0</v>
      </c>
      <c r="F35">
        <v>0.32050979973247506</v>
      </c>
      <c r="G35">
        <v>0.11841713072115362</v>
      </c>
      <c r="H35">
        <v>0.18250198807013035</v>
      </c>
      <c r="I35">
        <v>0.79769765525516223</v>
      </c>
      <c r="J35">
        <v>0</v>
      </c>
      <c r="K35">
        <v>0.68913319444221799</v>
      </c>
      <c r="L35">
        <v>0.19884504676582823</v>
      </c>
      <c r="M35">
        <v>0.12613978838148271</v>
      </c>
      <c r="N35">
        <v>0.16185655617678793</v>
      </c>
      <c r="O35">
        <v>0.43639095099688374</v>
      </c>
      <c r="P35">
        <v>0</v>
      </c>
      <c r="Q35">
        <v>0.60437548209703218</v>
      </c>
      <c r="R35">
        <v>0.13949003678878741</v>
      </c>
      <c r="S35">
        <v>6.1126283488113095E-2</v>
      </c>
      <c r="T35">
        <v>0.11167803388572967</v>
      </c>
      <c r="U35">
        <v>0.34260524152008365</v>
      </c>
      <c r="V35">
        <v>0</v>
      </c>
      <c r="W35">
        <v>0.84238830773053952</v>
      </c>
      <c r="X35">
        <v>0.23460210129724476</v>
      </c>
      <c r="Y35">
        <v>0.12082060081932404</v>
      </c>
      <c r="Z35">
        <v>0.19104667188281582</v>
      </c>
      <c r="AA35">
        <v>0.6756910631299119</v>
      </c>
      <c r="CE35" t="s">
        <v>758</v>
      </c>
      <c r="CF35">
        <v>0</v>
      </c>
      <c r="CG35">
        <v>0</v>
      </c>
      <c r="CH35">
        <v>0.22445780681998606</v>
      </c>
      <c r="CI35">
        <v>0.55021323474677497</v>
      </c>
      <c r="CJ35">
        <v>0.38912056951856533</v>
      </c>
      <c r="CK35">
        <v>2.0466928586133675E-2</v>
      </c>
      <c r="CL35">
        <v>0</v>
      </c>
      <c r="CM35">
        <v>2.4569650199389222E-2</v>
      </c>
      <c r="CN35">
        <v>0.38911456457527444</v>
      </c>
      <c r="CO35">
        <v>0.61800745382100397</v>
      </c>
      <c r="CP35">
        <v>0.45418794908865878</v>
      </c>
      <c r="CQ35">
        <v>8.993647411987496E-2</v>
      </c>
      <c r="CR35">
        <v>0</v>
      </c>
      <c r="CS35">
        <v>3.6031613367084527E-2</v>
      </c>
      <c r="CT35">
        <v>0.42643970259490682</v>
      </c>
      <c r="CU35">
        <v>0.63921047154110699</v>
      </c>
      <c r="CV35">
        <v>0.47238653679675302</v>
      </c>
      <c r="CW35">
        <v>0.11630302211490073</v>
      </c>
      <c r="CX35">
        <v>0</v>
      </c>
      <c r="CY35">
        <v>8.3033578066554047E-3</v>
      </c>
      <c r="CZ35">
        <v>0.31758705294234646</v>
      </c>
      <c r="DA35">
        <v>0.56507141398879857</v>
      </c>
      <c r="DB35">
        <v>0.36553960008818331</v>
      </c>
      <c r="DC35">
        <v>3.2600059799220552E-2</v>
      </c>
      <c r="DE35" t="s">
        <v>758</v>
      </c>
      <c r="DF35" t="s">
        <v>111</v>
      </c>
      <c r="DG35" t="s">
        <v>112</v>
      </c>
      <c r="DH35">
        <v>0.50417428111720131</v>
      </c>
    </row>
    <row r="36" spans="2:112" x14ac:dyDescent="0.45">
      <c r="B36" t="s">
        <v>759</v>
      </c>
      <c r="C36" t="s">
        <v>107</v>
      </c>
      <c r="D36">
        <v>0</v>
      </c>
      <c r="E36">
        <v>0</v>
      </c>
      <c r="F36">
        <v>0.31808870194525635</v>
      </c>
      <c r="G36">
        <v>0.10655444183863244</v>
      </c>
      <c r="H36">
        <v>0.1798407713504849</v>
      </c>
      <c r="I36">
        <v>0.7637918987623552</v>
      </c>
      <c r="J36">
        <v>0</v>
      </c>
      <c r="K36">
        <v>0.70023339606778112</v>
      </c>
      <c r="L36">
        <v>0.1878132040158394</v>
      </c>
      <c r="M36">
        <v>0.11028975317993653</v>
      </c>
      <c r="N36">
        <v>0.14845569296428751</v>
      </c>
      <c r="O36">
        <v>0.43246116559206599</v>
      </c>
      <c r="P36">
        <v>0.97418478260869545</v>
      </c>
      <c r="Q36">
        <v>0.62003322368960778</v>
      </c>
      <c r="R36">
        <v>0.1362624916944605</v>
      </c>
      <c r="S36">
        <v>4.0643327700501372E-2</v>
      </c>
      <c r="T36">
        <v>9.2302954429174688E-2</v>
      </c>
      <c r="U36">
        <v>0.33623098870088686</v>
      </c>
      <c r="V36">
        <v>0</v>
      </c>
      <c r="W36">
        <v>0.85069994454777953</v>
      </c>
      <c r="X36">
        <v>0.21898591918472182</v>
      </c>
      <c r="Y36">
        <v>0.10388690688752239</v>
      </c>
      <c r="Z36">
        <v>0.1656047357026581</v>
      </c>
      <c r="AA36">
        <v>0.64382393742919275</v>
      </c>
      <c r="CE36" t="s">
        <v>759</v>
      </c>
      <c r="CF36">
        <v>0</v>
      </c>
      <c r="CG36">
        <v>0</v>
      </c>
      <c r="CH36">
        <v>0.21926482080718226</v>
      </c>
      <c r="CI36">
        <v>0.54669444012459167</v>
      </c>
      <c r="CJ36">
        <v>0.39272843384339806</v>
      </c>
      <c r="CK36">
        <v>2.5876892605212778E-2</v>
      </c>
      <c r="CL36">
        <v>0</v>
      </c>
      <c r="CM36">
        <v>2.2400131865874171E-2</v>
      </c>
      <c r="CN36">
        <v>0.38753133789213273</v>
      </c>
      <c r="CO36">
        <v>0.62215613735916708</v>
      </c>
      <c r="CP36">
        <v>0.47183690022612845</v>
      </c>
      <c r="CQ36">
        <v>9.8688502388670815E-2</v>
      </c>
      <c r="CR36">
        <v>4.3278528345059393E-7</v>
      </c>
      <c r="CS36">
        <v>3.266323027763135E-2</v>
      </c>
      <c r="CT36">
        <v>0.41665792713238725</v>
      </c>
      <c r="CU36">
        <v>0.6563048906425073</v>
      </c>
      <c r="CV36">
        <v>0.51005498925928794</v>
      </c>
      <c r="CW36">
        <v>0.12901407790434033</v>
      </c>
      <c r="CX36">
        <v>0</v>
      </c>
      <c r="CY36">
        <v>7.7929089748867801E-3</v>
      </c>
      <c r="CZ36">
        <v>0.33026982884506834</v>
      </c>
      <c r="DA36">
        <v>0.58323256896701703</v>
      </c>
      <c r="DB36">
        <v>0.40435738744743077</v>
      </c>
      <c r="DC36">
        <v>3.9906650200110243E-2</v>
      </c>
      <c r="DE36" t="s">
        <v>759</v>
      </c>
      <c r="DF36" t="s">
        <v>111</v>
      </c>
      <c r="DG36" t="s">
        <v>112</v>
      </c>
      <c r="DH36">
        <v>0.54717865660363452</v>
      </c>
    </row>
    <row r="37" spans="2:112" x14ac:dyDescent="0.45">
      <c r="B37" t="s">
        <v>760</v>
      </c>
      <c r="C37" t="s">
        <v>107</v>
      </c>
      <c r="D37">
        <v>0.34785826255398938</v>
      </c>
      <c r="E37">
        <v>0.34797899090866691</v>
      </c>
      <c r="F37">
        <v>0.3623430695297496</v>
      </c>
      <c r="G37">
        <v>0.38245700322710868</v>
      </c>
      <c r="H37">
        <v>0.38813758775694346</v>
      </c>
      <c r="I37">
        <v>0.3810333689895144</v>
      </c>
      <c r="J37">
        <v>0.34372069158313634</v>
      </c>
      <c r="K37">
        <v>0.36030583940911121</v>
      </c>
      <c r="L37">
        <v>0.38810588546628805</v>
      </c>
      <c r="M37">
        <v>0.3887206066851403</v>
      </c>
      <c r="N37">
        <v>0.34647026915276691</v>
      </c>
      <c r="O37">
        <v>0.32999957996468032</v>
      </c>
      <c r="P37">
        <v>0.36415159153181886</v>
      </c>
      <c r="Q37">
        <v>0.37164396681010942</v>
      </c>
      <c r="R37">
        <v>0.34793124529461816</v>
      </c>
      <c r="S37">
        <v>0.32642675949671535</v>
      </c>
      <c r="T37">
        <v>0.32627980723200106</v>
      </c>
      <c r="U37">
        <v>0.32187780411473066</v>
      </c>
      <c r="V37">
        <v>0.41711973093917026</v>
      </c>
      <c r="W37">
        <v>0.45177593616064798</v>
      </c>
      <c r="X37">
        <v>0.4644901899031893</v>
      </c>
      <c r="Y37">
        <v>0.43273465792414345</v>
      </c>
      <c r="Z37">
        <v>0.42031298301281206</v>
      </c>
      <c r="AA37">
        <v>0.42890689837284313</v>
      </c>
      <c r="CE37" t="s">
        <v>760</v>
      </c>
      <c r="CF37">
        <v>0.45624966094605446</v>
      </c>
      <c r="CG37">
        <v>0.45341089648995164</v>
      </c>
      <c r="CH37">
        <v>0.45076275244066749</v>
      </c>
      <c r="CI37">
        <v>0.4353713796363573</v>
      </c>
      <c r="CJ37">
        <v>0.41499575160724961</v>
      </c>
      <c r="CK37">
        <v>0.43605650713223026</v>
      </c>
      <c r="CL37">
        <v>0.3776338276314532</v>
      </c>
      <c r="CM37">
        <v>0.35034472561079016</v>
      </c>
      <c r="CN37">
        <v>0.32254244291199463</v>
      </c>
      <c r="CO37">
        <v>0.37329650097852934</v>
      </c>
      <c r="CP37">
        <v>0.43918795129642652</v>
      </c>
      <c r="CQ37">
        <v>0.45034210448393236</v>
      </c>
      <c r="CR37">
        <v>0.13237544802007831</v>
      </c>
      <c r="CS37">
        <v>0.14649669703082083</v>
      </c>
      <c r="CT37">
        <v>0.12927926174974028</v>
      </c>
      <c r="CU37">
        <v>0.14250268657874018</v>
      </c>
      <c r="CV37">
        <v>0.17578839292565807</v>
      </c>
      <c r="CW37">
        <v>0.18522456045830124</v>
      </c>
      <c r="CX37">
        <v>0.23148374555182621</v>
      </c>
      <c r="CY37">
        <v>0.22305224469086149</v>
      </c>
      <c r="CZ37">
        <v>0.22010173046911991</v>
      </c>
      <c r="DA37">
        <v>0.22302290968472607</v>
      </c>
      <c r="DB37">
        <v>0.22368953255203172</v>
      </c>
      <c r="DC37">
        <v>0.23592452457745355</v>
      </c>
      <c r="DE37" t="s">
        <v>761</v>
      </c>
      <c r="DF37" t="s">
        <v>111</v>
      </c>
      <c r="DG37" t="s">
        <v>112</v>
      </c>
      <c r="DH37">
        <v>0.26024266918297306</v>
      </c>
    </row>
    <row r="38" spans="2:112" x14ac:dyDescent="0.45">
      <c r="B38" t="s">
        <v>762</v>
      </c>
      <c r="C38" t="s">
        <v>107</v>
      </c>
      <c r="D38">
        <v>0.32262357446511952</v>
      </c>
      <c r="E38">
        <v>0.329367677911168</v>
      </c>
      <c r="F38">
        <v>0.3460092671570078</v>
      </c>
      <c r="G38">
        <v>0.36989103049328742</v>
      </c>
      <c r="H38">
        <v>0.33489924225990531</v>
      </c>
      <c r="I38">
        <v>0.30173322309266815</v>
      </c>
      <c r="J38">
        <v>0.35857835266356913</v>
      </c>
      <c r="K38">
        <v>0.3817425032890352</v>
      </c>
      <c r="L38">
        <v>0.39471992497285147</v>
      </c>
      <c r="M38">
        <v>0.31522579909660597</v>
      </c>
      <c r="N38">
        <v>0.28322511629314712</v>
      </c>
      <c r="O38">
        <v>0.31277779358402608</v>
      </c>
      <c r="P38">
        <v>0.37098085757957433</v>
      </c>
      <c r="Q38">
        <v>0.34500440972798813</v>
      </c>
      <c r="R38">
        <v>0.36979047467790194</v>
      </c>
      <c r="S38">
        <v>0.31363308559130187</v>
      </c>
      <c r="T38">
        <v>0.32348428209672131</v>
      </c>
      <c r="U38">
        <v>0.35715663509219736</v>
      </c>
      <c r="V38">
        <v>0.42862545038085864</v>
      </c>
      <c r="W38">
        <v>0.40668175608493318</v>
      </c>
      <c r="X38">
        <v>0.41638869334762646</v>
      </c>
      <c r="Y38">
        <v>0.40226140266879734</v>
      </c>
      <c r="Z38">
        <v>0.38104763993997237</v>
      </c>
      <c r="AA38">
        <v>0.39568257806474094</v>
      </c>
      <c r="CE38" t="s">
        <v>762</v>
      </c>
      <c r="CF38">
        <v>0.40646731809861386</v>
      </c>
      <c r="CG38">
        <v>0.39969827231607713</v>
      </c>
      <c r="CH38">
        <v>0.38046893509239915</v>
      </c>
      <c r="CI38">
        <v>0.36899107943609227</v>
      </c>
      <c r="CJ38">
        <v>0.40823805513614581</v>
      </c>
      <c r="CK38">
        <v>0.43192582291730691</v>
      </c>
      <c r="CL38">
        <v>0.3330047553128429</v>
      </c>
      <c r="CM38">
        <v>0.29843765141394407</v>
      </c>
      <c r="CN38">
        <v>0.29511925314562487</v>
      </c>
      <c r="CO38">
        <v>0.38933437179723124</v>
      </c>
      <c r="CP38">
        <v>0.48544027806039952</v>
      </c>
      <c r="CQ38">
        <v>0.429410642411449</v>
      </c>
      <c r="CR38">
        <v>0.14755756228176553</v>
      </c>
      <c r="CS38">
        <v>0.16613991286074595</v>
      </c>
      <c r="CT38">
        <v>0.16935889509424079</v>
      </c>
      <c r="CU38">
        <v>0.23222238935253511</v>
      </c>
      <c r="CV38">
        <v>0.26153797176677185</v>
      </c>
      <c r="CW38">
        <v>0.2217353272757181</v>
      </c>
      <c r="CX38">
        <v>0.20136219326097182</v>
      </c>
      <c r="CY38">
        <v>0.18932412838129561</v>
      </c>
      <c r="CZ38">
        <v>0.18201783075059494</v>
      </c>
      <c r="DA38">
        <v>0.19517603048988494</v>
      </c>
      <c r="DB38">
        <v>0.24512057499514664</v>
      </c>
      <c r="DC38">
        <v>0.24515169325768024</v>
      </c>
      <c r="DE38" t="s">
        <v>763</v>
      </c>
      <c r="DF38" t="s">
        <v>111</v>
      </c>
      <c r="DG38" t="s">
        <v>112</v>
      </c>
      <c r="DH38">
        <v>0.28068100624594672</v>
      </c>
    </row>
    <row r="39" spans="2:112" x14ac:dyDescent="0.45">
      <c r="B39" t="s">
        <v>764</v>
      </c>
      <c r="C39" t="s">
        <v>107</v>
      </c>
      <c r="D39">
        <v>0.38455289888073868</v>
      </c>
      <c r="E39">
        <v>0.38589121867180887</v>
      </c>
      <c r="F39">
        <v>0.38975022131336667</v>
      </c>
      <c r="G39">
        <v>0.41055206833979624</v>
      </c>
      <c r="H39">
        <v>0.41329897152347322</v>
      </c>
      <c r="I39">
        <v>0.3907901173338742</v>
      </c>
      <c r="J39">
        <v>0.3509835693750693</v>
      </c>
      <c r="K39">
        <v>0.3710463847254088</v>
      </c>
      <c r="L39">
        <v>0.3857919371405405</v>
      </c>
      <c r="M39">
        <v>0.38310133978244409</v>
      </c>
      <c r="N39">
        <v>0.32981543309972722</v>
      </c>
      <c r="O39">
        <v>0.32770606774567601</v>
      </c>
      <c r="P39">
        <v>0.39615438674544901</v>
      </c>
      <c r="Q39">
        <v>0.44432552800539832</v>
      </c>
      <c r="R39">
        <v>0.37611974006528642</v>
      </c>
      <c r="S39">
        <v>0.29181823757057601</v>
      </c>
      <c r="T39">
        <v>0.30377051398103144</v>
      </c>
      <c r="U39">
        <v>0.31857358028686189</v>
      </c>
      <c r="V39">
        <v>0.45013437969181003</v>
      </c>
      <c r="W39">
        <v>0.47101987301377596</v>
      </c>
      <c r="X39">
        <v>0.46311565053008302</v>
      </c>
      <c r="Y39">
        <v>0.41251139958400079</v>
      </c>
      <c r="Z39">
        <v>0.35476622878357561</v>
      </c>
      <c r="AA39">
        <v>0.3901720470858504</v>
      </c>
      <c r="CE39" t="s">
        <v>764</v>
      </c>
      <c r="CF39">
        <v>0.41539364102527399</v>
      </c>
      <c r="CG39">
        <v>0.42848056263564566</v>
      </c>
      <c r="CH39">
        <v>0.4262161554756782</v>
      </c>
      <c r="CI39">
        <v>0.38338857137624083</v>
      </c>
      <c r="CJ39">
        <v>0.35461910480782471</v>
      </c>
      <c r="CK39">
        <v>0.38530486187194046</v>
      </c>
      <c r="CL39">
        <v>0.3632509769223824</v>
      </c>
      <c r="CM39">
        <v>0.34626720000269839</v>
      </c>
      <c r="CN39">
        <v>0.31284806022387196</v>
      </c>
      <c r="CO39">
        <v>0.33039917395489432</v>
      </c>
      <c r="CP39">
        <v>0.40147161857793456</v>
      </c>
      <c r="CQ39">
        <v>0.41582512627980689</v>
      </c>
      <c r="CR39">
        <v>9.4310114003832657E-2</v>
      </c>
      <c r="CS39">
        <v>9.4023753042522765E-2</v>
      </c>
      <c r="CT39">
        <v>8.1178101904223046E-2</v>
      </c>
      <c r="CU39">
        <v>0.1147136725186314</v>
      </c>
      <c r="CV39">
        <v>0.16085377117648342</v>
      </c>
      <c r="CW39">
        <v>0.15189197665490473</v>
      </c>
      <c r="CX39">
        <v>0.23118943039356096</v>
      </c>
      <c r="CY39">
        <v>0.22967959057769122</v>
      </c>
      <c r="CZ39">
        <v>0.21462611085291677</v>
      </c>
      <c r="DA39">
        <v>0.20002416905738254</v>
      </c>
      <c r="DB39">
        <v>0.20986808914115876</v>
      </c>
      <c r="DC39">
        <v>0.2394340515110619</v>
      </c>
      <c r="DE39" t="s">
        <v>765</v>
      </c>
      <c r="DF39" t="s">
        <v>111</v>
      </c>
      <c r="DG39" t="s">
        <v>112</v>
      </c>
      <c r="DH39">
        <v>0.23973443393331065</v>
      </c>
    </row>
    <row r="40" spans="2:112" x14ac:dyDescent="0.45">
      <c r="B40" t="s">
        <v>766</v>
      </c>
      <c r="C40" t="s">
        <v>107</v>
      </c>
      <c r="D40">
        <v>0.37235034647579535</v>
      </c>
      <c r="E40">
        <v>0.36747818446871633</v>
      </c>
      <c r="F40">
        <v>0.3658855305403968</v>
      </c>
      <c r="G40">
        <v>0.38613809494201945</v>
      </c>
      <c r="H40">
        <v>0.38663609444473679</v>
      </c>
      <c r="I40">
        <v>0.3739319049188326</v>
      </c>
      <c r="J40">
        <v>0.33991440654168792</v>
      </c>
      <c r="K40">
        <v>0.35119532677752707</v>
      </c>
      <c r="L40">
        <v>0.35678559746018423</v>
      </c>
      <c r="M40">
        <v>0.36369146592477014</v>
      </c>
      <c r="N40">
        <v>0.36614214619527979</v>
      </c>
      <c r="O40">
        <v>0.35790648885653459</v>
      </c>
      <c r="P40">
        <v>0.39441912312874533</v>
      </c>
      <c r="Q40">
        <v>0.43395270159177635</v>
      </c>
      <c r="R40">
        <v>0.40138335923005897</v>
      </c>
      <c r="S40">
        <v>0.37384599209089087</v>
      </c>
      <c r="T40">
        <v>0.35693091584586428</v>
      </c>
      <c r="U40">
        <v>0.37338326013828155</v>
      </c>
      <c r="V40">
        <v>0.40945644136224629</v>
      </c>
      <c r="W40">
        <v>0.40120639737383618</v>
      </c>
      <c r="X40">
        <v>0.40639043631479416</v>
      </c>
      <c r="Y40">
        <v>0.40071291906910939</v>
      </c>
      <c r="Z40">
        <v>0.42312570946674238</v>
      </c>
      <c r="AA40">
        <v>0.43290603778245135</v>
      </c>
      <c r="CE40" t="s">
        <v>766</v>
      </c>
      <c r="CF40">
        <v>0.44471083494645042</v>
      </c>
      <c r="CG40">
        <v>0.4553437288711939</v>
      </c>
      <c r="CH40">
        <v>0.45498047068005598</v>
      </c>
      <c r="CI40">
        <v>0.444879119227583</v>
      </c>
      <c r="CJ40">
        <v>0.4212435386465484</v>
      </c>
      <c r="CK40">
        <v>0.4231362287199627</v>
      </c>
      <c r="CL40">
        <v>0.40708863578198079</v>
      </c>
      <c r="CM40">
        <v>0.39986647877730702</v>
      </c>
      <c r="CN40">
        <v>0.37766110189339175</v>
      </c>
      <c r="CO40">
        <v>0.379023444857023</v>
      </c>
      <c r="CP40">
        <v>0.37959576226794756</v>
      </c>
      <c r="CQ40">
        <v>0.40268182014338044</v>
      </c>
      <c r="CR40">
        <v>0.11923940967938788</v>
      </c>
      <c r="CS40">
        <v>0.14297606351440981</v>
      </c>
      <c r="CT40">
        <v>0.12586382052712625</v>
      </c>
      <c r="CU40">
        <v>0.1217193279065196</v>
      </c>
      <c r="CV40">
        <v>0.11791097001955103</v>
      </c>
      <c r="CW40">
        <v>0.12860448898841992</v>
      </c>
      <c r="CX40">
        <v>0.27095594290820452</v>
      </c>
      <c r="CY40">
        <v>0.26984493699022327</v>
      </c>
      <c r="CZ40">
        <v>0.25672827251045865</v>
      </c>
      <c r="DA40">
        <v>0.2485785005498479</v>
      </c>
      <c r="DB40">
        <v>0.23148393506574882</v>
      </c>
      <c r="DC40">
        <v>0.24454322558774616</v>
      </c>
      <c r="DE40" t="s">
        <v>767</v>
      </c>
      <c r="DF40" t="s">
        <v>111</v>
      </c>
      <c r="DG40" t="s">
        <v>112</v>
      </c>
      <c r="DH40">
        <v>0.19223540418236268</v>
      </c>
    </row>
    <row r="41" spans="2:112" x14ac:dyDescent="0.45">
      <c r="B41" t="s">
        <v>768</v>
      </c>
      <c r="C41" t="s">
        <v>107</v>
      </c>
      <c r="D41">
        <v>0.26815178818759455</v>
      </c>
      <c r="E41">
        <v>0.29286436904159163</v>
      </c>
      <c r="F41">
        <v>0.29881308326046901</v>
      </c>
      <c r="G41">
        <v>0.31373608979432133</v>
      </c>
      <c r="H41">
        <v>0.30644356286655217</v>
      </c>
      <c r="I41">
        <v>0.28810635660319522</v>
      </c>
      <c r="J41">
        <v>0.29603257509942654</v>
      </c>
      <c r="K41">
        <v>0.29708465119167154</v>
      </c>
      <c r="L41">
        <v>0.32501597292406414</v>
      </c>
      <c r="M41">
        <v>0.32243490697769162</v>
      </c>
      <c r="N41">
        <v>0.27944672916171176</v>
      </c>
      <c r="O41">
        <v>0.24917914590295318</v>
      </c>
      <c r="P41">
        <v>0.36631311879578698</v>
      </c>
      <c r="Q41">
        <v>0.39371322092768363</v>
      </c>
      <c r="R41">
        <v>0.42165362319183902</v>
      </c>
      <c r="S41">
        <v>0.3917446234933839</v>
      </c>
      <c r="T41">
        <v>0.32218671860392101</v>
      </c>
      <c r="U41">
        <v>0.31083791681082684</v>
      </c>
      <c r="V41">
        <v>0.2535371728602831</v>
      </c>
      <c r="W41">
        <v>0.28253789555380382</v>
      </c>
      <c r="X41">
        <v>0.30386268286899065</v>
      </c>
      <c r="Y41">
        <v>0.30300551899754702</v>
      </c>
      <c r="Z41">
        <v>0.27857648998292522</v>
      </c>
      <c r="AA41">
        <v>0.2533246190505607</v>
      </c>
      <c r="CE41" t="s">
        <v>768</v>
      </c>
      <c r="CF41">
        <v>0.56325265394539403</v>
      </c>
      <c r="CG41">
        <v>0.52615260111292017</v>
      </c>
      <c r="CH41">
        <v>0.51686921432429811</v>
      </c>
      <c r="CI41">
        <v>0.51684605632272063</v>
      </c>
      <c r="CJ41">
        <v>0.54093355334940751</v>
      </c>
      <c r="CK41">
        <v>0.55982140282602522</v>
      </c>
      <c r="CL41">
        <v>0.49741286574448279</v>
      </c>
      <c r="CM41">
        <v>0.51170841847755633</v>
      </c>
      <c r="CN41">
        <v>0.47344917662365643</v>
      </c>
      <c r="CO41">
        <v>0.46062793681700154</v>
      </c>
      <c r="CP41">
        <v>0.49944594700932865</v>
      </c>
      <c r="CQ41">
        <v>0.51809893599257995</v>
      </c>
      <c r="CR41">
        <v>0.39522794776948922</v>
      </c>
      <c r="CS41">
        <v>0.38708995366098109</v>
      </c>
      <c r="CT41">
        <v>0.35576762412817481</v>
      </c>
      <c r="CU41">
        <v>0.34630091085310605</v>
      </c>
      <c r="CV41">
        <v>0.37958005883798279</v>
      </c>
      <c r="CW41">
        <v>0.41346323837912741</v>
      </c>
      <c r="CX41">
        <v>0.57643575650265844</v>
      </c>
      <c r="CY41">
        <v>0.56286240774843044</v>
      </c>
      <c r="CZ41">
        <v>0.52634868989249606</v>
      </c>
      <c r="DA41">
        <v>0.5026233090277834</v>
      </c>
      <c r="DB41">
        <v>0.51935343485870589</v>
      </c>
      <c r="DC41">
        <v>0.55759379191841996</v>
      </c>
      <c r="DE41" t="s">
        <v>769</v>
      </c>
      <c r="DF41" t="s">
        <v>111</v>
      </c>
      <c r="DG41" t="s">
        <v>112</v>
      </c>
      <c r="DH41">
        <v>0.2768833763508482</v>
      </c>
    </row>
    <row r="42" spans="2:112" x14ac:dyDescent="0.45">
      <c r="B42" t="s">
        <v>770</v>
      </c>
      <c r="C42" t="s">
        <v>107</v>
      </c>
      <c r="D42">
        <v>0.45221283014369323</v>
      </c>
      <c r="E42">
        <v>0.44826475327403137</v>
      </c>
      <c r="F42">
        <v>0.48167264730432752</v>
      </c>
      <c r="G42">
        <v>0.49400933771730837</v>
      </c>
      <c r="H42">
        <v>0.45434439463292492</v>
      </c>
      <c r="I42">
        <v>0.44863943408733514</v>
      </c>
      <c r="J42">
        <v>0.47493623517413264</v>
      </c>
      <c r="K42">
        <v>0.46275775009392384</v>
      </c>
      <c r="L42">
        <v>0.45770776582831918</v>
      </c>
      <c r="M42">
        <v>0.395814654714918</v>
      </c>
      <c r="N42">
        <v>0.34738064881314884</v>
      </c>
      <c r="O42">
        <v>0.39312763431968867</v>
      </c>
      <c r="P42">
        <v>0.52244833242322464</v>
      </c>
      <c r="Q42">
        <v>0.56669082274682925</v>
      </c>
      <c r="R42">
        <v>0.44432179996773485</v>
      </c>
      <c r="S42">
        <v>0.29292062893089671</v>
      </c>
      <c r="T42">
        <v>0.31503195005241286</v>
      </c>
      <c r="U42">
        <v>0.45623327667104141</v>
      </c>
      <c r="V42">
        <v>0.51969610615853934</v>
      </c>
      <c r="W42">
        <v>0.49254178031474227</v>
      </c>
      <c r="X42">
        <v>0.49259359800050778</v>
      </c>
      <c r="Y42">
        <v>0.46289698628691611</v>
      </c>
      <c r="Z42">
        <v>0.42221834545324999</v>
      </c>
      <c r="AA42">
        <v>0.46050046607139666</v>
      </c>
      <c r="CE42" t="s">
        <v>770</v>
      </c>
      <c r="CF42">
        <v>0.28626361171600012</v>
      </c>
      <c r="CG42">
        <v>0.28229091469220258</v>
      </c>
      <c r="CH42">
        <v>0.27771521763805446</v>
      </c>
      <c r="CI42">
        <v>0.27645230539170146</v>
      </c>
      <c r="CJ42">
        <v>0.29826338993010304</v>
      </c>
      <c r="CK42">
        <v>0.31564205625089015</v>
      </c>
      <c r="CL42">
        <v>0.22814632895027834</v>
      </c>
      <c r="CM42">
        <v>0.25039128955597123</v>
      </c>
      <c r="CN42">
        <v>0.23759109663791209</v>
      </c>
      <c r="CO42">
        <v>0.31403028263555149</v>
      </c>
      <c r="CP42">
        <v>0.38341567370533447</v>
      </c>
      <c r="CQ42">
        <v>0.30684287483459988</v>
      </c>
      <c r="CR42">
        <v>5.8582620959724399E-2</v>
      </c>
      <c r="CS42">
        <v>6.1434455190907428E-2</v>
      </c>
      <c r="CT42">
        <v>6.1155724967056742E-2</v>
      </c>
      <c r="CU42">
        <v>0.12021173543561409</v>
      </c>
      <c r="CV42">
        <v>0.15618005902650353</v>
      </c>
      <c r="CW42">
        <v>0.10160441214909118</v>
      </c>
      <c r="CX42">
        <v>0.20236543345465727</v>
      </c>
      <c r="CY42">
        <v>0.18537310785082753</v>
      </c>
      <c r="CZ42">
        <v>0.15757447884486797</v>
      </c>
      <c r="DA42">
        <v>0.18085315785647105</v>
      </c>
      <c r="DB42">
        <v>0.22964609183387585</v>
      </c>
      <c r="DC42">
        <v>0.22758299973287044</v>
      </c>
      <c r="DE42" t="s">
        <v>771</v>
      </c>
      <c r="DF42" t="s">
        <v>111</v>
      </c>
      <c r="DG42" t="s">
        <v>112</v>
      </c>
      <c r="DH42">
        <v>0.17624274065917228</v>
      </c>
    </row>
    <row r="43" spans="2:112" x14ac:dyDescent="0.45">
      <c r="B43" t="s">
        <v>772</v>
      </c>
      <c r="C43" t="s">
        <v>107</v>
      </c>
      <c r="D43">
        <v>0.40327204552246187</v>
      </c>
      <c r="E43">
        <v>0.41319837176519225</v>
      </c>
      <c r="F43">
        <v>0.43693234133146991</v>
      </c>
      <c r="G43">
        <v>0.45288875076170421</v>
      </c>
      <c r="H43">
        <v>0.43950577293241844</v>
      </c>
      <c r="I43">
        <v>0.40740798726718935</v>
      </c>
      <c r="J43">
        <v>0.41163016461551521</v>
      </c>
      <c r="K43">
        <v>0.38601351500323478</v>
      </c>
      <c r="L43">
        <v>0.39517175853484188</v>
      </c>
      <c r="M43">
        <v>0.3959483429344387</v>
      </c>
      <c r="N43">
        <v>0.31505122130100227</v>
      </c>
      <c r="O43">
        <v>0.32716890600864318</v>
      </c>
      <c r="P43">
        <v>0.49837783875550989</v>
      </c>
      <c r="Q43">
        <v>0.52571621677536506</v>
      </c>
      <c r="R43">
        <v>0.42302722858629282</v>
      </c>
      <c r="S43">
        <v>0.30084894106805116</v>
      </c>
      <c r="T43">
        <v>0.27777462213749748</v>
      </c>
      <c r="U43">
        <v>0.37475731408563584</v>
      </c>
      <c r="V43">
        <v>0.49468281472103925</v>
      </c>
      <c r="W43">
        <v>0.45211695798223517</v>
      </c>
      <c r="X43">
        <v>0.44403123757734286</v>
      </c>
      <c r="Y43">
        <v>0.44043957480709095</v>
      </c>
      <c r="Z43">
        <v>0.41667911887134773</v>
      </c>
      <c r="AA43">
        <v>0.45840377014241834</v>
      </c>
      <c r="CE43" t="s">
        <v>772</v>
      </c>
      <c r="CF43">
        <v>0.37224448306497421</v>
      </c>
      <c r="CG43">
        <v>0.38355226559070005</v>
      </c>
      <c r="CH43">
        <v>0.38417340256988713</v>
      </c>
      <c r="CI43">
        <v>0.36512678575182855</v>
      </c>
      <c r="CJ43">
        <v>0.36316521470141644</v>
      </c>
      <c r="CK43">
        <v>0.37527369088190055</v>
      </c>
      <c r="CL43">
        <v>0.32770817787734807</v>
      </c>
      <c r="CM43">
        <v>0.34033450729976394</v>
      </c>
      <c r="CN43">
        <v>0.30222487665281134</v>
      </c>
      <c r="CO43">
        <v>0.31186012843770494</v>
      </c>
      <c r="CP43">
        <v>0.37042482626961437</v>
      </c>
      <c r="CQ43">
        <v>0.36956099433100348</v>
      </c>
      <c r="CR43">
        <v>0.10021895558597771</v>
      </c>
      <c r="CS43">
        <v>0.1050501522091583</v>
      </c>
      <c r="CT43">
        <v>7.5654863455279997E-2</v>
      </c>
      <c r="CU43">
        <v>9.2997925512150581E-2</v>
      </c>
      <c r="CV43">
        <v>0.14285087454364434</v>
      </c>
      <c r="CW43">
        <v>0.12546230306485945</v>
      </c>
      <c r="CX43">
        <v>0.25838212410494671</v>
      </c>
      <c r="CY43">
        <v>0.27800844497138349</v>
      </c>
      <c r="CZ43">
        <v>0.24946471481079374</v>
      </c>
      <c r="DA43">
        <v>0.22396020471567998</v>
      </c>
      <c r="DB43">
        <v>0.2445641249180886</v>
      </c>
      <c r="DC43">
        <v>0.25857390525771118</v>
      </c>
      <c r="DE43" t="s">
        <v>773</v>
      </c>
      <c r="DF43" t="s">
        <v>111</v>
      </c>
      <c r="DG43" t="s">
        <v>112</v>
      </c>
      <c r="DH43">
        <v>0.23927790967163459</v>
      </c>
    </row>
    <row r="44" spans="2:112" x14ac:dyDescent="0.45">
      <c r="B44" t="s">
        <v>774</v>
      </c>
      <c r="C44" t="s">
        <v>107</v>
      </c>
      <c r="D44">
        <v>0.45972631343436055</v>
      </c>
      <c r="E44">
        <v>0.46362176565184104</v>
      </c>
      <c r="F44">
        <v>0.46919573188374808</v>
      </c>
      <c r="G44">
        <v>0.47871606031491171</v>
      </c>
      <c r="H44">
        <v>0.44703061800096189</v>
      </c>
      <c r="I44">
        <v>0.41236876278118451</v>
      </c>
      <c r="J44">
        <v>0.44423108250994386</v>
      </c>
      <c r="K44">
        <v>0.46228898537993296</v>
      </c>
      <c r="L44">
        <v>0.45889475911676292</v>
      </c>
      <c r="M44">
        <v>0.39456553367891256</v>
      </c>
      <c r="N44">
        <v>0.37356518105716302</v>
      </c>
      <c r="O44">
        <v>0.41688872470759814</v>
      </c>
      <c r="P44">
        <v>0.42523428386906426</v>
      </c>
      <c r="Q44">
        <v>0.48786493840481165</v>
      </c>
      <c r="R44">
        <v>0.39943817985292751</v>
      </c>
      <c r="S44">
        <v>0.33080694703933128</v>
      </c>
      <c r="T44">
        <v>0.34976962436798115</v>
      </c>
      <c r="U44">
        <v>0.39847176112348681</v>
      </c>
      <c r="V44">
        <v>0.46333350199712414</v>
      </c>
      <c r="W44">
        <v>0.46411159267211755</v>
      </c>
      <c r="X44">
        <v>0.44291902064141236</v>
      </c>
      <c r="Y44">
        <v>0.40761562813834279</v>
      </c>
      <c r="Z44">
        <v>0.40257657964504434</v>
      </c>
      <c r="AA44">
        <v>0.43073190944915585</v>
      </c>
      <c r="CE44" t="s">
        <v>774</v>
      </c>
      <c r="CF44">
        <v>0.25674728953141751</v>
      </c>
      <c r="CG44">
        <v>0.24636439624489925</v>
      </c>
      <c r="CH44">
        <v>0.23801561386673914</v>
      </c>
      <c r="CI44">
        <v>0.22458279461542807</v>
      </c>
      <c r="CJ44">
        <v>0.23151695261168309</v>
      </c>
      <c r="CK44">
        <v>0.2509353863447818</v>
      </c>
      <c r="CL44">
        <v>0.25081201360166155</v>
      </c>
      <c r="CM44">
        <v>0.22171582797896514</v>
      </c>
      <c r="CN44">
        <v>0.21915823522640168</v>
      </c>
      <c r="CO44">
        <v>0.29692763733736133</v>
      </c>
      <c r="CP44">
        <v>0.3714235186408561</v>
      </c>
      <c r="CQ44">
        <v>0.35005487646748457</v>
      </c>
      <c r="CR44">
        <v>8.9128380925824965E-2</v>
      </c>
      <c r="CS44">
        <v>8.0481602555761325E-2</v>
      </c>
      <c r="CT44">
        <v>8.0925367667625689E-2</v>
      </c>
      <c r="CU44">
        <v>0.11893553116812819</v>
      </c>
      <c r="CV44">
        <v>0.12358308293171862</v>
      </c>
      <c r="CW44">
        <v>9.7991390262427189E-2</v>
      </c>
      <c r="CX44">
        <v>0.24183259282990122</v>
      </c>
      <c r="CY44">
        <v>0.23416280391590041</v>
      </c>
      <c r="CZ44">
        <v>0.21913292804442258</v>
      </c>
      <c r="DA44">
        <v>0.20831133849004752</v>
      </c>
      <c r="DB44">
        <v>0.2307231634808469</v>
      </c>
      <c r="DC44">
        <v>0.25251282297755556</v>
      </c>
      <c r="DE44" t="s">
        <v>775</v>
      </c>
      <c r="DF44" t="s">
        <v>111</v>
      </c>
      <c r="DG44" t="s">
        <v>112</v>
      </c>
      <c r="DH44">
        <v>0.41901643706948188</v>
      </c>
    </row>
    <row r="45" spans="2:112" x14ac:dyDescent="0.45">
      <c r="B45" t="s">
        <v>776</v>
      </c>
      <c r="C45" t="s">
        <v>107</v>
      </c>
      <c r="D45">
        <v>0.32391626007329044</v>
      </c>
      <c r="E45">
        <v>0.35200816918540495</v>
      </c>
      <c r="F45">
        <v>0.34635834215319783</v>
      </c>
      <c r="G45">
        <v>0.35438171330807394</v>
      </c>
      <c r="H45">
        <v>0.38258956210238881</v>
      </c>
      <c r="I45">
        <v>0.36333727749386696</v>
      </c>
      <c r="J45">
        <v>0.34699284086333232</v>
      </c>
      <c r="K45">
        <v>0.35069775793999891</v>
      </c>
      <c r="L45">
        <v>0.35155158563354932</v>
      </c>
      <c r="M45">
        <v>0.3600657998638776</v>
      </c>
      <c r="N45">
        <v>0.36806172883592969</v>
      </c>
      <c r="O45">
        <v>0.36608873612796333</v>
      </c>
      <c r="P45">
        <v>0.45122386316934748</v>
      </c>
      <c r="Q45">
        <v>0.46128196420878065</v>
      </c>
      <c r="R45">
        <v>0.46630468645689765</v>
      </c>
      <c r="S45">
        <v>0.46350419384842995</v>
      </c>
      <c r="T45">
        <v>0.46622790418942195</v>
      </c>
      <c r="U45">
        <v>0.45556126076693865</v>
      </c>
      <c r="V45">
        <v>0.38405195605346742</v>
      </c>
      <c r="W45">
        <v>0.39477881830616829</v>
      </c>
      <c r="X45">
        <v>0.4131071103224197</v>
      </c>
      <c r="Y45">
        <v>0.39446255396920771</v>
      </c>
      <c r="Z45">
        <v>0.38476487916071933</v>
      </c>
      <c r="AA45">
        <v>0.38429996238268221</v>
      </c>
      <c r="CE45" t="s">
        <v>776</v>
      </c>
      <c r="CF45">
        <v>0.48275038113100804</v>
      </c>
      <c r="CG45">
        <v>0.45531814576824725</v>
      </c>
      <c r="CH45">
        <v>0.45892085297056429</v>
      </c>
      <c r="CI45">
        <v>0.46838647392430871</v>
      </c>
      <c r="CJ45">
        <v>0.44801032487788123</v>
      </c>
      <c r="CK45">
        <v>0.45039882585654195</v>
      </c>
      <c r="CL45">
        <v>0.41393433809644858</v>
      </c>
      <c r="CM45">
        <v>0.43313443742755775</v>
      </c>
      <c r="CN45">
        <v>0.41776220359193689</v>
      </c>
      <c r="CO45">
        <v>0.39242227429906074</v>
      </c>
      <c r="CP45">
        <v>0.37819792732563295</v>
      </c>
      <c r="CQ45">
        <v>0.3816090387183137</v>
      </c>
      <c r="CR45">
        <v>0.17411543213783354</v>
      </c>
      <c r="CS45">
        <v>0.22232427585581724</v>
      </c>
      <c r="CT45">
        <v>0.21714729054121301</v>
      </c>
      <c r="CU45">
        <v>0.19141963250379859</v>
      </c>
      <c r="CV45">
        <v>0.15585855137644142</v>
      </c>
      <c r="CW45">
        <v>0.1472463361423981</v>
      </c>
      <c r="CX45">
        <v>0.38723743116662573</v>
      </c>
      <c r="CY45">
        <v>0.40324551870486941</v>
      </c>
      <c r="CZ45">
        <v>0.39815595360961636</v>
      </c>
      <c r="DA45">
        <v>0.39371696772174086</v>
      </c>
      <c r="DB45">
        <v>0.38669699476851649</v>
      </c>
      <c r="DC45">
        <v>0.37410454870401061</v>
      </c>
      <c r="DE45" t="s">
        <v>777</v>
      </c>
      <c r="DF45" t="s">
        <v>111</v>
      </c>
      <c r="DG45" t="s">
        <v>112</v>
      </c>
      <c r="DH45">
        <v>0.18129150765255397</v>
      </c>
    </row>
    <row r="46" spans="2:112" x14ac:dyDescent="0.45">
      <c r="B46" t="s">
        <v>778</v>
      </c>
      <c r="C46" t="s">
        <v>107</v>
      </c>
      <c r="D46">
        <v>0.40824488565347239</v>
      </c>
      <c r="E46">
        <v>0.41472880256437372</v>
      </c>
      <c r="F46">
        <v>0.40540094329087822</v>
      </c>
      <c r="G46">
        <v>0.41235729815043248</v>
      </c>
      <c r="H46">
        <v>0.42955560587102382</v>
      </c>
      <c r="I46">
        <v>0.41200471034117075</v>
      </c>
      <c r="J46">
        <v>0.38897891795501172</v>
      </c>
      <c r="K46">
        <v>0.40375579678958595</v>
      </c>
      <c r="L46">
        <v>0.38388965363546879</v>
      </c>
      <c r="M46">
        <v>0.38996146545549265</v>
      </c>
      <c r="N46">
        <v>0.38091231284288041</v>
      </c>
      <c r="O46">
        <v>0.38185637617912799</v>
      </c>
      <c r="P46">
        <v>0.45012692493545564</v>
      </c>
      <c r="Q46">
        <v>0.49727150700840078</v>
      </c>
      <c r="R46">
        <v>0.48114917679212649</v>
      </c>
      <c r="S46">
        <v>0.4071374368734787</v>
      </c>
      <c r="T46">
        <v>0.34717876826939142</v>
      </c>
      <c r="U46">
        <v>0.38840930810928093</v>
      </c>
      <c r="V46">
        <v>0.43156845222908624</v>
      </c>
      <c r="W46">
        <v>0.42754364330911082</v>
      </c>
      <c r="X46">
        <v>0.44328157394295348</v>
      </c>
      <c r="Y46">
        <v>0.42822775150447084</v>
      </c>
      <c r="Z46">
        <v>0.41808221345842239</v>
      </c>
      <c r="AA46">
        <v>0.40915298456118959</v>
      </c>
      <c r="CE46" t="s">
        <v>778</v>
      </c>
      <c r="CF46">
        <v>0.38486160863436475</v>
      </c>
      <c r="CG46">
        <v>0.38023067825028817</v>
      </c>
      <c r="CH46">
        <v>0.39425172603953029</v>
      </c>
      <c r="CI46">
        <v>0.39267928960632059</v>
      </c>
      <c r="CJ46">
        <v>0.3633891509636672</v>
      </c>
      <c r="CK46">
        <v>0.35786483926637924</v>
      </c>
      <c r="CL46">
        <v>0.35232915366583129</v>
      </c>
      <c r="CM46">
        <v>0.33492707967662638</v>
      </c>
      <c r="CN46">
        <v>0.32171572339454652</v>
      </c>
      <c r="CO46">
        <v>0.33154449222963234</v>
      </c>
      <c r="CP46">
        <v>0.34273133313964704</v>
      </c>
      <c r="CQ46">
        <v>0.34367537467803122</v>
      </c>
      <c r="CR46">
        <v>0.10910786881338923</v>
      </c>
      <c r="CS46">
        <v>0.13693124750415003</v>
      </c>
      <c r="CT46">
        <v>0.1423405418993384</v>
      </c>
      <c r="CU46">
        <v>0.1481104546090786</v>
      </c>
      <c r="CV46">
        <v>0.13728305797568466</v>
      </c>
      <c r="CW46">
        <v>0.11949926420458326</v>
      </c>
      <c r="CX46">
        <v>0.30600027562259469</v>
      </c>
      <c r="CY46">
        <v>0.31871482239199678</v>
      </c>
      <c r="CZ46">
        <v>0.32116800088636765</v>
      </c>
      <c r="DA46">
        <v>0.3185208657686997</v>
      </c>
      <c r="DB46">
        <v>0.31301699285231449</v>
      </c>
      <c r="DC46">
        <v>0.31084433220931101</v>
      </c>
      <c r="DE46" t="s">
        <v>779</v>
      </c>
      <c r="DF46" t="s">
        <v>111</v>
      </c>
      <c r="DG46" t="s">
        <v>112</v>
      </c>
      <c r="DH46">
        <v>0.24905586735369628</v>
      </c>
    </row>
    <row r="47" spans="2:112" x14ac:dyDescent="0.45">
      <c r="B47" t="s">
        <v>780</v>
      </c>
      <c r="C47" t="s">
        <v>107</v>
      </c>
      <c r="D47">
        <v>0.31721866973334256</v>
      </c>
      <c r="E47">
        <v>0.33325655757516065</v>
      </c>
      <c r="F47">
        <v>0.34493954881448002</v>
      </c>
      <c r="G47">
        <v>0.3333508856588282</v>
      </c>
      <c r="H47">
        <v>0.31328730287671175</v>
      </c>
      <c r="I47">
        <v>0.30702982632562775</v>
      </c>
      <c r="J47">
        <v>0.35610385563907249</v>
      </c>
      <c r="K47">
        <v>0.36169649995608572</v>
      </c>
      <c r="L47">
        <v>0.34690154952527541</v>
      </c>
      <c r="M47">
        <v>0.33065222700160113</v>
      </c>
      <c r="N47">
        <v>0.32289855208450685</v>
      </c>
      <c r="O47">
        <v>0.32916373932708681</v>
      </c>
      <c r="P47">
        <v>0.4166676287617383</v>
      </c>
      <c r="Q47">
        <v>0.41275158971181475</v>
      </c>
      <c r="R47">
        <v>0.41043061934329145</v>
      </c>
      <c r="S47">
        <v>0.39412066042477811</v>
      </c>
      <c r="T47">
        <v>0.39320266088052219</v>
      </c>
      <c r="U47">
        <v>0.41475018755203913</v>
      </c>
      <c r="V47">
        <v>0.41782531375798365</v>
      </c>
      <c r="W47">
        <v>0.42485972658040216</v>
      </c>
      <c r="X47">
        <v>0.41543513615491579</v>
      </c>
      <c r="Y47">
        <v>0.39012418705088364</v>
      </c>
      <c r="Z47">
        <v>0.38875323716754023</v>
      </c>
      <c r="AA47">
        <v>0.40306613659061052</v>
      </c>
      <c r="CE47" t="s">
        <v>780</v>
      </c>
      <c r="CF47">
        <v>0.44204642177607878</v>
      </c>
      <c r="CG47">
        <v>0.43045083405403201</v>
      </c>
      <c r="CH47">
        <v>0.42021284896105549</v>
      </c>
      <c r="CI47">
        <v>0.44049928811861627</v>
      </c>
      <c r="CJ47">
        <v>0.47582259515354836</v>
      </c>
      <c r="CK47">
        <v>0.46959614791484805</v>
      </c>
      <c r="CL47">
        <v>0.45373172263175432</v>
      </c>
      <c r="CM47">
        <v>0.41454381241978078</v>
      </c>
      <c r="CN47">
        <v>0.41859122459671683</v>
      </c>
      <c r="CO47">
        <v>0.4606510652477801</v>
      </c>
      <c r="CP47">
        <v>0.485874570221208</v>
      </c>
      <c r="CQ47">
        <v>0.4849610441266291</v>
      </c>
      <c r="CR47">
        <v>0.28443242358733245</v>
      </c>
      <c r="CS47">
        <v>0.28150399711760593</v>
      </c>
      <c r="CT47">
        <v>0.30698659760987862</v>
      </c>
      <c r="CU47">
        <v>0.34102738569417157</v>
      </c>
      <c r="CV47">
        <v>0.34356590963218314</v>
      </c>
      <c r="CW47">
        <v>0.32267353979324159</v>
      </c>
      <c r="CX47">
        <v>0.27434699168635163</v>
      </c>
      <c r="CY47">
        <v>0.26445965270547434</v>
      </c>
      <c r="CZ47">
        <v>0.2581240347360691</v>
      </c>
      <c r="DA47">
        <v>0.28411502894299673</v>
      </c>
      <c r="DB47">
        <v>0.31413500274811962</v>
      </c>
      <c r="DC47">
        <v>0.30340323096002159</v>
      </c>
      <c r="DE47" t="s">
        <v>781</v>
      </c>
      <c r="DF47" t="s">
        <v>111</v>
      </c>
      <c r="DG47" t="s">
        <v>112</v>
      </c>
      <c r="DH47">
        <v>0.27820672534529134</v>
      </c>
    </row>
    <row r="48" spans="2:112" x14ac:dyDescent="0.45">
      <c r="B48" t="s">
        <v>782</v>
      </c>
      <c r="C48" t="s">
        <v>107</v>
      </c>
      <c r="D48">
        <v>0.30497699109167153</v>
      </c>
      <c r="E48">
        <v>0.31810281581881555</v>
      </c>
      <c r="F48">
        <v>0.32803983088449601</v>
      </c>
      <c r="G48">
        <v>0.32147511497678871</v>
      </c>
      <c r="H48">
        <v>0.30115020036998941</v>
      </c>
      <c r="I48">
        <v>0.2904036269568735</v>
      </c>
      <c r="J48">
        <v>0.33777715229870309</v>
      </c>
      <c r="K48">
        <v>0.34237169642351001</v>
      </c>
      <c r="L48">
        <v>0.32962763999072137</v>
      </c>
      <c r="M48">
        <v>0.31884581861534655</v>
      </c>
      <c r="N48">
        <v>0.32247516289354572</v>
      </c>
      <c r="O48">
        <v>0.3199989461099188</v>
      </c>
      <c r="P48">
        <v>0.39703602136815225</v>
      </c>
      <c r="Q48">
        <v>0.38990107523440848</v>
      </c>
      <c r="R48">
        <v>0.38548509052568986</v>
      </c>
      <c r="S48">
        <v>0.39853073486173374</v>
      </c>
      <c r="T48">
        <v>0.42923121393338548</v>
      </c>
      <c r="U48">
        <v>0.43203766552716988</v>
      </c>
      <c r="V48">
        <v>0.39497959930446946</v>
      </c>
      <c r="W48">
        <v>0.41063471740910784</v>
      </c>
      <c r="X48">
        <v>0.41855419636117458</v>
      </c>
      <c r="Y48">
        <v>0.40492038088895127</v>
      </c>
      <c r="Z48">
        <v>0.39399179285953478</v>
      </c>
      <c r="AA48">
        <v>0.39321831429960863</v>
      </c>
      <c r="CE48" t="s">
        <v>782</v>
      </c>
      <c r="CF48">
        <v>0.46879899195733304</v>
      </c>
      <c r="CG48">
        <v>0.44655313985164241</v>
      </c>
      <c r="CH48">
        <v>0.43270251408998206</v>
      </c>
      <c r="CI48">
        <v>0.46006015755680091</v>
      </c>
      <c r="CJ48">
        <v>0.48768753504138079</v>
      </c>
      <c r="CK48">
        <v>0.49239457426934358</v>
      </c>
      <c r="CL48">
        <v>0.42364704205816456</v>
      </c>
      <c r="CM48">
        <v>0.38358107505627898</v>
      </c>
      <c r="CN48">
        <v>0.38744423584706417</v>
      </c>
      <c r="CO48">
        <v>0.43998959404252708</v>
      </c>
      <c r="CP48">
        <v>0.46876991743070034</v>
      </c>
      <c r="CQ48">
        <v>0.46885394200924135</v>
      </c>
      <c r="CR48">
        <v>0.25475385317071741</v>
      </c>
      <c r="CS48">
        <v>0.26385628985145293</v>
      </c>
      <c r="CT48">
        <v>0.27925807054131702</v>
      </c>
      <c r="CU48">
        <v>0.2834570338147348</v>
      </c>
      <c r="CV48">
        <v>0.27152582919221802</v>
      </c>
      <c r="CW48">
        <v>0.26300617617006783</v>
      </c>
      <c r="CX48">
        <v>0.27668897577810408</v>
      </c>
      <c r="CY48">
        <v>0.26702989001673011</v>
      </c>
      <c r="CZ48">
        <v>0.26892952395061809</v>
      </c>
      <c r="DA48">
        <v>0.28157865170140473</v>
      </c>
      <c r="DB48">
        <v>0.29503234210087237</v>
      </c>
      <c r="DC48">
        <v>0.30311169093957124</v>
      </c>
      <c r="DE48" t="s">
        <v>783</v>
      </c>
      <c r="DF48" t="s">
        <v>111</v>
      </c>
      <c r="DG48" t="s">
        <v>112</v>
      </c>
      <c r="DH48">
        <v>0.19595255321634156</v>
      </c>
    </row>
    <row r="49" spans="2:112" x14ac:dyDescent="0.45">
      <c r="B49" t="s">
        <v>784</v>
      </c>
      <c r="C49" t="s">
        <v>107</v>
      </c>
      <c r="D49">
        <v>0.37439649206979536</v>
      </c>
      <c r="E49">
        <v>0.35373524481201302</v>
      </c>
      <c r="F49">
        <v>0.40475205573070483</v>
      </c>
      <c r="G49">
        <v>0.47242832721596123</v>
      </c>
      <c r="H49">
        <v>0.47791824364721258</v>
      </c>
      <c r="I49">
        <v>0.42690643705255288</v>
      </c>
      <c r="J49">
        <v>0.33232474322321975</v>
      </c>
      <c r="K49">
        <v>0.36275119805051015</v>
      </c>
      <c r="L49">
        <v>0.45801015211150697</v>
      </c>
      <c r="M49">
        <v>0.4498395550816236</v>
      </c>
      <c r="N49">
        <v>0.35061794445873856</v>
      </c>
      <c r="O49">
        <v>0.30740535786231205</v>
      </c>
      <c r="P49">
        <v>0.40402803553475525</v>
      </c>
      <c r="Q49">
        <v>0.4416144678491144</v>
      </c>
      <c r="R49">
        <v>0.45204389878365153</v>
      </c>
      <c r="S49">
        <v>0.39923434003591485</v>
      </c>
      <c r="T49">
        <v>0.28468175596448297</v>
      </c>
      <c r="U49">
        <v>0.24793125747009492</v>
      </c>
      <c r="V49">
        <v>0.3888985256403476</v>
      </c>
      <c r="W49">
        <v>0.42160613152390558</v>
      </c>
      <c r="X49">
        <v>0.46982085521945638</v>
      </c>
      <c r="Y49">
        <v>0.45345024018228897</v>
      </c>
      <c r="Z49">
        <v>0.35775633973927246</v>
      </c>
      <c r="AA49">
        <v>0.31705430253508377</v>
      </c>
      <c r="CE49" t="s">
        <v>784</v>
      </c>
      <c r="CF49">
        <v>0.33014325755886148</v>
      </c>
      <c r="CG49">
        <v>0.32562870546170242</v>
      </c>
      <c r="CH49">
        <v>0.28531948620970515</v>
      </c>
      <c r="CI49">
        <v>0.25072405437273643</v>
      </c>
      <c r="CJ49">
        <v>0.26116962671146376</v>
      </c>
      <c r="CK49">
        <v>0.30275446069221368</v>
      </c>
      <c r="CL49">
        <v>0.37259540458141382</v>
      </c>
      <c r="CM49">
        <v>0.31085356610651782</v>
      </c>
      <c r="CN49">
        <v>0.25196708961102493</v>
      </c>
      <c r="CO49">
        <v>0.3064564460399567</v>
      </c>
      <c r="CP49">
        <v>0.41584683907971182</v>
      </c>
      <c r="CQ49">
        <v>0.42128033366529105</v>
      </c>
      <c r="CR49">
        <v>0.24033187294485686</v>
      </c>
      <c r="CS49">
        <v>0.16290073166247057</v>
      </c>
      <c r="CT49">
        <v>7.5921079848147166E-2</v>
      </c>
      <c r="CU49">
        <v>0.10619761960046455</v>
      </c>
      <c r="CV49">
        <v>0.2493497757870578</v>
      </c>
      <c r="CW49">
        <v>0.29953488841803794</v>
      </c>
      <c r="CX49">
        <v>0.22721010511399919</v>
      </c>
      <c r="CY49">
        <v>0.21050742744513787</v>
      </c>
      <c r="CZ49">
        <v>0.186770435294939</v>
      </c>
      <c r="DA49">
        <v>0.16781733485931624</v>
      </c>
      <c r="DB49">
        <v>0.19136444075994141</v>
      </c>
      <c r="DC49">
        <v>0.23020203136684358</v>
      </c>
      <c r="DE49" t="s">
        <v>785</v>
      </c>
      <c r="DF49" t="s">
        <v>111</v>
      </c>
      <c r="DG49" t="s">
        <v>112</v>
      </c>
      <c r="DH49">
        <v>0.25031548828755851</v>
      </c>
    </row>
    <row r="50" spans="2:112" x14ac:dyDescent="0.45">
      <c r="B50" t="s">
        <v>786</v>
      </c>
      <c r="C50" t="s">
        <v>107</v>
      </c>
      <c r="D50">
        <v>0.3321983523688114</v>
      </c>
      <c r="E50">
        <v>0.33069747350867534</v>
      </c>
      <c r="F50">
        <v>0.37233800333107225</v>
      </c>
      <c r="G50">
        <v>0.38714774936745189</v>
      </c>
      <c r="H50">
        <v>0.37284517255984584</v>
      </c>
      <c r="I50">
        <v>0.34324156112773857</v>
      </c>
      <c r="J50">
        <v>0.29098371796918321</v>
      </c>
      <c r="K50">
        <v>0.31210879883123732</v>
      </c>
      <c r="L50">
        <v>0.36473441265193191</v>
      </c>
      <c r="M50">
        <v>0.36430113550671545</v>
      </c>
      <c r="N50">
        <v>0.31395946910303602</v>
      </c>
      <c r="O50">
        <v>0.27765414420175</v>
      </c>
      <c r="P50">
        <v>0.31318658550870082</v>
      </c>
      <c r="Q50">
        <v>0.37527937653295584</v>
      </c>
      <c r="R50">
        <v>0.43387536616609312</v>
      </c>
      <c r="S50">
        <v>0.41016147678564246</v>
      </c>
      <c r="T50">
        <v>0.31434070382726798</v>
      </c>
      <c r="U50">
        <v>0.25857700139092438</v>
      </c>
      <c r="V50">
        <v>0.34164146027446746</v>
      </c>
      <c r="W50">
        <v>0.36520724695747053</v>
      </c>
      <c r="X50">
        <v>0.39225858823096388</v>
      </c>
      <c r="Y50">
        <v>0.36500170662216697</v>
      </c>
      <c r="Z50">
        <v>0.31460741718583102</v>
      </c>
      <c r="AA50">
        <v>0.31434302415374926</v>
      </c>
      <c r="CE50" t="s">
        <v>786</v>
      </c>
      <c r="CF50">
        <v>0.44214258375060322</v>
      </c>
      <c r="CG50">
        <v>0.42812321275895787</v>
      </c>
      <c r="CH50">
        <v>0.39533976405632865</v>
      </c>
      <c r="CI50">
        <v>0.38393331362904731</v>
      </c>
      <c r="CJ50">
        <v>0.41023873785894305</v>
      </c>
      <c r="CK50">
        <v>0.44526417083272007</v>
      </c>
      <c r="CL50">
        <v>0.43764889156591302</v>
      </c>
      <c r="CM50">
        <v>0.40248638099264861</v>
      </c>
      <c r="CN50">
        <v>0.36738374464904555</v>
      </c>
      <c r="CO50">
        <v>0.39176196665685853</v>
      </c>
      <c r="CP50">
        <v>0.44504516927513738</v>
      </c>
      <c r="CQ50">
        <v>0.46939947418311057</v>
      </c>
      <c r="CR50">
        <v>0.40797626291107314</v>
      </c>
      <c r="CS50">
        <v>0.37468070332369124</v>
      </c>
      <c r="CT50">
        <v>0.3140609528979259</v>
      </c>
      <c r="CU50">
        <v>0.31105533037440192</v>
      </c>
      <c r="CV50">
        <v>0.38359852805753875</v>
      </c>
      <c r="CW50">
        <v>0.44176281478073021</v>
      </c>
      <c r="CX50">
        <v>0.35222335481466915</v>
      </c>
      <c r="CY50">
        <v>0.33157094238620938</v>
      </c>
      <c r="CZ50">
        <v>0.30393323772434439</v>
      </c>
      <c r="DA50">
        <v>0.30041802424884945</v>
      </c>
      <c r="DB50">
        <v>0.32794088171920982</v>
      </c>
      <c r="DC50">
        <v>0.35565281053214642</v>
      </c>
      <c r="DE50" t="s">
        <v>787</v>
      </c>
      <c r="DF50" t="s">
        <v>111</v>
      </c>
      <c r="DG50" t="s">
        <v>112</v>
      </c>
      <c r="DH50">
        <v>0.29765960578942902</v>
      </c>
    </row>
    <row r="51" spans="2:112" x14ac:dyDescent="0.45">
      <c r="B51" t="s">
        <v>788</v>
      </c>
      <c r="C51" t="s">
        <v>107</v>
      </c>
      <c r="D51">
        <v>0.29509059841298968</v>
      </c>
      <c r="E51">
        <v>0.33657273104326052</v>
      </c>
      <c r="F51">
        <v>0.36796260511316226</v>
      </c>
      <c r="G51">
        <v>0.34776366412644705</v>
      </c>
      <c r="H51">
        <v>0.29915362653028693</v>
      </c>
      <c r="I51">
        <v>0.27979840150502228</v>
      </c>
      <c r="J51">
        <v>0.26314461484635093</v>
      </c>
      <c r="K51">
        <v>0.27711913140926814</v>
      </c>
      <c r="L51">
        <v>0.28298431180608025</v>
      </c>
      <c r="M51">
        <v>0.25479143473462662</v>
      </c>
      <c r="N51">
        <v>0.2431815276171635</v>
      </c>
      <c r="O51">
        <v>0.25124934746958605</v>
      </c>
      <c r="P51">
        <v>0.39178327186308382</v>
      </c>
      <c r="Q51">
        <v>0.39123762204657103</v>
      </c>
      <c r="R51">
        <v>0.40189337908109246</v>
      </c>
      <c r="S51">
        <v>0.36998854239079326</v>
      </c>
      <c r="T51">
        <v>0.34377086837268855</v>
      </c>
      <c r="U51">
        <v>0.35625766344113147</v>
      </c>
      <c r="V51">
        <v>0.27066430991547469</v>
      </c>
      <c r="W51">
        <v>0.30153805608126438</v>
      </c>
      <c r="X51">
        <v>0.3218232406660852</v>
      </c>
      <c r="Y51">
        <v>0.29947190307352611</v>
      </c>
      <c r="Z51">
        <v>0.26520641012965868</v>
      </c>
      <c r="AA51">
        <v>0.24168462823013814</v>
      </c>
      <c r="CE51" t="s">
        <v>788</v>
      </c>
      <c r="CF51">
        <v>0.50613133503919538</v>
      </c>
      <c r="CG51">
        <v>0.46547497241062985</v>
      </c>
      <c r="CH51">
        <v>0.45090591198738478</v>
      </c>
      <c r="CI51">
        <v>0.49356885720913635</v>
      </c>
      <c r="CJ51">
        <v>0.52749349012412772</v>
      </c>
      <c r="CK51">
        <v>0.52581698905600494</v>
      </c>
      <c r="CL51">
        <v>0.5562291273649379</v>
      </c>
      <c r="CM51">
        <v>0.50597715529890286</v>
      </c>
      <c r="CN51">
        <v>0.48328484431470464</v>
      </c>
      <c r="CO51">
        <v>0.54710060563700369</v>
      </c>
      <c r="CP51">
        <v>0.61154957564358881</v>
      </c>
      <c r="CQ51">
        <v>0.60348747720086526</v>
      </c>
      <c r="CR51">
        <v>0.39342408478152568</v>
      </c>
      <c r="CS51">
        <v>0.32378793580799736</v>
      </c>
      <c r="CT51">
        <v>0.28998237601195931</v>
      </c>
      <c r="CU51">
        <v>0.35146494975377679</v>
      </c>
      <c r="CV51">
        <v>0.43462819267691372</v>
      </c>
      <c r="CW51">
        <v>0.4653093783410544</v>
      </c>
      <c r="CX51">
        <v>0.51819973132236585</v>
      </c>
      <c r="CY51">
        <v>0.47322027298001446</v>
      </c>
      <c r="CZ51">
        <v>0.45768360087448018</v>
      </c>
      <c r="DA51">
        <v>0.49314374754104978</v>
      </c>
      <c r="DB51">
        <v>0.53776911108326075</v>
      </c>
      <c r="DC51">
        <v>0.56749191565207802</v>
      </c>
      <c r="DE51" t="s">
        <v>789</v>
      </c>
      <c r="DF51" t="s">
        <v>111</v>
      </c>
      <c r="DG51" t="s">
        <v>112</v>
      </c>
      <c r="DH51">
        <v>0.28441342675895365</v>
      </c>
    </row>
    <row r="52" spans="2:112" x14ac:dyDescent="0.45">
      <c r="B52" t="s">
        <v>790</v>
      </c>
      <c r="C52" t="s">
        <v>107</v>
      </c>
      <c r="D52">
        <v>0.30214547974687089</v>
      </c>
      <c r="E52">
        <v>0.31059178846530244</v>
      </c>
      <c r="F52">
        <v>0.33236129435262124</v>
      </c>
      <c r="G52">
        <v>0.34248250530428759</v>
      </c>
      <c r="H52">
        <v>0.32186142122729056</v>
      </c>
      <c r="I52">
        <v>0.3194610864001563</v>
      </c>
      <c r="J52">
        <v>0.32971586878962084</v>
      </c>
      <c r="K52">
        <v>0.32387104308719938</v>
      </c>
      <c r="L52">
        <v>0.32443627407680831</v>
      </c>
      <c r="M52">
        <v>0.30946333642955881</v>
      </c>
      <c r="N52">
        <v>0.29986067460564836</v>
      </c>
      <c r="O52">
        <v>0.31994903175056816</v>
      </c>
      <c r="P52">
        <v>0.33877547466149577</v>
      </c>
      <c r="Q52">
        <v>0.34288396566296869</v>
      </c>
      <c r="R52">
        <v>0.36257475513438242</v>
      </c>
      <c r="S52">
        <v>0.31729448942474364</v>
      </c>
      <c r="T52">
        <v>0.28948542601829846</v>
      </c>
      <c r="U52">
        <v>0.3166390170163022</v>
      </c>
      <c r="V52">
        <v>0.3505327502059985</v>
      </c>
      <c r="W52">
        <v>0.33110305397800321</v>
      </c>
      <c r="X52">
        <v>0.32144657428345602</v>
      </c>
      <c r="Y52">
        <v>0.32602313733391353</v>
      </c>
      <c r="Z52">
        <v>0.32788456737580823</v>
      </c>
      <c r="AA52">
        <v>0.34337746214541404</v>
      </c>
      <c r="CE52" t="s">
        <v>790</v>
      </c>
      <c r="CF52">
        <v>0.48077578602301629</v>
      </c>
      <c r="CG52">
        <v>0.46784768307973484</v>
      </c>
      <c r="CH52">
        <v>0.44932885132692391</v>
      </c>
      <c r="CI52">
        <v>0.45853249739905327</v>
      </c>
      <c r="CJ52">
        <v>0.47672542006677371</v>
      </c>
      <c r="CK52">
        <v>0.47274806382177625</v>
      </c>
      <c r="CL52">
        <v>0.36877964257462176</v>
      </c>
      <c r="CM52">
        <v>0.37524664160426402</v>
      </c>
      <c r="CN52">
        <v>0.36789271860222494</v>
      </c>
      <c r="CO52">
        <v>0.37639022727895238</v>
      </c>
      <c r="CP52">
        <v>0.38339802963258246</v>
      </c>
      <c r="CQ52">
        <v>0.3641094768993588</v>
      </c>
      <c r="CR52">
        <v>0.27810566639508322</v>
      </c>
      <c r="CS52">
        <v>0.25245299317858444</v>
      </c>
      <c r="CT52">
        <v>0.25640285161372078</v>
      </c>
      <c r="CU52">
        <v>0.30491025794075394</v>
      </c>
      <c r="CV52">
        <v>0.34946311571002842</v>
      </c>
      <c r="CW52">
        <v>0.32703009231082136</v>
      </c>
      <c r="CX52">
        <v>0.36612840995278811</v>
      </c>
      <c r="CY52">
        <v>0.39107810211189753</v>
      </c>
      <c r="CZ52">
        <v>0.39099227396649777</v>
      </c>
      <c r="DA52">
        <v>0.39443627080090737</v>
      </c>
      <c r="DB52">
        <v>0.39407644227739547</v>
      </c>
      <c r="DC52">
        <v>0.38246572709177917</v>
      </c>
      <c r="DE52" t="s">
        <v>791</v>
      </c>
      <c r="DF52" t="s">
        <v>111</v>
      </c>
      <c r="DG52" t="s">
        <v>112</v>
      </c>
      <c r="DH52">
        <v>0.1887162199979513</v>
      </c>
    </row>
    <row r="53" spans="2:112" x14ac:dyDescent="0.45">
      <c r="B53" t="s">
        <v>792</v>
      </c>
      <c r="C53" t="s">
        <v>107</v>
      </c>
      <c r="D53">
        <v>0.23446857181402772</v>
      </c>
      <c r="E53">
        <v>0.27445134765222956</v>
      </c>
      <c r="F53">
        <v>0.28219886471441646</v>
      </c>
      <c r="G53">
        <v>0.26116798115227779</v>
      </c>
      <c r="H53">
        <v>0.24687951892574736</v>
      </c>
      <c r="I53">
        <v>0.23104751292781087</v>
      </c>
      <c r="J53">
        <v>0.23587612742488256</v>
      </c>
      <c r="K53">
        <v>0.24229757760789039</v>
      </c>
      <c r="L53">
        <v>0.24278873759139361</v>
      </c>
      <c r="M53">
        <v>0.23017111735152804</v>
      </c>
      <c r="N53">
        <v>0.20989185714977435</v>
      </c>
      <c r="O53">
        <v>0.2156860388503595</v>
      </c>
      <c r="P53">
        <v>0.30464308407169072</v>
      </c>
      <c r="Q53">
        <v>0.2851037399134384</v>
      </c>
      <c r="R53">
        <v>0.27605963751911711</v>
      </c>
      <c r="S53">
        <v>0.26045258238319408</v>
      </c>
      <c r="T53">
        <v>0.25107714833242611</v>
      </c>
      <c r="U53">
        <v>0.26589225875681516</v>
      </c>
      <c r="V53">
        <v>0.25228264585281007</v>
      </c>
      <c r="W53">
        <v>0.2444641628809951</v>
      </c>
      <c r="X53">
        <v>0.2487791168574976</v>
      </c>
      <c r="Y53">
        <v>0.24557086497674882</v>
      </c>
      <c r="Z53">
        <v>0.24423174965042269</v>
      </c>
      <c r="AA53">
        <v>0.25158602982054035</v>
      </c>
      <c r="CE53" t="s">
        <v>792</v>
      </c>
      <c r="CF53">
        <v>0.5988166109198152</v>
      </c>
      <c r="CG53">
        <v>0.55071645249210754</v>
      </c>
      <c r="CH53">
        <v>0.54030486188404625</v>
      </c>
      <c r="CI53">
        <v>0.57669834257330876</v>
      </c>
      <c r="CJ53">
        <v>0.60211963158212201</v>
      </c>
      <c r="CK53">
        <v>0.60535459091925192</v>
      </c>
      <c r="CL53">
        <v>0.5560600725016368</v>
      </c>
      <c r="CM53">
        <v>0.53755953817489122</v>
      </c>
      <c r="CN53">
        <v>0.51961397040418555</v>
      </c>
      <c r="CO53">
        <v>0.53199912737518862</v>
      </c>
      <c r="CP53">
        <v>0.57425271064277039</v>
      </c>
      <c r="CQ53">
        <v>0.58242655396797738</v>
      </c>
      <c r="CR53">
        <v>0.49928208156407938</v>
      </c>
      <c r="CS53">
        <v>0.48773742365761413</v>
      </c>
      <c r="CT53">
        <v>0.49253138119041856</v>
      </c>
      <c r="CU53">
        <v>0.53654019142621545</v>
      </c>
      <c r="CV53">
        <v>0.57030339754206938</v>
      </c>
      <c r="CW53">
        <v>0.55745897169965797</v>
      </c>
      <c r="CX53">
        <v>0.56609199209234518</v>
      </c>
      <c r="CY53">
        <v>0.56723539960944902</v>
      </c>
      <c r="CZ53">
        <v>0.55812805368447427</v>
      </c>
      <c r="DA53">
        <v>0.57465022818294387</v>
      </c>
      <c r="DB53">
        <v>0.58464534987722794</v>
      </c>
      <c r="DC53">
        <v>0.57081357084909989</v>
      </c>
      <c r="DE53" t="s">
        <v>793</v>
      </c>
      <c r="DF53" t="s">
        <v>111</v>
      </c>
      <c r="DG53" t="s">
        <v>112</v>
      </c>
      <c r="DH53">
        <v>0.22722496799711359</v>
      </c>
    </row>
    <row r="54" spans="2:112" x14ac:dyDescent="0.45">
      <c r="B54" t="s">
        <v>794</v>
      </c>
      <c r="C54" t="s">
        <v>107</v>
      </c>
      <c r="D54">
        <v>0.34674712725186263</v>
      </c>
      <c r="E54">
        <v>0.33044750743824131</v>
      </c>
      <c r="F54">
        <v>0.33888233330712647</v>
      </c>
      <c r="G54">
        <v>0.36763028788616514</v>
      </c>
      <c r="H54">
        <v>0.3501594440182153</v>
      </c>
      <c r="I54">
        <v>0.3425280340756332</v>
      </c>
      <c r="J54">
        <v>0.33090436626798414</v>
      </c>
      <c r="K54">
        <v>0.30977392927733283</v>
      </c>
      <c r="L54">
        <v>0.31431319406390085</v>
      </c>
      <c r="M54">
        <v>0.29403639078132154</v>
      </c>
      <c r="N54">
        <v>0.31088116577966862</v>
      </c>
      <c r="O54">
        <v>0.33868622698998901</v>
      </c>
      <c r="P54">
        <v>0.39441937100932128</v>
      </c>
      <c r="Q54">
        <v>0.40438270572892265</v>
      </c>
      <c r="R54">
        <v>0.41798376696700973</v>
      </c>
      <c r="S54">
        <v>0.38829768814521914</v>
      </c>
      <c r="T54">
        <v>0.35740455332308529</v>
      </c>
      <c r="U54">
        <v>0.36456489389037844</v>
      </c>
      <c r="V54">
        <v>0.3753915686660998</v>
      </c>
      <c r="W54">
        <v>0.36852936973426426</v>
      </c>
      <c r="X54">
        <v>0.33781810791534117</v>
      </c>
      <c r="Y54">
        <v>0.35831910123113764</v>
      </c>
      <c r="Z54">
        <v>0.36020310646783621</v>
      </c>
      <c r="AA54">
        <v>0.36916777064218664</v>
      </c>
      <c r="CE54" t="s">
        <v>794</v>
      </c>
      <c r="CF54">
        <v>0.4210231723590725</v>
      </c>
      <c r="CG54">
        <v>0.41563848878522125</v>
      </c>
      <c r="CH54">
        <v>0.38967171640421461</v>
      </c>
      <c r="CI54">
        <v>0.38253936973110297</v>
      </c>
      <c r="CJ54">
        <v>0.39574535040584247</v>
      </c>
      <c r="CK54">
        <v>0.40906588802888871</v>
      </c>
      <c r="CL54">
        <v>0.30626407705989878</v>
      </c>
      <c r="CM54">
        <v>0.3106241093136079</v>
      </c>
      <c r="CN54">
        <v>0.30933315355317254</v>
      </c>
      <c r="CO54">
        <v>0.32083120386179426</v>
      </c>
      <c r="CP54">
        <v>0.32388198772574994</v>
      </c>
      <c r="CQ54">
        <v>0.31301832132679991</v>
      </c>
      <c r="CR54">
        <v>0.17887497523052218</v>
      </c>
      <c r="CS54">
        <v>0.17864556835930351</v>
      </c>
      <c r="CT54">
        <v>0.18010455551098978</v>
      </c>
      <c r="CU54">
        <v>0.21591590030060664</v>
      </c>
      <c r="CV54">
        <v>0.24490759680183324</v>
      </c>
      <c r="CW54">
        <v>0.21669006366642118</v>
      </c>
      <c r="CX54">
        <v>0.28026542385217723</v>
      </c>
      <c r="CY54">
        <v>0.29142030483480424</v>
      </c>
      <c r="CZ54">
        <v>0.30031231587342394</v>
      </c>
      <c r="DA54">
        <v>0.30125842870409547</v>
      </c>
      <c r="DB54">
        <v>0.30323600269431983</v>
      </c>
      <c r="DC54">
        <v>0.2958989333140748</v>
      </c>
      <c r="DE54" t="s">
        <v>795</v>
      </c>
      <c r="DF54" t="s">
        <v>111</v>
      </c>
      <c r="DG54" t="s">
        <v>112</v>
      </c>
      <c r="DH54">
        <v>0.31142880350069219</v>
      </c>
    </row>
    <row r="55" spans="2:112" x14ac:dyDescent="0.45">
      <c r="B55" t="s">
        <v>796</v>
      </c>
      <c r="C55" t="s">
        <v>107</v>
      </c>
      <c r="D55">
        <v>0.31460105031310959</v>
      </c>
      <c r="E55">
        <v>0.32235288969528952</v>
      </c>
      <c r="F55">
        <v>0.34501019069684419</v>
      </c>
      <c r="G55">
        <v>0.36457811396411965</v>
      </c>
      <c r="H55">
        <v>0.33745029299305618</v>
      </c>
      <c r="I55">
        <v>0.30309511398293509</v>
      </c>
      <c r="J55">
        <v>0.32695526164197891</v>
      </c>
      <c r="K55">
        <v>0.32019794310420291</v>
      </c>
      <c r="L55">
        <v>0.33995753296663639</v>
      </c>
      <c r="M55">
        <v>0.34454440344880738</v>
      </c>
      <c r="N55">
        <v>0.32050937320654627</v>
      </c>
      <c r="O55">
        <v>0.32555746048578649</v>
      </c>
      <c r="P55">
        <v>0.32091470306617154</v>
      </c>
      <c r="Q55">
        <v>0.37560712495146642</v>
      </c>
      <c r="R55">
        <v>0.42170945424342204</v>
      </c>
      <c r="S55">
        <v>0.34900591318623769</v>
      </c>
      <c r="T55">
        <v>0.25853762001053626</v>
      </c>
      <c r="U55">
        <v>0.26262809167192502</v>
      </c>
      <c r="V55">
        <v>0.33726935720729728</v>
      </c>
      <c r="W55">
        <v>0.33926738629323688</v>
      </c>
      <c r="X55">
        <v>0.35495354024023745</v>
      </c>
      <c r="Y55">
        <v>0.36153237800564125</v>
      </c>
      <c r="Z55">
        <v>0.34973770884556488</v>
      </c>
      <c r="AA55">
        <v>0.3552810869747639</v>
      </c>
      <c r="CE55" t="s">
        <v>796</v>
      </c>
      <c r="CF55">
        <v>0.44906840134630527</v>
      </c>
      <c r="CG55">
        <v>0.44040550615819385</v>
      </c>
      <c r="CH55">
        <v>0.41393589909207767</v>
      </c>
      <c r="CI55">
        <v>0.39471334226921728</v>
      </c>
      <c r="CJ55">
        <v>0.39534998901868162</v>
      </c>
      <c r="CK55">
        <v>0.41632185566375202</v>
      </c>
      <c r="CL55">
        <v>0.3426010951598239</v>
      </c>
      <c r="CM55">
        <v>0.37721303937419509</v>
      </c>
      <c r="CN55">
        <v>0.3564989995119669</v>
      </c>
      <c r="CO55">
        <v>0.35003811536766355</v>
      </c>
      <c r="CP55">
        <v>0.37536386450220283</v>
      </c>
      <c r="CQ55">
        <v>0.36164554952529004</v>
      </c>
      <c r="CR55">
        <v>0.16945365723165878</v>
      </c>
      <c r="CS55">
        <v>0.15013561744733228</v>
      </c>
      <c r="CT55">
        <v>0.14305017199028139</v>
      </c>
      <c r="CU55">
        <v>0.17562628833707922</v>
      </c>
      <c r="CV55">
        <v>0.23576718411768094</v>
      </c>
      <c r="CW55">
        <v>0.22546942362688449</v>
      </c>
      <c r="CX55">
        <v>0.3476186979646716</v>
      </c>
      <c r="CY55">
        <v>0.34800331187702149</v>
      </c>
      <c r="CZ55">
        <v>0.32473909132431711</v>
      </c>
      <c r="DA55">
        <v>0.31872820212970021</v>
      </c>
      <c r="DB55">
        <v>0.34627756826005818</v>
      </c>
      <c r="DC55">
        <v>0.36442587632855139</v>
      </c>
      <c r="DE55" t="s">
        <v>797</v>
      </c>
      <c r="DF55" t="s">
        <v>111</v>
      </c>
      <c r="DG55" t="s">
        <v>112</v>
      </c>
      <c r="DH55">
        <v>0.20578513530074585</v>
      </c>
    </row>
    <row r="56" spans="2:112" x14ac:dyDescent="0.45">
      <c r="B56" t="s">
        <v>761</v>
      </c>
      <c r="C56" t="s">
        <v>107</v>
      </c>
      <c r="D56">
        <v>0.35116113377549785</v>
      </c>
      <c r="E56">
        <v>0.38008625065946572</v>
      </c>
      <c r="F56">
        <v>0.38936649168060766</v>
      </c>
      <c r="G56">
        <v>0.38331699494803084</v>
      </c>
      <c r="H56">
        <v>0.34361143837159563</v>
      </c>
      <c r="I56">
        <v>0.31757127086354509</v>
      </c>
      <c r="J56">
        <v>0.33609414196189563</v>
      </c>
      <c r="K56">
        <v>0.34857938649969372</v>
      </c>
      <c r="L56">
        <v>0.35114397037580469</v>
      </c>
      <c r="M56">
        <v>0.32265242149541301</v>
      </c>
      <c r="N56">
        <v>0.3150203161523672</v>
      </c>
      <c r="O56">
        <v>0.31499803663946846</v>
      </c>
      <c r="P56">
        <v>0.37772943239085183</v>
      </c>
      <c r="Q56">
        <v>0.36554070059158533</v>
      </c>
      <c r="R56">
        <v>0.383421868940933</v>
      </c>
      <c r="S56">
        <v>0.35675846352985791</v>
      </c>
      <c r="T56">
        <v>0.37307557853031409</v>
      </c>
      <c r="U56">
        <v>0.39190374575839498</v>
      </c>
      <c r="V56">
        <v>0.35898141164276964</v>
      </c>
      <c r="W56">
        <v>0.36201472491551834</v>
      </c>
      <c r="X56">
        <v>0.38171643743873701</v>
      </c>
      <c r="Y56">
        <v>0.36891397612131654</v>
      </c>
      <c r="Z56">
        <v>0.34580279614156623</v>
      </c>
      <c r="AA56">
        <v>0.354839950746209</v>
      </c>
      <c r="CE56" t="s">
        <v>761</v>
      </c>
      <c r="CF56">
        <v>0.22972267085335313</v>
      </c>
      <c r="CG56">
        <v>0.22804758851636839</v>
      </c>
      <c r="CH56">
        <v>0.21170635534018903</v>
      </c>
      <c r="CI56">
        <v>0.24000463036909139</v>
      </c>
      <c r="CJ56">
        <v>0.2693131281227118</v>
      </c>
      <c r="CK56">
        <v>0.24126182296582435</v>
      </c>
      <c r="CL56">
        <v>0.19022561101361046</v>
      </c>
      <c r="CM56">
        <v>0.1639489292954581</v>
      </c>
      <c r="CN56">
        <v>0.17208102685302445</v>
      </c>
      <c r="CO56">
        <v>0.23139771584077465</v>
      </c>
      <c r="CP56">
        <v>0.27192288926006936</v>
      </c>
      <c r="CQ56">
        <v>0.24757729525984526</v>
      </c>
      <c r="CR56">
        <v>0.10464733657871689</v>
      </c>
      <c r="CS56">
        <v>9.5409695836666933E-2</v>
      </c>
      <c r="CT56">
        <v>0.11000501241628369</v>
      </c>
      <c r="CU56">
        <v>0.13963694761738399</v>
      </c>
      <c r="CV56">
        <v>0.14218576921726836</v>
      </c>
      <c r="CW56">
        <v>0.1242680424926733</v>
      </c>
      <c r="CX56">
        <v>0.11336777098314119</v>
      </c>
      <c r="CY56">
        <v>9.9273390966366337E-2</v>
      </c>
      <c r="CZ56">
        <v>0.10055326236716083</v>
      </c>
      <c r="DA56">
        <v>0.12608189770498254</v>
      </c>
      <c r="DB56">
        <v>0.14553307616555003</v>
      </c>
      <c r="DC56">
        <v>0.13543003849256402</v>
      </c>
      <c r="DE56" t="s">
        <v>798</v>
      </c>
      <c r="DF56" t="s">
        <v>111</v>
      </c>
      <c r="DG56" t="s">
        <v>112</v>
      </c>
      <c r="DH56">
        <v>0.39407378250296948</v>
      </c>
    </row>
    <row r="57" spans="2:112" x14ac:dyDescent="0.45">
      <c r="B57" t="s">
        <v>763</v>
      </c>
      <c r="C57" t="s">
        <v>107</v>
      </c>
      <c r="D57">
        <v>0.37292181861163654</v>
      </c>
      <c r="E57">
        <v>0.34882009371614447</v>
      </c>
      <c r="F57">
        <v>0.3733628609713539</v>
      </c>
      <c r="G57">
        <v>0.43684379317396138</v>
      </c>
      <c r="H57">
        <v>0.43309717479188725</v>
      </c>
      <c r="I57">
        <v>0.38079583582429399</v>
      </c>
      <c r="J57">
        <v>0.31424277414313861</v>
      </c>
      <c r="K57">
        <v>0.36016823197565268</v>
      </c>
      <c r="L57">
        <v>0.45341004060172502</v>
      </c>
      <c r="M57">
        <v>0.44990184392873706</v>
      </c>
      <c r="N57">
        <v>0.4064945833792607</v>
      </c>
      <c r="O57">
        <v>0.33511202864664957</v>
      </c>
      <c r="P57">
        <v>0.22116988286855352</v>
      </c>
      <c r="Q57">
        <v>0.32738132906535511</v>
      </c>
      <c r="R57">
        <v>0.40308678419445532</v>
      </c>
      <c r="S57">
        <v>0.38035182208842716</v>
      </c>
      <c r="T57">
        <v>0.29422574637431664</v>
      </c>
      <c r="U57">
        <v>0.18630717339654684</v>
      </c>
      <c r="V57">
        <v>0.30619786977550917</v>
      </c>
      <c r="W57">
        <v>0.38887165516923861</v>
      </c>
      <c r="X57">
        <v>0.43735393520755617</v>
      </c>
      <c r="Y57">
        <v>0.43103518711317879</v>
      </c>
      <c r="Z57">
        <v>0.38586723748542973</v>
      </c>
      <c r="AA57">
        <v>0.26633501481085115</v>
      </c>
      <c r="CE57" t="s">
        <v>763</v>
      </c>
      <c r="CF57">
        <v>0.25459537846329333</v>
      </c>
      <c r="CG57">
        <v>0.25238356285511671</v>
      </c>
      <c r="CH57">
        <v>0.20940129241583449</v>
      </c>
      <c r="CI57">
        <v>0.20092989939424238</v>
      </c>
      <c r="CJ57">
        <v>0.2084209656014728</v>
      </c>
      <c r="CK57">
        <v>0.21464183166210055</v>
      </c>
      <c r="CL57">
        <v>0.2356650965505484</v>
      </c>
      <c r="CM57">
        <v>0.18384542782829627</v>
      </c>
      <c r="CN57">
        <v>0.16588087322295422</v>
      </c>
      <c r="CO57">
        <v>0.20514285158743756</v>
      </c>
      <c r="CP57">
        <v>0.28437836676254991</v>
      </c>
      <c r="CQ57">
        <v>0.28966447284614538</v>
      </c>
      <c r="CR57">
        <v>0.15740034226531718</v>
      </c>
      <c r="CS57">
        <v>8.9992285127204225E-2</v>
      </c>
      <c r="CT57">
        <v>5.8442867089586285E-2</v>
      </c>
      <c r="CU57">
        <v>7.2221886413958047E-2</v>
      </c>
      <c r="CV57">
        <v>0.12109810986756067</v>
      </c>
      <c r="CW57">
        <v>0.18239673452903951</v>
      </c>
      <c r="CX57">
        <v>0.17539257462137858</v>
      </c>
      <c r="CY57">
        <v>0.15779462094565716</v>
      </c>
      <c r="CZ57">
        <v>0.12929310767783439</v>
      </c>
      <c r="DA57">
        <v>0.12689433079990084</v>
      </c>
      <c r="DB57">
        <v>0.15240809883914797</v>
      </c>
      <c r="DC57">
        <v>0.17794546067191422</v>
      </c>
      <c r="DE57" t="s">
        <v>799</v>
      </c>
      <c r="DF57" t="s">
        <v>111</v>
      </c>
      <c r="DG57" t="s">
        <v>112</v>
      </c>
      <c r="DH57">
        <v>0.32489765163158402</v>
      </c>
    </row>
    <row r="58" spans="2:112" x14ac:dyDescent="0.45">
      <c r="B58" t="s">
        <v>765</v>
      </c>
      <c r="C58" t="s">
        <v>107</v>
      </c>
      <c r="D58">
        <v>0.39347624770418904</v>
      </c>
      <c r="E58">
        <v>0.3977031989069269</v>
      </c>
      <c r="F58">
        <v>0.42155122147297636</v>
      </c>
      <c r="G58">
        <v>0.48330812592732553</v>
      </c>
      <c r="H58">
        <v>0.4836791678104671</v>
      </c>
      <c r="I58">
        <v>0.42694576722180877</v>
      </c>
      <c r="J58">
        <v>0.32993588048674755</v>
      </c>
      <c r="K58">
        <v>0.36537502362680468</v>
      </c>
      <c r="L58">
        <v>0.44016498681980687</v>
      </c>
      <c r="M58">
        <v>0.43672643260040406</v>
      </c>
      <c r="N58">
        <v>0.42292849546485334</v>
      </c>
      <c r="O58">
        <v>0.37908014630704828</v>
      </c>
      <c r="P58">
        <v>0.21473857058318926</v>
      </c>
      <c r="Q58">
        <v>0.30776507276774395</v>
      </c>
      <c r="R58">
        <v>0.39963335005383199</v>
      </c>
      <c r="S58">
        <v>0.3727137764506584</v>
      </c>
      <c r="T58">
        <v>0.36425082467519043</v>
      </c>
      <c r="U58">
        <v>0.30786782583962691</v>
      </c>
      <c r="V58">
        <v>0.30911347269178785</v>
      </c>
      <c r="W58">
        <v>0.38286358864623238</v>
      </c>
      <c r="X58">
        <v>0.46744487308788302</v>
      </c>
      <c r="Y58">
        <v>0.48204048013178669</v>
      </c>
      <c r="Z58">
        <v>0.44267317982619298</v>
      </c>
      <c r="AA58">
        <v>0.32746187290936213</v>
      </c>
      <c r="CE58" t="s">
        <v>765</v>
      </c>
      <c r="CF58">
        <v>0.24220031557365593</v>
      </c>
      <c r="CG58">
        <v>0.21785616988162859</v>
      </c>
      <c r="CH58">
        <v>0.19405461805952801</v>
      </c>
      <c r="CI58">
        <v>0.18778048747532941</v>
      </c>
      <c r="CJ58">
        <v>0.20076269910408762</v>
      </c>
      <c r="CK58">
        <v>0.21873617696115799</v>
      </c>
      <c r="CL58">
        <v>0.21533868487907534</v>
      </c>
      <c r="CM58">
        <v>0.17493405796828801</v>
      </c>
      <c r="CN58">
        <v>0.16562295163321208</v>
      </c>
      <c r="CO58">
        <v>0.18627600324400279</v>
      </c>
      <c r="CP58">
        <v>0.24084130138945725</v>
      </c>
      <c r="CQ58">
        <v>0.23873705447748539</v>
      </c>
      <c r="CR58">
        <v>0.14017694648361037</v>
      </c>
      <c r="CS58">
        <v>7.3862281249824621E-2</v>
      </c>
      <c r="CT58">
        <v>3.6318343132307224E-2</v>
      </c>
      <c r="CU58">
        <v>4.0645998600313447E-2</v>
      </c>
      <c r="CV58">
        <v>6.5903571423443538E-2</v>
      </c>
      <c r="CW58">
        <v>0.10614687706909814</v>
      </c>
      <c r="CX58">
        <v>0.15528913659942387</v>
      </c>
      <c r="CY58">
        <v>0.12480792329970122</v>
      </c>
      <c r="CZ58">
        <v>0.10542255627937003</v>
      </c>
      <c r="DA58">
        <v>0.11160021205930226</v>
      </c>
      <c r="DB58">
        <v>0.12613183480710294</v>
      </c>
      <c r="DC58">
        <v>0.14211812313551667</v>
      </c>
      <c r="DE58" t="s">
        <v>800</v>
      </c>
      <c r="DF58" t="s">
        <v>111</v>
      </c>
      <c r="DG58" t="s">
        <v>112</v>
      </c>
      <c r="DH58">
        <v>0.27143280694692323</v>
      </c>
    </row>
    <row r="59" spans="2:112" x14ac:dyDescent="0.45">
      <c r="B59" t="s">
        <v>767</v>
      </c>
      <c r="C59" t="s">
        <v>107</v>
      </c>
      <c r="D59">
        <v>0.47665687262116768</v>
      </c>
      <c r="E59">
        <v>0.47197211569901554</v>
      </c>
      <c r="F59">
        <v>0.48222684265116783</v>
      </c>
      <c r="G59">
        <v>0.51073291981031099</v>
      </c>
      <c r="H59">
        <v>0.48484278922100954</v>
      </c>
      <c r="I59">
        <v>0.45207952481988006</v>
      </c>
      <c r="J59">
        <v>0.35553803518558025</v>
      </c>
      <c r="K59">
        <v>0.42886675115178541</v>
      </c>
      <c r="L59">
        <v>0.47350241816649036</v>
      </c>
      <c r="M59">
        <v>0.43690555623273658</v>
      </c>
      <c r="N59">
        <v>0.40845369328067482</v>
      </c>
      <c r="O59">
        <v>0.39306153797410176</v>
      </c>
      <c r="P59">
        <v>0.22450885832762688</v>
      </c>
      <c r="Q59">
        <v>0.31357803661374123</v>
      </c>
      <c r="R59">
        <v>0.38870687786820873</v>
      </c>
      <c r="S59">
        <v>0.35305421527010977</v>
      </c>
      <c r="T59">
        <v>0.32947287391112184</v>
      </c>
      <c r="U59">
        <v>0.25598612861706344</v>
      </c>
      <c r="V59">
        <v>0.32542991545415872</v>
      </c>
      <c r="W59">
        <v>0.40039916252761926</v>
      </c>
      <c r="X59">
        <v>0.4499400086741675</v>
      </c>
      <c r="Y59">
        <v>0.4641355360991537</v>
      </c>
      <c r="Z59">
        <v>0.43115804714164507</v>
      </c>
      <c r="AA59">
        <v>0.34089498061114504</v>
      </c>
      <c r="CE59" t="s">
        <v>767</v>
      </c>
      <c r="CF59">
        <v>0.16613581081974058</v>
      </c>
      <c r="CG59">
        <v>0.14785910946947842</v>
      </c>
      <c r="CH59">
        <v>0.12664280163072711</v>
      </c>
      <c r="CI59">
        <v>0.14844183329093805</v>
      </c>
      <c r="CJ59">
        <v>0.16920557204743386</v>
      </c>
      <c r="CK59">
        <v>0.15321742138265645</v>
      </c>
      <c r="CL59">
        <v>0.15091272441989539</v>
      </c>
      <c r="CM59">
        <v>0.1025650814590657</v>
      </c>
      <c r="CN59">
        <v>9.8162774540751688E-2</v>
      </c>
      <c r="CO59">
        <v>0.14291619227142274</v>
      </c>
      <c r="CP59">
        <v>0.19847688819970569</v>
      </c>
      <c r="CQ59">
        <v>0.19451478182852264</v>
      </c>
      <c r="CR59">
        <v>0.10062285175070526</v>
      </c>
      <c r="CS59">
        <v>3.8294848742310317E-2</v>
      </c>
      <c r="CT59">
        <v>2.6886440737656614E-2</v>
      </c>
      <c r="CU59">
        <v>4.2118967233548674E-2</v>
      </c>
      <c r="CV59">
        <v>7.2552161924524877E-2</v>
      </c>
      <c r="CW59">
        <v>9.7932738968863717E-2</v>
      </c>
      <c r="CX59">
        <v>9.007719857341405E-2</v>
      </c>
      <c r="CY59">
        <v>6.1886706359857199E-2</v>
      </c>
      <c r="CZ59">
        <v>5.0712445032289173E-2</v>
      </c>
      <c r="DA59">
        <v>6.5211764250414625E-2</v>
      </c>
      <c r="DB59">
        <v>8.7013963686362675E-2</v>
      </c>
      <c r="DC59">
        <v>9.9987717713286142E-2</v>
      </c>
      <c r="DE59" t="s">
        <v>801</v>
      </c>
      <c r="DF59" t="s">
        <v>111</v>
      </c>
      <c r="DG59" t="s">
        <v>112</v>
      </c>
      <c r="DH59">
        <v>0.24751347671919344</v>
      </c>
    </row>
    <row r="60" spans="2:112" x14ac:dyDescent="0.45">
      <c r="B60" t="s">
        <v>769</v>
      </c>
      <c r="C60" t="s">
        <v>107</v>
      </c>
      <c r="D60">
        <v>0.40869170300392477</v>
      </c>
      <c r="E60">
        <v>0.42038096924880353</v>
      </c>
      <c r="F60">
        <v>0.46201088089097408</v>
      </c>
      <c r="G60">
        <v>0.48570248863140542</v>
      </c>
      <c r="H60">
        <v>0.47025290940585279</v>
      </c>
      <c r="I60">
        <v>0.42887827774698056</v>
      </c>
      <c r="J60">
        <v>0.32037649775665822</v>
      </c>
      <c r="K60">
        <v>0.34310446935392636</v>
      </c>
      <c r="L60">
        <v>0.42938282532008232</v>
      </c>
      <c r="M60">
        <v>0.43318349215418261</v>
      </c>
      <c r="N60">
        <v>0.40848491723374986</v>
      </c>
      <c r="O60">
        <v>0.3643570774689105</v>
      </c>
      <c r="P60">
        <v>0.28665895552222248</v>
      </c>
      <c r="Q60">
        <v>0.30979176176936846</v>
      </c>
      <c r="R60">
        <v>0.39292863009487305</v>
      </c>
      <c r="S60">
        <v>0.43466575190895096</v>
      </c>
      <c r="T60">
        <v>0.45315739934812699</v>
      </c>
      <c r="U60">
        <v>0.39038027195236186</v>
      </c>
      <c r="V60">
        <v>0.33412863761190253</v>
      </c>
      <c r="W60">
        <v>0.32396233304986011</v>
      </c>
      <c r="X60">
        <v>0.43459662076665806</v>
      </c>
      <c r="Y60">
        <v>0.50036247916953003</v>
      </c>
      <c r="Z60">
        <v>0.47138303055720038</v>
      </c>
      <c r="AA60">
        <v>0.41109619523714691</v>
      </c>
      <c r="CE60" t="s">
        <v>769</v>
      </c>
      <c r="CF60">
        <v>0.27328314840531642</v>
      </c>
      <c r="CG60">
        <v>0.25402470564658192</v>
      </c>
      <c r="CH60">
        <v>0.22067357520044412</v>
      </c>
      <c r="CI60">
        <v>0.23565415413721102</v>
      </c>
      <c r="CJ60">
        <v>0.2441983708416279</v>
      </c>
      <c r="CK60">
        <v>0.25576671039046417</v>
      </c>
      <c r="CL60">
        <v>0.25936317990329272</v>
      </c>
      <c r="CM60">
        <v>0.20857333057361682</v>
      </c>
      <c r="CN60">
        <v>0.19144016731932018</v>
      </c>
      <c r="CO60">
        <v>0.23637828583879109</v>
      </c>
      <c r="CP60">
        <v>0.27970908520853804</v>
      </c>
      <c r="CQ60">
        <v>0.26617789086607058</v>
      </c>
      <c r="CR60">
        <v>0.17745335224126613</v>
      </c>
      <c r="CS60">
        <v>0.12134590045334652</v>
      </c>
      <c r="CT60">
        <v>5.0130147878802829E-2</v>
      </c>
      <c r="CU60">
        <v>5.3022434537446025E-2</v>
      </c>
      <c r="CV60">
        <v>8.336274755321206E-2</v>
      </c>
      <c r="CW60">
        <v>0.10555635926363044</v>
      </c>
      <c r="CX60">
        <v>0.16800208003077927</v>
      </c>
      <c r="CY60">
        <v>0.14000214980616343</v>
      </c>
      <c r="CZ60">
        <v>9.4090072905549063E-2</v>
      </c>
      <c r="DA60">
        <v>0.11446532407617944</v>
      </c>
      <c r="DB60">
        <v>0.1312187322225134</v>
      </c>
      <c r="DC60">
        <v>0.15023299178696514</v>
      </c>
      <c r="DE60" t="s">
        <v>802</v>
      </c>
      <c r="DF60" t="s">
        <v>111</v>
      </c>
      <c r="DG60" t="s">
        <v>112</v>
      </c>
      <c r="DH60">
        <v>0.28998244644219456</v>
      </c>
    </row>
    <row r="61" spans="2:112" x14ac:dyDescent="0.45">
      <c r="B61" t="s">
        <v>771</v>
      </c>
      <c r="C61" t="s">
        <v>107</v>
      </c>
      <c r="D61">
        <v>0.48248440653517388</v>
      </c>
      <c r="E61">
        <v>0.46283649498292195</v>
      </c>
      <c r="F61">
        <v>0.48675395410916605</v>
      </c>
      <c r="G61">
        <v>0.54770102482436211</v>
      </c>
      <c r="H61">
        <v>0.51399737712877047</v>
      </c>
      <c r="I61">
        <v>0.47496723394887957</v>
      </c>
      <c r="J61">
        <v>0.41346458513582018</v>
      </c>
      <c r="K61">
        <v>0.40227286793542444</v>
      </c>
      <c r="L61">
        <v>0.45619410572116575</v>
      </c>
      <c r="M61">
        <v>0.4619736051835685</v>
      </c>
      <c r="N61">
        <v>0.44793302259458695</v>
      </c>
      <c r="O61">
        <v>0.42552244029389574</v>
      </c>
      <c r="P61">
        <v>0.40168610858721293</v>
      </c>
      <c r="Q61">
        <v>0.40902751397930698</v>
      </c>
      <c r="R61">
        <v>0.43812053464843198</v>
      </c>
      <c r="S61">
        <v>0.43301720304417407</v>
      </c>
      <c r="T61">
        <v>0.44855053784934296</v>
      </c>
      <c r="U61">
        <v>0.37661862258009354</v>
      </c>
      <c r="V61">
        <v>0.41412973243072637</v>
      </c>
      <c r="W61">
        <v>0.37987059180244548</v>
      </c>
      <c r="X61">
        <v>0.4363459713116834</v>
      </c>
      <c r="Y61">
        <v>0.49351930649207015</v>
      </c>
      <c r="Z61">
        <v>0.45098473485188745</v>
      </c>
      <c r="AA61">
        <v>0.41066025061507466</v>
      </c>
      <c r="CE61" t="s">
        <v>771</v>
      </c>
      <c r="CF61">
        <v>0.1464717805238647</v>
      </c>
      <c r="CG61">
        <v>0.13538036084051619</v>
      </c>
      <c r="CH61">
        <v>0.12068731566636914</v>
      </c>
      <c r="CI61">
        <v>0.13032630355154823</v>
      </c>
      <c r="CJ61">
        <v>0.14426493011431055</v>
      </c>
      <c r="CK61">
        <v>0.1579948634973217</v>
      </c>
      <c r="CL61">
        <v>0.13494175642308059</v>
      </c>
      <c r="CM61">
        <v>0.11081710900307204</v>
      </c>
      <c r="CN61">
        <v>0.11239803801284483</v>
      </c>
      <c r="CO61">
        <v>0.15073547888612698</v>
      </c>
      <c r="CP61">
        <v>0.17917742948370685</v>
      </c>
      <c r="CQ61">
        <v>0.16527054868768598</v>
      </c>
      <c r="CR61">
        <v>8.4332148964775991E-2</v>
      </c>
      <c r="CS61">
        <v>9.2327154407677053E-2</v>
      </c>
      <c r="CT61">
        <v>5.0447033110287233E-2</v>
      </c>
      <c r="CU61">
        <v>4.5227945642879921E-2</v>
      </c>
      <c r="CV61">
        <v>6.9062557716464787E-2</v>
      </c>
      <c r="CW61">
        <v>7.9819104385569883E-2</v>
      </c>
      <c r="CX61">
        <v>6.8583960437110056E-2</v>
      </c>
      <c r="CY61">
        <v>7.3843762210086761E-2</v>
      </c>
      <c r="CZ61">
        <v>5.1399029938631852E-2</v>
      </c>
      <c r="DA61">
        <v>5.64122787071617E-2</v>
      </c>
      <c r="DB61">
        <v>6.9768506422226165E-2</v>
      </c>
      <c r="DC61">
        <v>7.5481825174365011E-2</v>
      </c>
      <c r="DE61" t="s">
        <v>803</v>
      </c>
      <c r="DF61" t="s">
        <v>111</v>
      </c>
      <c r="DG61" t="s">
        <v>112</v>
      </c>
      <c r="DH61">
        <v>0.28436341539353721</v>
      </c>
    </row>
    <row r="62" spans="2:112" x14ac:dyDescent="0.45">
      <c r="B62" t="s">
        <v>773</v>
      </c>
      <c r="C62" t="s">
        <v>107</v>
      </c>
      <c r="D62">
        <v>0.44536638002234913</v>
      </c>
      <c r="E62">
        <v>0.44649226245015455</v>
      </c>
      <c r="F62">
        <v>0.47757632664531252</v>
      </c>
      <c r="G62">
        <v>0.50741850492147866</v>
      </c>
      <c r="H62">
        <v>0.47929784535554648</v>
      </c>
      <c r="I62">
        <v>0.45235244079073617</v>
      </c>
      <c r="J62">
        <v>0.36581333334045035</v>
      </c>
      <c r="K62">
        <v>0.38574431164172313</v>
      </c>
      <c r="L62">
        <v>0.45122284915269806</v>
      </c>
      <c r="M62">
        <v>0.42425396082321809</v>
      </c>
      <c r="N62">
        <v>0.39247126489035622</v>
      </c>
      <c r="O62">
        <v>0.39726373801307074</v>
      </c>
      <c r="P62">
        <v>0.24611226792429255</v>
      </c>
      <c r="Q62">
        <v>0.31491167048193652</v>
      </c>
      <c r="R62">
        <v>0.38760608163062799</v>
      </c>
      <c r="S62">
        <v>0.38669894000778193</v>
      </c>
      <c r="T62">
        <v>0.39069175866537426</v>
      </c>
      <c r="U62">
        <v>0.32369550779614825</v>
      </c>
      <c r="V62">
        <v>0.33658948835738473</v>
      </c>
      <c r="W62">
        <v>0.38981609610084234</v>
      </c>
      <c r="X62">
        <v>0.47693560245003452</v>
      </c>
      <c r="Y62">
        <v>0.50390657338497258</v>
      </c>
      <c r="Z62">
        <v>0.44964536623509105</v>
      </c>
      <c r="AA62">
        <v>0.35027686788545043</v>
      </c>
      <c r="CE62" t="s">
        <v>773</v>
      </c>
      <c r="CF62">
        <v>0.23487537776278472</v>
      </c>
      <c r="CG62">
        <v>0.20864375269128921</v>
      </c>
      <c r="CH62">
        <v>0.18464724747110201</v>
      </c>
      <c r="CI62">
        <v>0.1975197918462665</v>
      </c>
      <c r="CJ62">
        <v>0.21156548149503224</v>
      </c>
      <c r="CK62">
        <v>0.21289399935937495</v>
      </c>
      <c r="CL62">
        <v>0.20329496833599328</v>
      </c>
      <c r="CM62">
        <v>0.16670469184006495</v>
      </c>
      <c r="CN62">
        <v>0.1636019699070731</v>
      </c>
      <c r="CO62">
        <v>0.19851862391207428</v>
      </c>
      <c r="CP62">
        <v>0.24146617319837596</v>
      </c>
      <c r="CQ62">
        <v>0.23588892129032538</v>
      </c>
      <c r="CR62">
        <v>0.10926364002886788</v>
      </c>
      <c r="CS62">
        <v>6.8933882373846553E-2</v>
      </c>
      <c r="CT62">
        <v>3.7956912349572866E-2</v>
      </c>
      <c r="CU62">
        <v>5.0092435045064901E-2</v>
      </c>
      <c r="CV62">
        <v>7.7730791243056568E-2</v>
      </c>
      <c r="CW62">
        <v>9.1904428492251028E-2</v>
      </c>
      <c r="CX62">
        <v>0.13572634685987478</v>
      </c>
      <c r="CY62">
        <v>0.1073147287549021</v>
      </c>
      <c r="CZ62">
        <v>8.5134971348437963E-2</v>
      </c>
      <c r="DA62">
        <v>0.10894249089552553</v>
      </c>
      <c r="DB62">
        <v>0.11925402579486316</v>
      </c>
      <c r="DC62">
        <v>0.12265096779434446</v>
      </c>
      <c r="DE62" t="s">
        <v>760</v>
      </c>
      <c r="DF62" t="s">
        <v>111</v>
      </c>
      <c r="DG62" t="s">
        <v>112</v>
      </c>
      <c r="DH62">
        <v>0.45396001076728021</v>
      </c>
    </row>
    <row r="63" spans="2:112" x14ac:dyDescent="0.45">
      <c r="B63" t="s">
        <v>775</v>
      </c>
      <c r="C63" t="s">
        <v>107</v>
      </c>
      <c r="D63">
        <v>0.33097684612280864</v>
      </c>
      <c r="E63">
        <v>0.36375311404442945</v>
      </c>
      <c r="F63">
        <v>0.37904831785249204</v>
      </c>
      <c r="G63">
        <v>0.36007238157791016</v>
      </c>
      <c r="H63">
        <v>0.31809280741693141</v>
      </c>
      <c r="I63">
        <v>0.31417991032338383</v>
      </c>
      <c r="J63">
        <v>0.29789531650647755</v>
      </c>
      <c r="K63">
        <v>0.30811602460825044</v>
      </c>
      <c r="L63">
        <v>0.31129148157838549</v>
      </c>
      <c r="M63">
        <v>0.29904900197179152</v>
      </c>
      <c r="N63">
        <v>0.2709515685004823</v>
      </c>
      <c r="O63">
        <v>0.26393489916024732</v>
      </c>
      <c r="P63">
        <v>0.37939494222100978</v>
      </c>
      <c r="Q63">
        <v>0.39817612289874388</v>
      </c>
      <c r="R63">
        <v>0.40392415664592046</v>
      </c>
      <c r="S63">
        <v>0.3857627563482075</v>
      </c>
      <c r="T63">
        <v>0.32212119121572924</v>
      </c>
      <c r="U63">
        <v>0.30506848559675537</v>
      </c>
      <c r="V63">
        <v>0.31369421826464722</v>
      </c>
      <c r="W63">
        <v>0.32998021998587257</v>
      </c>
      <c r="X63">
        <v>0.34351528160216355</v>
      </c>
      <c r="Y63">
        <v>0.32572150025871976</v>
      </c>
      <c r="Z63">
        <v>0.28408169666616701</v>
      </c>
      <c r="AA63">
        <v>0.27213059573535509</v>
      </c>
      <c r="CE63" t="s">
        <v>775</v>
      </c>
      <c r="CF63">
        <v>0.35649864994561414</v>
      </c>
      <c r="CG63">
        <v>0.33569677383123309</v>
      </c>
      <c r="CH63">
        <v>0.33172257520468307</v>
      </c>
      <c r="CI63">
        <v>0.36420246767278064</v>
      </c>
      <c r="CJ63">
        <v>0.40836741411282013</v>
      </c>
      <c r="CK63">
        <v>0.38421960346940137</v>
      </c>
      <c r="CL63">
        <v>0.36909275727855151</v>
      </c>
      <c r="CM63">
        <v>0.32739472499483141</v>
      </c>
      <c r="CN63">
        <v>0.33538288380096615</v>
      </c>
      <c r="CO63">
        <v>0.36936223511995753</v>
      </c>
      <c r="CP63">
        <v>0.43138341206402636</v>
      </c>
      <c r="CQ63">
        <v>0.43425858046027804</v>
      </c>
      <c r="CR63">
        <v>0.26858506506978796</v>
      </c>
      <c r="CS63">
        <v>0.22449003932362024</v>
      </c>
      <c r="CT63">
        <v>0.21060582564858962</v>
      </c>
      <c r="CU63">
        <v>0.23162868074135209</v>
      </c>
      <c r="CV63">
        <v>0.28611720672223195</v>
      </c>
      <c r="CW63">
        <v>0.32397442426053363</v>
      </c>
      <c r="CX63">
        <v>0.36343577583401493</v>
      </c>
      <c r="CY63">
        <v>0.34099492233830181</v>
      </c>
      <c r="CZ63">
        <v>0.33377772359079638</v>
      </c>
      <c r="DA63">
        <v>0.36761030614757201</v>
      </c>
      <c r="DB63">
        <v>0.39808429607520124</v>
      </c>
      <c r="DC63">
        <v>0.39267116476884967</v>
      </c>
      <c r="DE63" t="s">
        <v>762</v>
      </c>
      <c r="DF63" t="s">
        <v>111</v>
      </c>
      <c r="DG63" t="s">
        <v>112</v>
      </c>
      <c r="DH63">
        <v>0.47367663225249695</v>
      </c>
    </row>
    <row r="64" spans="2:112" x14ac:dyDescent="0.45">
      <c r="B64" t="s">
        <v>777</v>
      </c>
      <c r="C64" t="s">
        <v>107</v>
      </c>
      <c r="D64">
        <v>0.42216365509755577</v>
      </c>
      <c r="E64">
        <v>0.41215227270393717</v>
      </c>
      <c r="F64">
        <v>0.4128302061950046</v>
      </c>
      <c r="G64">
        <v>0.42670094731758174</v>
      </c>
      <c r="H64">
        <v>0.43904560013016275</v>
      </c>
      <c r="I64">
        <v>0.44359096942885873</v>
      </c>
      <c r="J64">
        <v>0.36301102260016671</v>
      </c>
      <c r="K64">
        <v>0.41076849504800123</v>
      </c>
      <c r="L64">
        <v>0.42393609093226364</v>
      </c>
      <c r="M64">
        <v>0.40759459922329261</v>
      </c>
      <c r="N64">
        <v>0.36072547663696469</v>
      </c>
      <c r="O64">
        <v>0.34724596199301561</v>
      </c>
      <c r="P64">
        <v>0.28250101239973846</v>
      </c>
      <c r="Q64">
        <v>0.31864010465797676</v>
      </c>
      <c r="R64">
        <v>0.36529850717584988</v>
      </c>
      <c r="S64">
        <v>0.28664565445737589</v>
      </c>
      <c r="T64">
        <v>0.21474816840704986</v>
      </c>
      <c r="U64">
        <v>0.19516850304608832</v>
      </c>
      <c r="V64">
        <v>0.40594165168393564</v>
      </c>
      <c r="W64">
        <v>0.43995426466374477</v>
      </c>
      <c r="X64">
        <v>0.4517012091356355</v>
      </c>
      <c r="Y64">
        <v>0.42629576912693551</v>
      </c>
      <c r="Z64">
        <v>0.35983491419681296</v>
      </c>
      <c r="AA64">
        <v>0.34218009918340653</v>
      </c>
      <c r="CE64" t="s">
        <v>777</v>
      </c>
      <c r="CF64">
        <v>0.1612366314515071</v>
      </c>
      <c r="CG64">
        <v>0.16012568399918606</v>
      </c>
      <c r="CH64">
        <v>0.14433975802489929</v>
      </c>
      <c r="CI64">
        <v>0.16104518208495519</v>
      </c>
      <c r="CJ64">
        <v>0.18345935308794784</v>
      </c>
      <c r="CK64">
        <v>0.17080683426218549</v>
      </c>
      <c r="CL64">
        <v>0.10900754568370352</v>
      </c>
      <c r="CM64">
        <v>0.10771086597923531</v>
      </c>
      <c r="CN64">
        <v>0.12367104800470236</v>
      </c>
      <c r="CO64">
        <v>0.15870967250755658</v>
      </c>
      <c r="CP64">
        <v>0.17233175490357283</v>
      </c>
      <c r="CQ64">
        <v>0.14253580939788063</v>
      </c>
      <c r="CR64">
        <v>4.1237893553981005E-2</v>
      </c>
      <c r="CS64">
        <v>3.0191830395342002E-2</v>
      </c>
      <c r="CT64">
        <v>3.2405781660365444E-2</v>
      </c>
      <c r="CU64">
        <v>5.5300885098711804E-2</v>
      </c>
      <c r="CV64">
        <v>7.2531876916595781E-2</v>
      </c>
      <c r="CW64">
        <v>7.1925363599784464E-2</v>
      </c>
      <c r="CX64">
        <v>0.10060321954534966</v>
      </c>
      <c r="CY64">
        <v>9.9302025165725824E-2</v>
      </c>
      <c r="CZ64">
        <v>0.10338794911628162</v>
      </c>
      <c r="DA64">
        <v>0.13898267243980722</v>
      </c>
      <c r="DB64">
        <v>0.14582373530340592</v>
      </c>
      <c r="DC64">
        <v>0.11977911880952177</v>
      </c>
      <c r="DE64" t="s">
        <v>764</v>
      </c>
      <c r="DF64" t="s">
        <v>111</v>
      </c>
      <c r="DG64" t="s">
        <v>112</v>
      </c>
      <c r="DH64">
        <v>0.42361840049274474</v>
      </c>
    </row>
    <row r="65" spans="2:112" x14ac:dyDescent="0.45">
      <c r="B65" t="s">
        <v>779</v>
      </c>
      <c r="C65" t="s">
        <v>107</v>
      </c>
      <c r="D65">
        <v>0.35480396000944375</v>
      </c>
      <c r="E65">
        <v>0.35945887096941875</v>
      </c>
      <c r="F65">
        <v>0.37368022672020762</v>
      </c>
      <c r="G65">
        <v>0.39368693369063029</v>
      </c>
      <c r="H65">
        <v>0.38459810965543828</v>
      </c>
      <c r="I65">
        <v>0.36684590469055867</v>
      </c>
      <c r="J65">
        <v>0.40872918031517252</v>
      </c>
      <c r="K65">
        <v>0.39660438816957827</v>
      </c>
      <c r="L65">
        <v>0.39998289017792704</v>
      </c>
      <c r="M65">
        <v>0.39361483413080439</v>
      </c>
      <c r="N65">
        <v>0.36789534216188202</v>
      </c>
      <c r="O65">
        <v>0.34377553441068726</v>
      </c>
      <c r="P65">
        <v>0.26963035282955095</v>
      </c>
      <c r="Q65">
        <v>0.36649621602411619</v>
      </c>
      <c r="R65">
        <v>0.42487155667467258</v>
      </c>
      <c r="S65">
        <v>0.37318213263264088</v>
      </c>
      <c r="T65">
        <v>0.28553976950429871</v>
      </c>
      <c r="U65">
        <v>0.23942261428243797</v>
      </c>
      <c r="V65">
        <v>0.40267501202145922</v>
      </c>
      <c r="W65">
        <v>0.41746987480559622</v>
      </c>
      <c r="X65">
        <v>0.42039056724279583</v>
      </c>
      <c r="Y65">
        <v>0.38116824016066808</v>
      </c>
      <c r="Z65">
        <v>0.36076903532681232</v>
      </c>
      <c r="AA65">
        <v>0.36478780177318909</v>
      </c>
      <c r="CE65" t="s">
        <v>779</v>
      </c>
      <c r="CF65">
        <v>0.23205567033149169</v>
      </c>
      <c r="CG65">
        <v>0.24877555813735958</v>
      </c>
      <c r="CH65">
        <v>0.23162171022814462</v>
      </c>
      <c r="CI65">
        <v>0.25292066151204734</v>
      </c>
      <c r="CJ65">
        <v>0.25196295679270009</v>
      </c>
      <c r="CK65">
        <v>0.23349613560242832</v>
      </c>
      <c r="CL65">
        <v>0.15572976894674634</v>
      </c>
      <c r="CM65">
        <v>0.17151393793437014</v>
      </c>
      <c r="CN65">
        <v>0.20028949229477139</v>
      </c>
      <c r="CO65">
        <v>0.24161459874203953</v>
      </c>
      <c r="CP65">
        <v>0.24234085523810292</v>
      </c>
      <c r="CQ65">
        <v>0.19581620523394594</v>
      </c>
      <c r="CR65">
        <v>4.5078843488242003E-2</v>
      </c>
      <c r="CS65">
        <v>4.0010989842541644E-2</v>
      </c>
      <c r="CT65">
        <v>4.406572345026416E-2</v>
      </c>
      <c r="CU65">
        <v>6.3251970545370864E-2</v>
      </c>
      <c r="CV65">
        <v>8.8161906086420064E-2</v>
      </c>
      <c r="CW65">
        <v>9.4835423121258824E-2</v>
      </c>
      <c r="CX65">
        <v>0.14852756885336027</v>
      </c>
      <c r="CY65">
        <v>0.15379201571595055</v>
      </c>
      <c r="CZ65">
        <v>0.15350505190971073</v>
      </c>
      <c r="DA65">
        <v>0.19607734222901932</v>
      </c>
      <c r="DB65">
        <v>0.19963191191329846</v>
      </c>
      <c r="DC65">
        <v>0.16077381417702302</v>
      </c>
      <c r="DE65" t="s">
        <v>766</v>
      </c>
      <c r="DF65" t="s">
        <v>111</v>
      </c>
      <c r="DG65" t="s">
        <v>112</v>
      </c>
      <c r="DH65">
        <v>0.45265774193673597</v>
      </c>
    </row>
    <row r="66" spans="2:112" x14ac:dyDescent="0.45">
      <c r="B66" t="s">
        <v>781</v>
      </c>
      <c r="C66" t="s">
        <v>107</v>
      </c>
      <c r="D66">
        <v>0.3509403397850227</v>
      </c>
      <c r="E66">
        <v>0.35482891639063446</v>
      </c>
      <c r="F66">
        <v>0.36990972659430255</v>
      </c>
      <c r="G66">
        <v>0.37985880613837608</v>
      </c>
      <c r="H66">
        <v>0.37806973681129968</v>
      </c>
      <c r="I66">
        <v>0.37170260084586421</v>
      </c>
      <c r="J66">
        <v>0.37659873146840306</v>
      </c>
      <c r="K66">
        <v>0.38396458294601926</v>
      </c>
      <c r="L66">
        <v>0.38719634252299345</v>
      </c>
      <c r="M66">
        <v>0.36612416550933319</v>
      </c>
      <c r="N66">
        <v>0.34518085158431128</v>
      </c>
      <c r="O66">
        <v>0.36062492790346506</v>
      </c>
      <c r="P66">
        <v>0.36405624869054448</v>
      </c>
      <c r="Q66">
        <v>0.4238664421614835</v>
      </c>
      <c r="R66">
        <v>0.45089960094692505</v>
      </c>
      <c r="S66">
        <v>0.344029765619497</v>
      </c>
      <c r="T66">
        <v>0.24835303785584176</v>
      </c>
      <c r="U66">
        <v>0.27545330132194351</v>
      </c>
      <c r="V66">
        <v>0.396195218128504</v>
      </c>
      <c r="W66">
        <v>0.37651141073256661</v>
      </c>
      <c r="X66">
        <v>0.37356155252936946</v>
      </c>
      <c r="Y66">
        <v>0.36757970986482269</v>
      </c>
      <c r="Z66">
        <v>0.3458293907470163</v>
      </c>
      <c r="AA66">
        <v>0.37582021888902412</v>
      </c>
      <c r="CE66" t="s">
        <v>781</v>
      </c>
      <c r="CF66">
        <v>0.27103993063971299</v>
      </c>
      <c r="CG66">
        <v>0.28508061193075829</v>
      </c>
      <c r="CH66">
        <v>0.27928575632115127</v>
      </c>
      <c r="CI66">
        <v>0.27282754928176256</v>
      </c>
      <c r="CJ66">
        <v>0.27011407360035733</v>
      </c>
      <c r="CK66">
        <v>0.25577268083328525</v>
      </c>
      <c r="CL66">
        <v>0.18819137464001903</v>
      </c>
      <c r="CM66">
        <v>0.22426287549057045</v>
      </c>
      <c r="CN66">
        <v>0.24135532792435629</v>
      </c>
      <c r="CO66">
        <v>0.25946903648973396</v>
      </c>
      <c r="CP66">
        <v>0.2613506343891322</v>
      </c>
      <c r="CQ66">
        <v>0.22651759058668161</v>
      </c>
      <c r="CR66">
        <v>5.7766504831926718E-2</v>
      </c>
      <c r="CS66">
        <v>6.0756295197479694E-2</v>
      </c>
      <c r="CT66">
        <v>7.3771328360010491E-2</v>
      </c>
      <c r="CU66">
        <v>9.407841058419103E-2</v>
      </c>
      <c r="CV66">
        <v>0.12542285883881155</v>
      </c>
      <c r="CW66">
        <v>0.10156218539752414</v>
      </c>
      <c r="CX66">
        <v>0.19818063810081854</v>
      </c>
      <c r="CY66">
        <v>0.20407481490860346</v>
      </c>
      <c r="CZ66">
        <v>0.20040236920735108</v>
      </c>
      <c r="DA66">
        <v>0.2134173562663304</v>
      </c>
      <c r="DB66">
        <v>0.22250354625421492</v>
      </c>
      <c r="DC66">
        <v>0.20570553887204773</v>
      </c>
      <c r="DE66" t="s">
        <v>768</v>
      </c>
      <c r="DF66" t="s">
        <v>111</v>
      </c>
      <c r="DG66" t="s">
        <v>112</v>
      </c>
      <c r="DH66">
        <v>0.56970504817489909</v>
      </c>
    </row>
    <row r="67" spans="2:112" x14ac:dyDescent="0.45">
      <c r="B67" t="s">
        <v>783</v>
      </c>
      <c r="C67" t="s">
        <v>107</v>
      </c>
      <c r="D67">
        <v>0.43297553824093465</v>
      </c>
      <c r="E67">
        <v>0.4321877052851088</v>
      </c>
      <c r="F67">
        <v>0.44365471668466727</v>
      </c>
      <c r="G67">
        <v>0.48485166522987283</v>
      </c>
      <c r="H67">
        <v>0.49745718873792172</v>
      </c>
      <c r="I67">
        <v>0.45903717008029599</v>
      </c>
      <c r="J67">
        <v>0.34331430297157378</v>
      </c>
      <c r="K67">
        <v>0.36304580865188346</v>
      </c>
      <c r="L67">
        <v>0.43489500679595672</v>
      </c>
      <c r="M67">
        <v>0.42285919283723195</v>
      </c>
      <c r="N67">
        <v>0.40294472336504522</v>
      </c>
      <c r="O67">
        <v>0.38501129696571806</v>
      </c>
      <c r="P67">
        <v>0.31885438083072304</v>
      </c>
      <c r="Q67">
        <v>0.3850905085737818</v>
      </c>
      <c r="R67">
        <v>0.3852431587239501</v>
      </c>
      <c r="S67">
        <v>0.3713139968953047</v>
      </c>
      <c r="T67">
        <v>0.39544583540105716</v>
      </c>
      <c r="U67">
        <v>0.33775091105206329</v>
      </c>
      <c r="V67">
        <v>0.36536729292490971</v>
      </c>
      <c r="W67">
        <v>0.38471704903825232</v>
      </c>
      <c r="X67">
        <v>0.44581674696570983</v>
      </c>
      <c r="Y67">
        <v>0.47068265108056462</v>
      </c>
      <c r="Z67">
        <v>0.42232915701757384</v>
      </c>
      <c r="AA67">
        <v>0.40433526228875177</v>
      </c>
      <c r="CE67" t="s">
        <v>783</v>
      </c>
      <c r="CF67">
        <v>0.16633125102971183</v>
      </c>
      <c r="CG67">
        <v>0.1540592747931934</v>
      </c>
      <c r="CH67">
        <v>0.13244292476110825</v>
      </c>
      <c r="CI67">
        <v>0.14327317191015237</v>
      </c>
      <c r="CJ67">
        <v>0.16521516135245579</v>
      </c>
      <c r="CK67">
        <v>0.16913037216080007</v>
      </c>
      <c r="CL67">
        <v>0.15728675814071866</v>
      </c>
      <c r="CM67">
        <v>0.14432827426019454</v>
      </c>
      <c r="CN67">
        <v>0.1446199166313685</v>
      </c>
      <c r="CO67">
        <v>0.17045002298708462</v>
      </c>
      <c r="CP67">
        <v>0.1984167431426746</v>
      </c>
      <c r="CQ67">
        <v>0.18663502048729921</v>
      </c>
      <c r="CR67">
        <v>0.11867514599741746</v>
      </c>
      <c r="CS67">
        <v>8.2501545466599061E-2</v>
      </c>
      <c r="CT67">
        <v>4.051559896708172E-2</v>
      </c>
      <c r="CU67">
        <v>4.2025641381268956E-2</v>
      </c>
      <c r="CV67">
        <v>6.1742357865192346E-2</v>
      </c>
      <c r="CW67">
        <v>8.1794553205330425E-2</v>
      </c>
      <c r="CX67">
        <v>0.13937349743166041</v>
      </c>
      <c r="CY67">
        <v>0.12689872666982779</v>
      </c>
      <c r="CZ67">
        <v>0.10161074558508328</v>
      </c>
      <c r="DA67">
        <v>0.10894441754155428</v>
      </c>
      <c r="DB67">
        <v>0.11633938405758351</v>
      </c>
      <c r="DC67">
        <v>0.12875082777606867</v>
      </c>
      <c r="DE67" t="s">
        <v>770</v>
      </c>
      <c r="DF67" t="s">
        <v>111</v>
      </c>
      <c r="DG67" t="s">
        <v>112</v>
      </c>
      <c r="DH67">
        <v>0.37715504151684337</v>
      </c>
    </row>
    <row r="68" spans="2:112" x14ac:dyDescent="0.45">
      <c r="B68" t="s">
        <v>785</v>
      </c>
      <c r="C68" t="s">
        <v>107</v>
      </c>
      <c r="D68">
        <v>0.41347685048188204</v>
      </c>
      <c r="E68">
        <v>0.4230406214694315</v>
      </c>
      <c r="F68">
        <v>0.43367531877993931</v>
      </c>
      <c r="G68">
        <v>0.45363697740782583</v>
      </c>
      <c r="H68">
        <v>0.46044353979572844</v>
      </c>
      <c r="I68">
        <v>0.43412953787967246</v>
      </c>
      <c r="J68">
        <v>0.30288141976143629</v>
      </c>
      <c r="K68">
        <v>0.35418866846633634</v>
      </c>
      <c r="L68">
        <v>0.43207997747316323</v>
      </c>
      <c r="M68">
        <v>0.4284869267502881</v>
      </c>
      <c r="N68">
        <v>0.38800630267659975</v>
      </c>
      <c r="O68">
        <v>0.34511641652385611</v>
      </c>
      <c r="P68">
        <v>0.25585678143252905</v>
      </c>
      <c r="Q68">
        <v>0.32026024560178407</v>
      </c>
      <c r="R68">
        <v>0.42523025299671424</v>
      </c>
      <c r="S68">
        <v>0.40392924286571802</v>
      </c>
      <c r="T68">
        <v>0.36874438535522475</v>
      </c>
      <c r="U68">
        <v>0.32301251734531733</v>
      </c>
      <c r="V68">
        <v>0.30166383897442128</v>
      </c>
      <c r="W68">
        <v>0.35582639209587796</v>
      </c>
      <c r="X68">
        <v>0.46209198450522621</v>
      </c>
      <c r="Y68">
        <v>0.47527058333803779</v>
      </c>
      <c r="Z68">
        <v>0.43078509059960091</v>
      </c>
      <c r="AA68">
        <v>0.36283010973978908</v>
      </c>
      <c r="CE68" t="s">
        <v>785</v>
      </c>
      <c r="CF68">
        <v>0.23544503631740071</v>
      </c>
      <c r="CG68">
        <v>0.22425130909525537</v>
      </c>
      <c r="CH68">
        <v>0.19081756905774894</v>
      </c>
      <c r="CI68">
        <v>0.2182804097883298</v>
      </c>
      <c r="CJ68">
        <v>0.22823857483501536</v>
      </c>
      <c r="CK68">
        <v>0.22673029128145561</v>
      </c>
      <c r="CL68">
        <v>0.19909120941724387</v>
      </c>
      <c r="CM68">
        <v>0.16075982361395449</v>
      </c>
      <c r="CN68">
        <v>0.1603223060576989</v>
      </c>
      <c r="CO68">
        <v>0.21253944657306151</v>
      </c>
      <c r="CP68">
        <v>0.25441622238217598</v>
      </c>
      <c r="CQ68">
        <v>0.22927247481727417</v>
      </c>
      <c r="CR68">
        <v>0.14354080238894532</v>
      </c>
      <c r="CS68">
        <v>7.1578428389192969E-2</v>
      </c>
      <c r="CT68">
        <v>3.7575163762362737E-2</v>
      </c>
      <c r="CU68">
        <v>5.3746603480264506E-2</v>
      </c>
      <c r="CV68">
        <v>8.2348590984858611E-2</v>
      </c>
      <c r="CW68">
        <v>0.11910017532582975</v>
      </c>
      <c r="CX68">
        <v>0.1519992316716591</v>
      </c>
      <c r="CY68">
        <v>0.12725837574365001</v>
      </c>
      <c r="CZ68">
        <v>0.10874262420812895</v>
      </c>
      <c r="DA68">
        <v>0.14922691299772675</v>
      </c>
      <c r="DB68">
        <v>0.1710036749560111</v>
      </c>
      <c r="DC68">
        <v>0.16333196729589067</v>
      </c>
      <c r="DE68" t="s">
        <v>772</v>
      </c>
      <c r="DF68" t="s">
        <v>111</v>
      </c>
      <c r="DG68" t="s">
        <v>112</v>
      </c>
      <c r="DH68">
        <v>0.38172351381423425</v>
      </c>
    </row>
    <row r="69" spans="2:112" x14ac:dyDescent="0.45">
      <c r="B69" t="s">
        <v>787</v>
      </c>
      <c r="C69" t="s">
        <v>107</v>
      </c>
      <c r="D69">
        <v>0.36654240057578996</v>
      </c>
      <c r="E69">
        <v>0.38173830928630892</v>
      </c>
      <c r="F69">
        <v>0.40418964039768041</v>
      </c>
      <c r="G69">
        <v>0.45040742791423788</v>
      </c>
      <c r="H69">
        <v>0.44514402201536291</v>
      </c>
      <c r="I69">
        <v>0.42207374740970394</v>
      </c>
      <c r="J69">
        <v>0.26608772680353687</v>
      </c>
      <c r="K69">
        <v>0.32962999124791703</v>
      </c>
      <c r="L69">
        <v>0.42997439269802495</v>
      </c>
      <c r="M69">
        <v>0.43886811881553839</v>
      </c>
      <c r="N69">
        <v>0.40070188802832635</v>
      </c>
      <c r="O69">
        <v>0.3382666523048648</v>
      </c>
      <c r="P69">
        <v>0.24228397326140017</v>
      </c>
      <c r="Q69">
        <v>0.31202191862990003</v>
      </c>
      <c r="R69">
        <v>0.41889323559694347</v>
      </c>
      <c r="S69">
        <v>0.41248902992277775</v>
      </c>
      <c r="T69">
        <v>0.35948911449332399</v>
      </c>
      <c r="U69">
        <v>0.30512239000960251</v>
      </c>
      <c r="V69">
        <v>0.26810124087436082</v>
      </c>
      <c r="W69">
        <v>0.33452845749572852</v>
      </c>
      <c r="X69">
        <v>0.42805891292851955</v>
      </c>
      <c r="Y69">
        <v>0.45030551942527353</v>
      </c>
      <c r="Z69">
        <v>0.42425849850861652</v>
      </c>
      <c r="AA69">
        <v>0.34290889135467068</v>
      </c>
      <c r="CE69" t="s">
        <v>787</v>
      </c>
      <c r="CF69">
        <v>0.29306543751354852</v>
      </c>
      <c r="CG69">
        <v>0.2815445037562086</v>
      </c>
      <c r="CH69">
        <v>0.24924168075775444</v>
      </c>
      <c r="CI69">
        <v>0.27166562205814587</v>
      </c>
      <c r="CJ69">
        <v>0.28406638921619881</v>
      </c>
      <c r="CK69">
        <v>0.28535703225897335</v>
      </c>
      <c r="CL69">
        <v>0.28608734671252994</v>
      </c>
      <c r="CM69">
        <v>0.23152611443941634</v>
      </c>
      <c r="CN69">
        <v>0.23021402576538239</v>
      </c>
      <c r="CO69">
        <v>0.26881519375502799</v>
      </c>
      <c r="CP69">
        <v>0.30280976448407576</v>
      </c>
      <c r="CQ69">
        <v>0.28641806462598063</v>
      </c>
      <c r="CR69">
        <v>0.24404263668999862</v>
      </c>
      <c r="CS69">
        <v>0.14080239022988109</v>
      </c>
      <c r="CT69">
        <v>7.927520685792494E-2</v>
      </c>
      <c r="CU69">
        <v>8.7731482047014392E-2</v>
      </c>
      <c r="CV69">
        <v>0.12275057972129889</v>
      </c>
      <c r="CW69">
        <v>0.1933893425517734</v>
      </c>
      <c r="CX69">
        <v>0.24025521308635614</v>
      </c>
      <c r="CY69">
        <v>0.21049943766816562</v>
      </c>
      <c r="CZ69">
        <v>0.18038679214263853</v>
      </c>
      <c r="DA69">
        <v>0.21390429389167576</v>
      </c>
      <c r="DB69">
        <v>0.22990171272295831</v>
      </c>
      <c r="DC69">
        <v>0.22839813566168121</v>
      </c>
      <c r="DE69" t="s">
        <v>774</v>
      </c>
      <c r="DF69" t="s">
        <v>111</v>
      </c>
      <c r="DG69" t="s">
        <v>112</v>
      </c>
      <c r="DH69">
        <v>0.36093402866774937</v>
      </c>
    </row>
    <row r="70" spans="2:112" x14ac:dyDescent="0.45">
      <c r="B70" t="s">
        <v>789</v>
      </c>
      <c r="C70" t="s">
        <v>107</v>
      </c>
      <c r="D70">
        <v>0.47228571496125954</v>
      </c>
      <c r="E70">
        <v>0.49719614264441986</v>
      </c>
      <c r="F70">
        <v>0.48694556449142795</v>
      </c>
      <c r="G70">
        <v>0.46964643822177293</v>
      </c>
      <c r="H70">
        <v>0.42721689924300954</v>
      </c>
      <c r="I70">
        <v>0.42557111094571354</v>
      </c>
      <c r="J70">
        <v>0.45177964918377711</v>
      </c>
      <c r="K70">
        <v>0.4605282269961265</v>
      </c>
      <c r="L70">
        <v>0.47469640430204751</v>
      </c>
      <c r="M70">
        <v>0.38506785462752563</v>
      </c>
      <c r="N70">
        <v>0.3353236942631509</v>
      </c>
      <c r="O70">
        <v>0.35775021972890514</v>
      </c>
      <c r="P70">
        <v>0.41101279432471405</v>
      </c>
      <c r="Q70">
        <v>0.44537995754619475</v>
      </c>
      <c r="R70">
        <v>0.42838153014576952</v>
      </c>
      <c r="S70">
        <v>0.36256671786627892</v>
      </c>
      <c r="T70">
        <v>0.33122863385542156</v>
      </c>
      <c r="U70">
        <v>0.34737065728037758</v>
      </c>
      <c r="V70">
        <v>0.44466435144724326</v>
      </c>
      <c r="W70">
        <v>0.46059983719216951</v>
      </c>
      <c r="X70">
        <v>0.46150737934473313</v>
      </c>
      <c r="Y70">
        <v>0.39167784880005302</v>
      </c>
      <c r="Z70">
        <v>0.35476343408264838</v>
      </c>
      <c r="AA70">
        <v>0.39614451130185319</v>
      </c>
      <c r="CE70" t="s">
        <v>789</v>
      </c>
      <c r="CF70">
        <v>0.20752348676640717</v>
      </c>
      <c r="CG70">
        <v>0.20322624397562308</v>
      </c>
      <c r="CH70">
        <v>0.19356741690270302</v>
      </c>
      <c r="CI70">
        <v>0.1975354756285877</v>
      </c>
      <c r="CJ70">
        <v>0.22128283436070725</v>
      </c>
      <c r="CK70">
        <v>0.22904439198023421</v>
      </c>
      <c r="CL70">
        <v>0.19569077101570642</v>
      </c>
      <c r="CM70">
        <v>0.1662040305311154</v>
      </c>
      <c r="CN70">
        <v>0.17147129538538891</v>
      </c>
      <c r="CO70">
        <v>0.23122181823403479</v>
      </c>
      <c r="CP70">
        <v>0.29418975177121592</v>
      </c>
      <c r="CQ70">
        <v>0.2698640473778865</v>
      </c>
      <c r="CR70">
        <v>9.6461384608955675E-2</v>
      </c>
      <c r="CS70">
        <v>7.6093454789868772E-2</v>
      </c>
      <c r="CT70">
        <v>8.7785275044516303E-2</v>
      </c>
      <c r="CU70">
        <v>0.13299360857251155</v>
      </c>
      <c r="CV70">
        <v>0.15855416436666642</v>
      </c>
      <c r="CW70">
        <v>0.13355644289714572</v>
      </c>
      <c r="CX70">
        <v>0.2174132077796572</v>
      </c>
      <c r="CY70">
        <v>0.21441746213969781</v>
      </c>
      <c r="CZ70">
        <v>0.20427324609356243</v>
      </c>
      <c r="DA70">
        <v>0.20893468246119226</v>
      </c>
      <c r="DB70">
        <v>0.22916471899833391</v>
      </c>
      <c r="DC70">
        <v>0.23384727747527093</v>
      </c>
      <c r="DE70" t="s">
        <v>776</v>
      </c>
      <c r="DF70" t="s">
        <v>111</v>
      </c>
      <c r="DG70" t="s">
        <v>112</v>
      </c>
      <c r="DH70">
        <v>0.47856379617554817</v>
      </c>
    </row>
    <row r="71" spans="2:112" x14ac:dyDescent="0.45">
      <c r="B71" t="s">
        <v>791</v>
      </c>
      <c r="C71" t="s">
        <v>107</v>
      </c>
      <c r="D71">
        <v>0.54623166761177755</v>
      </c>
      <c r="E71">
        <v>0.53583947090672412</v>
      </c>
      <c r="F71">
        <v>0.55241898826724167</v>
      </c>
      <c r="G71">
        <v>0.5678848451687355</v>
      </c>
      <c r="H71">
        <v>0.51628621208151593</v>
      </c>
      <c r="I71">
        <v>0.48358236587742276</v>
      </c>
      <c r="J71">
        <v>0.5359885285557644</v>
      </c>
      <c r="K71">
        <v>0.55012570059775212</v>
      </c>
      <c r="L71">
        <v>0.54321057251740557</v>
      </c>
      <c r="M71">
        <v>0.40953585669224013</v>
      </c>
      <c r="N71">
        <v>0.38211169089378805</v>
      </c>
      <c r="O71">
        <v>0.43250865894808238</v>
      </c>
      <c r="P71">
        <v>0.35663742776274393</v>
      </c>
      <c r="Q71">
        <v>0.41035241713962195</v>
      </c>
      <c r="R71">
        <v>0.41571872023639567</v>
      </c>
      <c r="S71">
        <v>0.30699406295448456</v>
      </c>
      <c r="T71">
        <v>0.29080857720020536</v>
      </c>
      <c r="U71">
        <v>0.3268203950418716</v>
      </c>
      <c r="V71">
        <v>0.50684302602573861</v>
      </c>
      <c r="W71">
        <v>0.51540486623674742</v>
      </c>
      <c r="X71">
        <v>0.53263869590448465</v>
      </c>
      <c r="Y71">
        <v>0.43271764685395248</v>
      </c>
      <c r="Z71">
        <v>0.37370432443588103</v>
      </c>
      <c r="AA71">
        <v>0.4315706215771713</v>
      </c>
      <c r="CE71" t="s">
        <v>791</v>
      </c>
      <c r="CF71">
        <v>8.7276100021942207E-2</v>
      </c>
      <c r="CG71">
        <v>8.2475845615974527E-2</v>
      </c>
      <c r="CH71">
        <v>7.5307580249177081E-2</v>
      </c>
      <c r="CI71">
        <v>8.1813445159544543E-2</v>
      </c>
      <c r="CJ71">
        <v>0.10023685238686286</v>
      </c>
      <c r="CK71">
        <v>9.2597591127613899E-2</v>
      </c>
      <c r="CL71">
        <v>8.83908060112963E-2</v>
      </c>
      <c r="CM71">
        <v>7.5737172044287232E-2</v>
      </c>
      <c r="CN71">
        <v>8.2111910715247038E-2</v>
      </c>
      <c r="CO71">
        <v>0.14991444230005416</v>
      </c>
      <c r="CP71">
        <v>0.19339974576512864</v>
      </c>
      <c r="CQ71">
        <v>0.15915940549524932</v>
      </c>
      <c r="CR71">
        <v>2.4462972329670069E-2</v>
      </c>
      <c r="CS71">
        <v>1.9118051973118385E-2</v>
      </c>
      <c r="CT71">
        <v>2.5143255466979968E-2</v>
      </c>
      <c r="CU71">
        <v>7.107079374701783E-2</v>
      </c>
      <c r="CV71">
        <v>8.949658403382299E-2</v>
      </c>
      <c r="CW71">
        <v>5.6445619434732405E-2</v>
      </c>
      <c r="CX71">
        <v>7.7431281940924551E-2</v>
      </c>
      <c r="CY71">
        <v>6.9536804672200137E-2</v>
      </c>
      <c r="CZ71">
        <v>6.3514890506157426E-2</v>
      </c>
      <c r="DA71">
        <v>8.6966261201991871E-2</v>
      </c>
      <c r="DB71">
        <v>0.10905466825554605</v>
      </c>
      <c r="DC71">
        <v>8.9032111616102444E-2</v>
      </c>
      <c r="DE71" t="s">
        <v>778</v>
      </c>
      <c r="DF71" t="s">
        <v>111</v>
      </c>
      <c r="DG71" t="s">
        <v>112</v>
      </c>
      <c r="DH71">
        <v>0.39199087437692848</v>
      </c>
    </row>
    <row r="72" spans="2:112" x14ac:dyDescent="0.45">
      <c r="B72" t="s">
        <v>793</v>
      </c>
      <c r="C72" t="s">
        <v>107</v>
      </c>
      <c r="D72">
        <v>0.45907766595282778</v>
      </c>
      <c r="E72">
        <v>0.48304610731405762</v>
      </c>
      <c r="F72">
        <v>0.50015785387567346</v>
      </c>
      <c r="G72">
        <v>0.50929874442504275</v>
      </c>
      <c r="H72">
        <v>0.47968844199805638</v>
      </c>
      <c r="I72">
        <v>0.44332751080420818</v>
      </c>
      <c r="J72">
        <v>0.34333756140765365</v>
      </c>
      <c r="K72">
        <v>0.37648503792795812</v>
      </c>
      <c r="L72">
        <v>0.45172364976154705</v>
      </c>
      <c r="M72">
        <v>0.4184429443186618</v>
      </c>
      <c r="N72">
        <v>0.37814409093285378</v>
      </c>
      <c r="O72">
        <v>0.36638930925908769</v>
      </c>
      <c r="P72">
        <v>0.33074792875559644</v>
      </c>
      <c r="Q72">
        <v>0.33898100061550257</v>
      </c>
      <c r="R72">
        <v>0.43260606740513169</v>
      </c>
      <c r="S72">
        <v>0.47597972363036412</v>
      </c>
      <c r="T72">
        <v>0.4525322792266428</v>
      </c>
      <c r="U72">
        <v>0.39298112039097854</v>
      </c>
      <c r="V72">
        <v>0.36448853642834672</v>
      </c>
      <c r="W72">
        <v>0.36935955810556542</v>
      </c>
      <c r="X72">
        <v>0.45448129705411044</v>
      </c>
      <c r="Y72">
        <v>0.48021783676464919</v>
      </c>
      <c r="Z72">
        <v>0.44667989977051797</v>
      </c>
      <c r="AA72">
        <v>0.41738586043641412</v>
      </c>
      <c r="CE72" t="s">
        <v>793</v>
      </c>
      <c r="CF72">
        <v>0.17385957609963892</v>
      </c>
      <c r="CG72">
        <v>0.1664025054463103</v>
      </c>
      <c r="CH72">
        <v>0.1465850753630886</v>
      </c>
      <c r="CI72">
        <v>0.18223756203951669</v>
      </c>
      <c r="CJ72">
        <v>0.19102983958268865</v>
      </c>
      <c r="CK72">
        <v>0.17775983361256151</v>
      </c>
      <c r="CL72">
        <v>0.149391529000551</v>
      </c>
      <c r="CM72">
        <v>0.12362939152576337</v>
      </c>
      <c r="CN72">
        <v>0.12618845814612079</v>
      </c>
      <c r="CO72">
        <v>0.18591281200689322</v>
      </c>
      <c r="CP72">
        <v>0.22912767607628692</v>
      </c>
      <c r="CQ72">
        <v>0.19371705254477023</v>
      </c>
      <c r="CR72">
        <v>0.12086922446958341</v>
      </c>
      <c r="CS72">
        <v>7.1907681227129622E-2</v>
      </c>
      <c r="CT72">
        <v>4.0362468206371127E-2</v>
      </c>
      <c r="CU72">
        <v>6.3857229908696994E-2</v>
      </c>
      <c r="CV72">
        <v>8.5169665970769401E-2</v>
      </c>
      <c r="CW72">
        <v>8.6719887065273685E-2</v>
      </c>
      <c r="CX72">
        <v>0.12328141168510132</v>
      </c>
      <c r="CY72">
        <v>0.10094334731776584</v>
      </c>
      <c r="CZ72">
        <v>7.0587903422159884E-2</v>
      </c>
      <c r="DA72">
        <v>0.10728805614281291</v>
      </c>
      <c r="DB72">
        <v>0.13401034013592131</v>
      </c>
      <c r="DC72">
        <v>0.13509667914211693</v>
      </c>
      <c r="DE72" t="s">
        <v>780</v>
      </c>
      <c r="DF72" t="s">
        <v>111</v>
      </c>
      <c r="DG72" t="s">
        <v>112</v>
      </c>
      <c r="DH72">
        <v>0.47790261234188131</v>
      </c>
    </row>
    <row r="73" spans="2:112" x14ac:dyDescent="0.45">
      <c r="B73" t="s">
        <v>795</v>
      </c>
      <c r="C73" t="s">
        <v>107</v>
      </c>
      <c r="D73">
        <v>0.38420940457363384</v>
      </c>
      <c r="E73">
        <v>0.37976026180582784</v>
      </c>
      <c r="F73">
        <v>0.39377810755886639</v>
      </c>
      <c r="G73">
        <v>0.40467045173671118</v>
      </c>
      <c r="H73">
        <v>0.39123597404976906</v>
      </c>
      <c r="I73">
        <v>0.38367133686202937</v>
      </c>
      <c r="J73">
        <v>0.34195293222828144</v>
      </c>
      <c r="K73">
        <v>0.39028975470226285</v>
      </c>
      <c r="L73">
        <v>0.39734056036858661</v>
      </c>
      <c r="M73">
        <v>0.38901454067598074</v>
      </c>
      <c r="N73">
        <v>0.35970820448730584</v>
      </c>
      <c r="O73">
        <v>0.33130342233091586</v>
      </c>
      <c r="P73">
        <v>0.25552677421134024</v>
      </c>
      <c r="Q73">
        <v>0.30550194554353827</v>
      </c>
      <c r="R73">
        <v>0.43963190536664026</v>
      </c>
      <c r="S73">
        <v>0.44180711338215128</v>
      </c>
      <c r="T73">
        <v>0.37094953851317608</v>
      </c>
      <c r="U73">
        <v>0.25974043642947064</v>
      </c>
      <c r="V73">
        <v>0.35085153492032478</v>
      </c>
      <c r="W73">
        <v>0.41780410682731406</v>
      </c>
      <c r="X73">
        <v>0.44045040598225021</v>
      </c>
      <c r="Y73">
        <v>0.41316554537257866</v>
      </c>
      <c r="Z73">
        <v>0.36927353854044331</v>
      </c>
      <c r="AA73">
        <v>0.31673636685652501</v>
      </c>
      <c r="CE73" t="s">
        <v>795</v>
      </c>
      <c r="CF73">
        <v>0.28432091127252945</v>
      </c>
      <c r="CG73">
        <v>0.28897558099957266</v>
      </c>
      <c r="CH73">
        <v>0.26791677282974929</v>
      </c>
      <c r="CI73">
        <v>0.31315768039759168</v>
      </c>
      <c r="CJ73">
        <v>0.30650781450172454</v>
      </c>
      <c r="CK73">
        <v>0.27936493159521758</v>
      </c>
      <c r="CL73">
        <v>0.20785686553607671</v>
      </c>
      <c r="CM73">
        <v>0.19885671686457762</v>
      </c>
      <c r="CN73">
        <v>0.23803370649323088</v>
      </c>
      <c r="CO73">
        <v>0.27210964381322195</v>
      </c>
      <c r="CP73">
        <v>0.30421505016081302</v>
      </c>
      <c r="CQ73">
        <v>0.26727699925525311</v>
      </c>
      <c r="CR73">
        <v>0.10862198328008536</v>
      </c>
      <c r="CS73">
        <v>6.113709598957686E-2</v>
      </c>
      <c r="CT73">
        <v>5.3275562388973949E-2</v>
      </c>
      <c r="CU73">
        <v>7.3598790782655979E-2</v>
      </c>
      <c r="CV73">
        <v>0.10873698061173646</v>
      </c>
      <c r="CW73">
        <v>0.14982556704873992</v>
      </c>
      <c r="CX73">
        <v>0.18873683259034013</v>
      </c>
      <c r="CY73">
        <v>0.18145321415553672</v>
      </c>
      <c r="CZ73">
        <v>0.17966311763667525</v>
      </c>
      <c r="DA73">
        <v>0.23284990655371701</v>
      </c>
      <c r="DB73">
        <v>0.24194491548683902</v>
      </c>
      <c r="DC73">
        <v>0.22278424812894784</v>
      </c>
      <c r="DE73" t="s">
        <v>782</v>
      </c>
      <c r="DF73" t="s">
        <v>111</v>
      </c>
      <c r="DG73" t="s">
        <v>112</v>
      </c>
      <c r="DH73">
        <v>0.48779522145688775</v>
      </c>
    </row>
    <row r="74" spans="2:112" x14ac:dyDescent="0.45">
      <c r="B74" t="s">
        <v>797</v>
      </c>
      <c r="C74" t="s">
        <v>107</v>
      </c>
      <c r="D74">
        <v>0.48276030613657156</v>
      </c>
      <c r="E74">
        <v>0.49110451181340242</v>
      </c>
      <c r="F74">
        <v>0.48446379035185705</v>
      </c>
      <c r="G74">
        <v>0.46741089035018552</v>
      </c>
      <c r="H74">
        <v>0.43694670719254081</v>
      </c>
      <c r="I74">
        <v>0.45055957253974099</v>
      </c>
      <c r="J74">
        <v>0.44128431046481614</v>
      </c>
      <c r="K74">
        <v>0.4821698916344323</v>
      </c>
      <c r="L74">
        <v>0.47858459981085755</v>
      </c>
      <c r="M74">
        <v>0.43056157959103375</v>
      </c>
      <c r="N74">
        <v>0.39146846310439354</v>
      </c>
      <c r="O74">
        <v>0.38184275459381362</v>
      </c>
      <c r="P74">
        <v>0.27806893249690334</v>
      </c>
      <c r="Q74">
        <v>0.2956719507028896</v>
      </c>
      <c r="R74">
        <v>0.41640480504280936</v>
      </c>
      <c r="S74">
        <v>0.37955804368990304</v>
      </c>
      <c r="T74">
        <v>0.34357310876053049</v>
      </c>
      <c r="U74">
        <v>0.32294401905845987</v>
      </c>
      <c r="V74">
        <v>0.4072182285341433</v>
      </c>
      <c r="W74">
        <v>0.43164583437317172</v>
      </c>
      <c r="X74">
        <v>0.52225144947839641</v>
      </c>
      <c r="Y74">
        <v>0.50072990808061812</v>
      </c>
      <c r="Z74">
        <v>0.42704068781612003</v>
      </c>
      <c r="AA74">
        <v>0.35590613039878993</v>
      </c>
      <c r="CE74" t="s">
        <v>797</v>
      </c>
      <c r="CF74">
        <v>0.18210965866963255</v>
      </c>
      <c r="CG74">
        <v>0.17593336706032767</v>
      </c>
      <c r="CH74">
        <v>0.15881398740808705</v>
      </c>
      <c r="CI74">
        <v>0.18271828615403554</v>
      </c>
      <c r="CJ74">
        <v>0.20251154944155306</v>
      </c>
      <c r="CK74">
        <v>0.18145310761428521</v>
      </c>
      <c r="CL74">
        <v>0.14699623515423391</v>
      </c>
      <c r="CM74">
        <v>0.13168394172729855</v>
      </c>
      <c r="CN74">
        <v>0.13770543910558175</v>
      </c>
      <c r="CO74">
        <v>0.18217607263634503</v>
      </c>
      <c r="CP74">
        <v>0.21335687720492152</v>
      </c>
      <c r="CQ74">
        <v>0.17802465486433694</v>
      </c>
      <c r="CR74">
        <v>4.2172166103859189E-2</v>
      </c>
      <c r="CS74">
        <v>2.8047791353646583E-2</v>
      </c>
      <c r="CT74">
        <v>2.8910408065505301E-2</v>
      </c>
      <c r="CU74">
        <v>5.0783172501567449E-2</v>
      </c>
      <c r="CV74">
        <v>7.5273545838569239E-2</v>
      </c>
      <c r="CW74">
        <v>7.7015624029191543E-2</v>
      </c>
      <c r="CX74">
        <v>5.8229581723391169E-2</v>
      </c>
      <c r="CY74">
        <v>4.8011100036860321E-2</v>
      </c>
      <c r="CZ74">
        <v>4.6589012533090633E-2</v>
      </c>
      <c r="DA74">
        <v>7.2464265991261489E-2</v>
      </c>
      <c r="DB74">
        <v>8.618484420032009E-2</v>
      </c>
      <c r="DC74">
        <v>7.5557709391967806E-2</v>
      </c>
      <c r="DE74" t="s">
        <v>784</v>
      </c>
      <c r="DF74" t="s">
        <v>111</v>
      </c>
      <c r="DG74" t="s">
        <v>112</v>
      </c>
      <c r="DH74">
        <v>0.41968940175052594</v>
      </c>
    </row>
    <row r="75" spans="2:112" x14ac:dyDescent="0.45">
      <c r="B75" t="s">
        <v>798</v>
      </c>
      <c r="C75" t="s">
        <v>107</v>
      </c>
      <c r="D75">
        <v>0.37292837617310159</v>
      </c>
      <c r="E75">
        <v>0.3548453890053711</v>
      </c>
      <c r="F75">
        <v>0.37395258455810959</v>
      </c>
      <c r="G75">
        <v>0.44090892476608229</v>
      </c>
      <c r="H75">
        <v>0.43454616617623454</v>
      </c>
      <c r="I75">
        <v>0.42105243707810347</v>
      </c>
      <c r="J75">
        <v>0.47535215501624289</v>
      </c>
      <c r="K75">
        <v>0.46053581994745962</v>
      </c>
      <c r="L75">
        <v>0.49301100549473126</v>
      </c>
      <c r="M75">
        <v>0.44802305629651529</v>
      </c>
      <c r="N75">
        <v>0.38685804991286143</v>
      </c>
      <c r="O75">
        <v>0.40881694864383544</v>
      </c>
      <c r="P75">
        <v>0.45425706065295951</v>
      </c>
      <c r="Q75">
        <v>0.60069098031589951</v>
      </c>
      <c r="R75">
        <v>0.48711691069995827</v>
      </c>
      <c r="S75">
        <v>0.26881935997853446</v>
      </c>
      <c r="T75">
        <v>0.17363233564432012</v>
      </c>
      <c r="U75">
        <v>0.21143031482609853</v>
      </c>
      <c r="V75">
        <v>0.52370716393032335</v>
      </c>
      <c r="W75">
        <v>0.51483815712210146</v>
      </c>
      <c r="X75">
        <v>0.57236465277195536</v>
      </c>
      <c r="Y75">
        <v>0.55269498582323717</v>
      </c>
      <c r="Z75">
        <v>0.40976201076850516</v>
      </c>
      <c r="AA75">
        <v>0.39302747914292585</v>
      </c>
      <c r="CE75" t="s">
        <v>798</v>
      </c>
      <c r="CF75">
        <v>0.35497657675402233</v>
      </c>
      <c r="CG75">
        <v>0.39843600746443142</v>
      </c>
      <c r="CH75">
        <v>0.36430798175723628</v>
      </c>
      <c r="CI75">
        <v>0.34457480109228689</v>
      </c>
      <c r="CJ75">
        <v>0.32732313609104835</v>
      </c>
      <c r="CK75">
        <v>0.31133181415613809</v>
      </c>
      <c r="CL75">
        <v>0.22637111730491957</v>
      </c>
      <c r="CM75">
        <v>0.24432287860007437</v>
      </c>
      <c r="CN75">
        <v>0.24278970363305991</v>
      </c>
      <c r="CO75">
        <v>0.27278845133358542</v>
      </c>
      <c r="CP75">
        <v>0.31475390415248466</v>
      </c>
      <c r="CQ75">
        <v>0.26544351098159297</v>
      </c>
      <c r="CR75">
        <v>4.2746286328016303E-2</v>
      </c>
      <c r="CS75">
        <v>3.408904688651182E-2</v>
      </c>
      <c r="CT75">
        <v>3.2392762527339247E-2</v>
      </c>
      <c r="CU75">
        <v>7.1873627744508589E-2</v>
      </c>
      <c r="CV75">
        <v>0.14346527684753477</v>
      </c>
      <c r="CW75">
        <v>0.11825957375003369</v>
      </c>
      <c r="CX75">
        <v>0.14522553422331524</v>
      </c>
      <c r="CY75">
        <v>0.15155828638063346</v>
      </c>
      <c r="CZ75">
        <v>0.12309635205491516</v>
      </c>
      <c r="DA75">
        <v>0.12622869449894839</v>
      </c>
      <c r="DB75">
        <v>0.15659556879415221</v>
      </c>
      <c r="DC75">
        <v>0.15944616868649464</v>
      </c>
      <c r="DE75" t="s">
        <v>786</v>
      </c>
      <c r="DF75" t="s">
        <v>111</v>
      </c>
      <c r="DG75" t="s">
        <v>112</v>
      </c>
      <c r="DH75">
        <v>0.46057876829015487</v>
      </c>
    </row>
    <row r="76" spans="2:112" x14ac:dyDescent="0.45">
      <c r="B76" t="s">
        <v>799</v>
      </c>
      <c r="C76" t="s">
        <v>107</v>
      </c>
      <c r="D76">
        <v>0.36074856610577549</v>
      </c>
      <c r="E76">
        <v>0.38456619099952205</v>
      </c>
      <c r="F76">
        <v>0.40682782069884021</v>
      </c>
      <c r="G76">
        <v>0.42449704125969107</v>
      </c>
      <c r="H76">
        <v>0.37858996231716313</v>
      </c>
      <c r="I76">
        <v>0.32977363944816529</v>
      </c>
      <c r="J76">
        <v>0.38338780629485836</v>
      </c>
      <c r="K76">
        <v>0.42395097817726174</v>
      </c>
      <c r="L76">
        <v>0.43849096549875349</v>
      </c>
      <c r="M76">
        <v>0.36396748862616546</v>
      </c>
      <c r="N76">
        <v>0.27106774596169686</v>
      </c>
      <c r="O76">
        <v>0.28340578995571131</v>
      </c>
      <c r="P76">
        <v>0.38644457554865003</v>
      </c>
      <c r="Q76">
        <v>0.3936298758171215</v>
      </c>
      <c r="R76">
        <v>0.34731472504848365</v>
      </c>
      <c r="S76">
        <v>0.22283197039840286</v>
      </c>
      <c r="T76">
        <v>0.16199041738202635</v>
      </c>
      <c r="U76">
        <v>0.21846741990001853</v>
      </c>
      <c r="V76">
        <v>0.4864324740913652</v>
      </c>
      <c r="W76">
        <v>0.49607400787563349</v>
      </c>
      <c r="X76">
        <v>0.51290350063029799</v>
      </c>
      <c r="Y76">
        <v>0.46755635836916848</v>
      </c>
      <c r="Z76">
        <v>0.34879800456994131</v>
      </c>
      <c r="AA76">
        <v>0.3387816618182245</v>
      </c>
      <c r="CE76" t="s">
        <v>799</v>
      </c>
      <c r="CF76">
        <v>0.29578976798347595</v>
      </c>
      <c r="CG76">
        <v>0.32842498937946618</v>
      </c>
      <c r="CH76">
        <v>0.30974294455761414</v>
      </c>
      <c r="CI76">
        <v>0.30831583233456233</v>
      </c>
      <c r="CJ76">
        <v>0.30630311786228048</v>
      </c>
      <c r="CK76">
        <v>0.29936752145026757</v>
      </c>
      <c r="CL76">
        <v>0.18527365670987933</v>
      </c>
      <c r="CM76">
        <v>0.18402389802909641</v>
      </c>
      <c r="CN76">
        <v>0.19021058233285676</v>
      </c>
      <c r="CO76">
        <v>0.24163673002599123</v>
      </c>
      <c r="CP76">
        <v>0.31554925180342397</v>
      </c>
      <c r="CQ76">
        <v>0.26844340680339251</v>
      </c>
      <c r="CR76">
        <v>5.5461511445000701E-2</v>
      </c>
      <c r="CS76">
        <v>5.2213939991826566E-2</v>
      </c>
      <c r="CT76">
        <v>5.7485139219807642E-2</v>
      </c>
      <c r="CU76">
        <v>0.11695051994793045</v>
      </c>
      <c r="CV76">
        <v>0.17999933124372394</v>
      </c>
      <c r="CW76">
        <v>0.13974242988048044</v>
      </c>
      <c r="CX76">
        <v>0.13076407899191297</v>
      </c>
      <c r="CY76">
        <v>0.13311303508843114</v>
      </c>
      <c r="CZ76">
        <v>0.11875480118792076</v>
      </c>
      <c r="DA76">
        <v>0.12454927090277407</v>
      </c>
      <c r="DB76">
        <v>0.15984344246380319</v>
      </c>
      <c r="DC76">
        <v>0.16314947598471907</v>
      </c>
      <c r="DE76" t="s">
        <v>788</v>
      </c>
      <c r="DF76" t="s">
        <v>111</v>
      </c>
      <c r="DG76" t="s">
        <v>112</v>
      </c>
      <c r="DH76">
        <v>0.60583656953176535</v>
      </c>
    </row>
    <row r="77" spans="2:112" x14ac:dyDescent="0.45">
      <c r="B77" t="s">
        <v>800</v>
      </c>
      <c r="C77" t="s">
        <v>107</v>
      </c>
      <c r="D77">
        <v>0.43994147901051478</v>
      </c>
      <c r="E77">
        <v>0.45655087009120471</v>
      </c>
      <c r="F77">
        <v>0.46746784556847049</v>
      </c>
      <c r="G77">
        <v>0.47854851995336578</v>
      </c>
      <c r="H77">
        <v>0.46281113757466158</v>
      </c>
      <c r="I77">
        <v>0.44234509077334316</v>
      </c>
      <c r="J77">
        <v>0.40432635186445504</v>
      </c>
      <c r="K77">
        <v>0.45566031616766067</v>
      </c>
      <c r="L77">
        <v>0.45919402910281965</v>
      </c>
      <c r="M77">
        <v>0.37762982277952784</v>
      </c>
      <c r="N77">
        <v>0.3751616120231191</v>
      </c>
      <c r="O77">
        <v>0.38897743844492699</v>
      </c>
      <c r="P77">
        <v>0.38197750259402902</v>
      </c>
      <c r="Q77">
        <v>0.44203615631325277</v>
      </c>
      <c r="R77">
        <v>0.47327478319434935</v>
      </c>
      <c r="S77">
        <v>0.44984689356333252</v>
      </c>
      <c r="T77">
        <v>0.47369048166683742</v>
      </c>
      <c r="U77">
        <v>0.41651833915660891</v>
      </c>
      <c r="V77">
        <v>0.38333051055776191</v>
      </c>
      <c r="W77">
        <v>0.43849914341007135</v>
      </c>
      <c r="X77">
        <v>0.4766643387744352</v>
      </c>
      <c r="Y77">
        <v>0.44455553140932264</v>
      </c>
      <c r="Z77">
        <v>0.43032543377761689</v>
      </c>
      <c r="AA77">
        <v>0.37949088397584085</v>
      </c>
      <c r="CE77" t="s">
        <v>800</v>
      </c>
      <c r="CF77">
        <v>0.23868122546006368</v>
      </c>
      <c r="CG77">
        <v>0.25717682829498834</v>
      </c>
      <c r="CH77">
        <v>0.24732230390414978</v>
      </c>
      <c r="CI77">
        <v>0.27380441682166529</v>
      </c>
      <c r="CJ77">
        <v>0.26965768817796126</v>
      </c>
      <c r="CK77">
        <v>0.25493563289748705</v>
      </c>
      <c r="CL77">
        <v>0.20527644074099982</v>
      </c>
      <c r="CM77">
        <v>0.17671654390948366</v>
      </c>
      <c r="CN77">
        <v>0.19586726587540795</v>
      </c>
      <c r="CO77">
        <v>0.24626260959771062</v>
      </c>
      <c r="CP77">
        <v>0.26995184725399513</v>
      </c>
      <c r="CQ77">
        <v>0.24469681769274115</v>
      </c>
      <c r="CR77">
        <v>0.16073481588133329</v>
      </c>
      <c r="CS77">
        <v>0.10182510810719048</v>
      </c>
      <c r="CT77">
        <v>8.5774346243589789E-2</v>
      </c>
      <c r="CU77">
        <v>0.10441331857398913</v>
      </c>
      <c r="CV77">
        <v>0.13414407126488062</v>
      </c>
      <c r="CW77">
        <v>0.1772190085719916</v>
      </c>
      <c r="CX77">
        <v>0.23103050976781256</v>
      </c>
      <c r="CY77">
        <v>0.20886770806748814</v>
      </c>
      <c r="CZ77">
        <v>0.18391012583587482</v>
      </c>
      <c r="DA77">
        <v>0.20410030808842097</v>
      </c>
      <c r="DB77">
        <v>0.23131652190223184</v>
      </c>
      <c r="DC77">
        <v>0.27201551292198706</v>
      </c>
      <c r="DE77" t="s">
        <v>790</v>
      </c>
      <c r="DF77" t="s">
        <v>111</v>
      </c>
      <c r="DG77" t="s">
        <v>112</v>
      </c>
      <c r="DH77">
        <v>0.47787986208183059</v>
      </c>
    </row>
    <row r="78" spans="2:112" x14ac:dyDescent="0.45">
      <c r="B78" t="s">
        <v>801</v>
      </c>
      <c r="C78" t="s">
        <v>107</v>
      </c>
      <c r="D78">
        <v>0.38763855636598871</v>
      </c>
      <c r="E78">
        <v>0.39892373244903712</v>
      </c>
      <c r="F78">
        <v>0.40769562649822882</v>
      </c>
      <c r="G78">
        <v>0.40409155896857868</v>
      </c>
      <c r="H78">
        <v>0.38527968619356673</v>
      </c>
      <c r="I78">
        <v>0.38618978548325561</v>
      </c>
      <c r="J78">
        <v>0.36564067016161683</v>
      </c>
      <c r="K78">
        <v>0.37739546746253522</v>
      </c>
      <c r="L78">
        <v>0.40593910222688157</v>
      </c>
      <c r="M78">
        <v>0.36891011912592864</v>
      </c>
      <c r="N78">
        <v>0.3700519518746001</v>
      </c>
      <c r="O78">
        <v>0.38282448669038344</v>
      </c>
      <c r="P78">
        <v>0.34124903451643074</v>
      </c>
      <c r="Q78">
        <v>0.39374487218408694</v>
      </c>
      <c r="R78">
        <v>0.426673622789153</v>
      </c>
      <c r="S78">
        <v>0.43626869399872426</v>
      </c>
      <c r="T78">
        <v>0.39616134094045807</v>
      </c>
      <c r="U78">
        <v>0.3210211192583815</v>
      </c>
      <c r="V78">
        <v>0.36631291789303411</v>
      </c>
      <c r="W78">
        <v>0.38022432894562674</v>
      </c>
      <c r="X78">
        <v>0.38868342835052688</v>
      </c>
      <c r="Y78">
        <v>0.37865273930465837</v>
      </c>
      <c r="Z78">
        <v>0.36670221276092757</v>
      </c>
      <c r="AA78">
        <v>0.35096606580436818</v>
      </c>
      <c r="CE78" t="s">
        <v>801</v>
      </c>
      <c r="CF78">
        <v>0.20286056168504957</v>
      </c>
      <c r="CG78">
        <v>0.21996040426042127</v>
      </c>
      <c r="CH78">
        <v>0.20941939441653659</v>
      </c>
      <c r="CI78">
        <v>0.23183802420317973</v>
      </c>
      <c r="CJ78">
        <v>0.23363141654829439</v>
      </c>
      <c r="CK78">
        <v>0.2104649277568732</v>
      </c>
      <c r="CL78">
        <v>0.16014039260419335</v>
      </c>
      <c r="CM78">
        <v>0.15662373611078786</v>
      </c>
      <c r="CN78">
        <v>0.18961533225207028</v>
      </c>
      <c r="CO78">
        <v>0.23868301769960801</v>
      </c>
      <c r="CP78">
        <v>0.25206727052068773</v>
      </c>
      <c r="CQ78">
        <v>0.21273243467414552</v>
      </c>
      <c r="CR78">
        <v>0.11336442916261473</v>
      </c>
      <c r="CS78">
        <v>8.2739096809162027E-2</v>
      </c>
      <c r="CT78">
        <v>9.3675641348773597E-2</v>
      </c>
      <c r="CU78">
        <v>0.10875750619909472</v>
      </c>
      <c r="CV78">
        <v>0.14068423337666805</v>
      </c>
      <c r="CW78">
        <v>0.16511694747420574</v>
      </c>
      <c r="CX78">
        <v>0.20477078112933431</v>
      </c>
      <c r="CY78">
        <v>0.19035292516665001</v>
      </c>
      <c r="CZ78">
        <v>0.19113128869560655</v>
      </c>
      <c r="DA78">
        <v>0.22091422076650055</v>
      </c>
      <c r="DB78">
        <v>0.24052811455375428</v>
      </c>
      <c r="DC78">
        <v>0.22248511054144743</v>
      </c>
      <c r="DE78" t="s">
        <v>792</v>
      </c>
      <c r="DF78" t="s">
        <v>111</v>
      </c>
      <c r="DG78" t="s">
        <v>112</v>
      </c>
      <c r="DH78">
        <v>0.59554607894654599</v>
      </c>
    </row>
    <row r="79" spans="2:112" x14ac:dyDescent="0.45">
      <c r="B79" t="s">
        <v>802</v>
      </c>
      <c r="C79" t="s">
        <v>107</v>
      </c>
      <c r="D79">
        <v>0.45763996578133531</v>
      </c>
      <c r="E79">
        <v>0.43051162715058455</v>
      </c>
      <c r="F79">
        <v>0.46400558134230796</v>
      </c>
      <c r="G79">
        <v>0.50060522833820575</v>
      </c>
      <c r="H79">
        <v>0.46622639661271187</v>
      </c>
      <c r="I79">
        <v>0.44524800965956451</v>
      </c>
      <c r="J79">
        <v>0.45352393368365246</v>
      </c>
      <c r="K79">
        <v>0.46671714871753034</v>
      </c>
      <c r="L79">
        <v>0.46817539852144419</v>
      </c>
      <c r="M79">
        <v>0.41095453314547375</v>
      </c>
      <c r="N79">
        <v>0.34135507695715211</v>
      </c>
      <c r="O79">
        <v>0.33637815762972267</v>
      </c>
      <c r="P79">
        <v>0.40529996139095664</v>
      </c>
      <c r="Q79">
        <v>0.50611868427068629</v>
      </c>
      <c r="R79">
        <v>0.45490324656794429</v>
      </c>
      <c r="S79">
        <v>0.28589945174606779</v>
      </c>
      <c r="T79">
        <v>0.20936002195861314</v>
      </c>
      <c r="U79">
        <v>0.27196010342617838</v>
      </c>
      <c r="V79">
        <v>0.49664597563534796</v>
      </c>
      <c r="W79">
        <v>0.49449738452388387</v>
      </c>
      <c r="X79">
        <v>0.50397940107581651</v>
      </c>
      <c r="Y79">
        <v>0.44434944443696472</v>
      </c>
      <c r="Z79">
        <v>0.38011821391001527</v>
      </c>
      <c r="AA79">
        <v>0.39147248597295869</v>
      </c>
      <c r="CE79" t="s">
        <v>802</v>
      </c>
      <c r="CF79">
        <v>0.20517091866407466</v>
      </c>
      <c r="CG79">
        <v>0.20211210936840923</v>
      </c>
      <c r="CH79">
        <v>0.19735827747557455</v>
      </c>
      <c r="CI79">
        <v>0.21061216906000538</v>
      </c>
      <c r="CJ79">
        <v>0.22758961492265672</v>
      </c>
      <c r="CK79">
        <v>0.23569104688680312</v>
      </c>
      <c r="CL79">
        <v>0.16341146845267915</v>
      </c>
      <c r="CM79">
        <v>0.17311200034236746</v>
      </c>
      <c r="CN79">
        <v>0.17161906643275657</v>
      </c>
      <c r="CO79">
        <v>0.24075302281508523</v>
      </c>
      <c r="CP79">
        <v>0.30450363374061984</v>
      </c>
      <c r="CQ79">
        <v>0.24697675070255706</v>
      </c>
      <c r="CR79">
        <v>4.7955134052087477E-2</v>
      </c>
      <c r="CS79">
        <v>4.1573523386671168E-2</v>
      </c>
      <c r="CT79">
        <v>4.3246701649660865E-2</v>
      </c>
      <c r="CU79">
        <v>8.9821214704561073E-2</v>
      </c>
      <c r="CV79">
        <v>0.14332877763754662</v>
      </c>
      <c r="CW79">
        <v>0.1139374044042092</v>
      </c>
      <c r="CX79">
        <v>0.14366235662521831</v>
      </c>
      <c r="CY79">
        <v>0.13299731739096704</v>
      </c>
      <c r="CZ79">
        <v>0.11840689416651831</v>
      </c>
      <c r="DA79">
        <v>0.14754884523263953</v>
      </c>
      <c r="DB79">
        <v>0.18422422428516788</v>
      </c>
      <c r="DC79">
        <v>0.18208017634365201</v>
      </c>
      <c r="DE79" t="s">
        <v>794</v>
      </c>
      <c r="DF79" t="s">
        <v>111</v>
      </c>
      <c r="DG79" t="s">
        <v>112</v>
      </c>
      <c r="DH79">
        <v>0.41793618895570872</v>
      </c>
    </row>
    <row r="80" spans="2:112" x14ac:dyDescent="0.45">
      <c r="B80" t="s">
        <v>803</v>
      </c>
      <c r="C80" t="s">
        <v>107</v>
      </c>
      <c r="D80">
        <v>0.45727679692350526</v>
      </c>
      <c r="E80">
        <v>0.4578192618073797</v>
      </c>
      <c r="F80">
        <v>0.48087379678067282</v>
      </c>
      <c r="G80">
        <v>0.48734237600519814</v>
      </c>
      <c r="H80">
        <v>0.45279213646394745</v>
      </c>
      <c r="I80">
        <v>0.47996052501114178</v>
      </c>
      <c r="J80">
        <v>0.48871624437150912</v>
      </c>
      <c r="K80">
        <v>0.46948515607430474</v>
      </c>
      <c r="L80">
        <v>0.47183241929942721</v>
      </c>
      <c r="M80">
        <v>0.38244055657188808</v>
      </c>
      <c r="N80">
        <v>0.34213064963177686</v>
      </c>
      <c r="O80">
        <v>0.4428853789669252</v>
      </c>
      <c r="P80">
        <v>0.49139004210705173</v>
      </c>
      <c r="Q80">
        <v>0.54262690846899919</v>
      </c>
      <c r="R80">
        <v>0.33427488839319619</v>
      </c>
      <c r="S80">
        <v>0.20285143307883205</v>
      </c>
      <c r="T80">
        <v>0.20683189779121183</v>
      </c>
      <c r="U80">
        <v>0.28488937104862999</v>
      </c>
      <c r="V80">
        <v>0.54542323582549934</v>
      </c>
      <c r="W80">
        <v>0.54672937378791664</v>
      </c>
      <c r="X80">
        <v>0.58728654783726242</v>
      </c>
      <c r="Y80">
        <v>0.44338522024601024</v>
      </c>
      <c r="Z80">
        <v>0.31440784408640754</v>
      </c>
      <c r="AA80">
        <v>0.5444849458426636</v>
      </c>
      <c r="CE80" t="s">
        <v>803</v>
      </c>
      <c r="CF80">
        <v>0.25047590314781737</v>
      </c>
      <c r="CG80">
        <v>0.28620247688473838</v>
      </c>
      <c r="CH80">
        <v>0.26446891129080985</v>
      </c>
      <c r="CI80">
        <v>0.26730855385251173</v>
      </c>
      <c r="CJ80">
        <v>0.25275025184411287</v>
      </c>
      <c r="CK80">
        <v>0.22201845076929491</v>
      </c>
      <c r="CL80">
        <v>0.1858665776427062</v>
      </c>
      <c r="CM80">
        <v>0.18036417443407765</v>
      </c>
      <c r="CN80">
        <v>0.16445817254719206</v>
      </c>
      <c r="CO80">
        <v>0.21359855988490373</v>
      </c>
      <c r="CP80">
        <v>0.24757808669189746</v>
      </c>
      <c r="CQ80">
        <v>0.20036412420756716</v>
      </c>
      <c r="CR80">
        <v>3.9370805379245068E-2</v>
      </c>
      <c r="CS80">
        <v>3.8442699305064956E-2</v>
      </c>
      <c r="CT80">
        <v>3.7736136901070798E-2</v>
      </c>
      <c r="CU80">
        <v>9.5869953938335334E-2</v>
      </c>
      <c r="CV80">
        <v>0.12276924242775958</v>
      </c>
      <c r="CW80">
        <v>6.2799993531060624E-2</v>
      </c>
      <c r="CX80">
        <v>0.1549238119456422</v>
      </c>
      <c r="CY80">
        <v>0.1569152692290374</v>
      </c>
      <c r="CZ80">
        <v>0.13409525557050903</v>
      </c>
      <c r="DA80">
        <v>0.13566700270174534</v>
      </c>
      <c r="DB80">
        <v>0.17192865253380279</v>
      </c>
      <c r="DC80">
        <v>0.1494473026253981</v>
      </c>
      <c r="DE80" t="s">
        <v>796</v>
      </c>
      <c r="DF80" t="s">
        <v>111</v>
      </c>
      <c r="DG80" t="s">
        <v>112</v>
      </c>
      <c r="DH80">
        <v>0.44623702184919345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C8948-98F0-41B9-AF03-E1D6C3A552F7}">
  <dimension ref="A9:S58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region=ESP")</f>
        <v>~TFM_DINS-AT: region=ESP</v>
      </c>
      <c r="H9" t="str">
        <f>IF(A11="x","DeActivated","~TFM_DINS-AT: region=ESP")</f>
        <v>~TFM_DINS-AT: region=ESP</v>
      </c>
      <c r="L9" t="str">
        <f>IF(A11="x","DeActivated","~TFM_DINS-AT: region=ESP")</f>
        <v>~TFM_DINS-AT: region=ESP</v>
      </c>
      <c r="P9" t="str">
        <f>IF(A11="x","DeActivated","~TFM_INS-AT: region=ESP")</f>
        <v>~TFM_INS-AT: region=ESP</v>
      </c>
    </row>
    <row r="10" spans="1:19" x14ac:dyDescent="0.45">
      <c r="A10" t="s">
        <v>189</v>
      </c>
      <c r="C10" t="s">
        <v>190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191</v>
      </c>
      <c r="P10" t="s">
        <v>192</v>
      </c>
      <c r="Q10" t="s">
        <v>1</v>
      </c>
      <c r="R10" t="s">
        <v>193</v>
      </c>
      <c r="S10" t="s">
        <v>194</v>
      </c>
    </row>
    <row r="11" spans="1:19" x14ac:dyDescent="0.45">
      <c r="C11">
        <v>8.2191780821917804E-2</v>
      </c>
      <c r="D11">
        <v>2.291226412748925E-2</v>
      </c>
      <c r="E11" t="s">
        <v>5</v>
      </c>
      <c r="F11" t="s">
        <v>195</v>
      </c>
      <c r="H11" t="s">
        <v>196</v>
      </c>
      <c r="I11" t="s">
        <v>5</v>
      </c>
      <c r="L11" t="s">
        <v>197</v>
      </c>
      <c r="M11" t="s">
        <v>5</v>
      </c>
      <c r="N11">
        <v>0.22057449181352973</v>
      </c>
      <c r="P11">
        <v>2020</v>
      </c>
      <c r="Q11" t="s">
        <v>198</v>
      </c>
      <c r="R11">
        <v>0.29123333333333329</v>
      </c>
      <c r="S11" t="s">
        <v>199</v>
      </c>
    </row>
    <row r="12" spans="1:19" x14ac:dyDescent="0.45">
      <c r="C12">
        <v>4.1095890410958902E-2</v>
      </c>
      <c r="D12">
        <v>5.0687417646620103E-2</v>
      </c>
      <c r="E12" t="s">
        <v>9</v>
      </c>
      <c r="F12" t="s">
        <v>195</v>
      </c>
      <c r="H12" t="s">
        <v>196</v>
      </c>
      <c r="I12" t="s">
        <v>9</v>
      </c>
      <c r="L12" t="s">
        <v>197</v>
      </c>
      <c r="M12" t="s">
        <v>9</v>
      </c>
      <c r="N12">
        <v>0.23143333209431516</v>
      </c>
      <c r="P12">
        <v>2020</v>
      </c>
      <c r="Q12" t="s">
        <v>200</v>
      </c>
      <c r="R12">
        <v>0.26276666666666665</v>
      </c>
      <c r="S12" t="s">
        <v>199</v>
      </c>
    </row>
    <row r="13" spans="1:19" x14ac:dyDescent="0.45">
      <c r="C13">
        <v>3.0821917808219176E-2</v>
      </c>
      <c r="D13">
        <v>3.8336275265395424E-2</v>
      </c>
      <c r="E13" t="s">
        <v>10</v>
      </c>
      <c r="F13" t="s">
        <v>195</v>
      </c>
      <c r="H13" t="s">
        <v>196</v>
      </c>
      <c r="I13" t="s">
        <v>10</v>
      </c>
      <c r="L13" t="s">
        <v>197</v>
      </c>
      <c r="M13" t="s">
        <v>10</v>
      </c>
      <c r="N13">
        <v>8.3129698019241083E-2</v>
      </c>
      <c r="P13">
        <v>2020</v>
      </c>
      <c r="Q13" t="s">
        <v>201</v>
      </c>
      <c r="R13">
        <v>0.17423333333333332</v>
      </c>
      <c r="S13" t="s">
        <v>199</v>
      </c>
    </row>
    <row r="14" spans="1:19" x14ac:dyDescent="0.45">
      <c r="C14">
        <v>3.0821917808219176E-2</v>
      </c>
      <c r="D14">
        <v>3.9768291773363502E-2</v>
      </c>
      <c r="E14" t="s">
        <v>11</v>
      </c>
      <c r="F14" t="s">
        <v>195</v>
      </c>
      <c r="H14" t="s">
        <v>196</v>
      </c>
      <c r="I14" t="s">
        <v>11</v>
      </c>
      <c r="L14" t="s">
        <v>197</v>
      </c>
      <c r="M14" t="s">
        <v>11</v>
      </c>
      <c r="N14">
        <v>8.7069783073476792E-2</v>
      </c>
      <c r="P14">
        <v>2020</v>
      </c>
      <c r="Q14" t="s">
        <v>202</v>
      </c>
      <c r="R14">
        <v>0.18556666666666666</v>
      </c>
      <c r="S14" t="s">
        <v>199</v>
      </c>
    </row>
    <row r="15" spans="1:19" x14ac:dyDescent="0.45">
      <c r="C15">
        <v>3.0821917808219176E-2</v>
      </c>
      <c r="D15">
        <v>5.5490639683763034E-2</v>
      </c>
      <c r="E15" t="s">
        <v>12</v>
      </c>
      <c r="F15" t="s">
        <v>195</v>
      </c>
      <c r="H15" t="s">
        <v>196</v>
      </c>
      <c r="I15" t="s">
        <v>12</v>
      </c>
      <c r="L15" t="s">
        <v>197</v>
      </c>
      <c r="M15" t="s">
        <v>12</v>
      </c>
      <c r="N15">
        <v>0.11466462905770847</v>
      </c>
      <c r="P15">
        <v>2021</v>
      </c>
      <c r="Q15" t="s">
        <v>198</v>
      </c>
      <c r="R15">
        <v>0.34033333333333332</v>
      </c>
      <c r="S15" t="s">
        <v>199</v>
      </c>
    </row>
    <row r="16" spans="1:19" x14ac:dyDescent="0.45">
      <c r="C16">
        <v>3.0821917808219176E-2</v>
      </c>
      <c r="D16">
        <v>3.9380453969122146E-2</v>
      </c>
      <c r="E16" t="s">
        <v>13</v>
      </c>
      <c r="F16" t="s">
        <v>195</v>
      </c>
      <c r="H16" t="s">
        <v>196</v>
      </c>
      <c r="I16" t="s">
        <v>13</v>
      </c>
      <c r="L16" t="s">
        <v>197</v>
      </c>
      <c r="M16" t="s">
        <v>13</v>
      </c>
      <c r="N16">
        <v>7.9291890433951018E-2</v>
      </c>
      <c r="P16">
        <v>2021</v>
      </c>
      <c r="Q16" t="s">
        <v>200</v>
      </c>
      <c r="R16">
        <v>0.2532666666666667</v>
      </c>
      <c r="S16" t="s">
        <v>199</v>
      </c>
    </row>
    <row r="17" spans="3:19" x14ac:dyDescent="0.45">
      <c r="C17">
        <v>8.4018264840182655E-2</v>
      </c>
      <c r="D17">
        <v>2.3421425552544572E-2</v>
      </c>
      <c r="E17" t="s">
        <v>14</v>
      </c>
      <c r="F17" t="s">
        <v>195</v>
      </c>
      <c r="H17" t="s">
        <v>196</v>
      </c>
      <c r="I17" t="s">
        <v>14</v>
      </c>
      <c r="L17" t="s">
        <v>197</v>
      </c>
      <c r="M17" t="s">
        <v>14</v>
      </c>
      <c r="N17">
        <v>0.25446521656650734</v>
      </c>
      <c r="P17">
        <v>2021</v>
      </c>
      <c r="Q17" t="s">
        <v>201</v>
      </c>
      <c r="R17">
        <v>0.18123333333333336</v>
      </c>
      <c r="S17" t="s">
        <v>199</v>
      </c>
    </row>
    <row r="18" spans="3:19" x14ac:dyDescent="0.45">
      <c r="C18">
        <v>4.2009132420091327E-2</v>
      </c>
      <c r="D18">
        <v>5.1813804705433876E-2</v>
      </c>
      <c r="E18" t="s">
        <v>15</v>
      </c>
      <c r="F18" t="s">
        <v>195</v>
      </c>
      <c r="H18" t="s">
        <v>196</v>
      </c>
      <c r="I18" t="s">
        <v>15</v>
      </c>
      <c r="L18" t="s">
        <v>197</v>
      </c>
      <c r="M18" t="s">
        <v>15</v>
      </c>
      <c r="N18">
        <v>0.18551566865044977</v>
      </c>
      <c r="P18">
        <v>2021</v>
      </c>
      <c r="Q18" t="s">
        <v>202</v>
      </c>
      <c r="R18">
        <v>0.11786666666666668</v>
      </c>
      <c r="S18" t="s">
        <v>199</v>
      </c>
    </row>
    <row r="19" spans="3:19" x14ac:dyDescent="0.45">
      <c r="C19">
        <v>3.1506849315068496E-2</v>
      </c>
      <c r="D19">
        <v>3.9188192493515323E-2</v>
      </c>
      <c r="E19" t="s">
        <v>16</v>
      </c>
      <c r="F19" t="s">
        <v>195</v>
      </c>
      <c r="H19" t="s">
        <v>196</v>
      </c>
      <c r="I19" t="s">
        <v>16</v>
      </c>
      <c r="L19" t="s">
        <v>197</v>
      </c>
      <c r="M19" t="s">
        <v>16</v>
      </c>
      <c r="N19">
        <v>0.10214196623259086</v>
      </c>
      <c r="P19">
        <v>2022</v>
      </c>
      <c r="Q19" t="s">
        <v>198</v>
      </c>
      <c r="R19">
        <v>0.18453333333333333</v>
      </c>
      <c r="S19" t="s">
        <v>199</v>
      </c>
    </row>
    <row r="20" spans="3:19" x14ac:dyDescent="0.45">
      <c r="C20">
        <v>3.1506849315068496E-2</v>
      </c>
      <c r="D20">
        <v>4.0652031590549358E-2</v>
      </c>
      <c r="E20" t="s">
        <v>17</v>
      </c>
      <c r="F20" t="s">
        <v>195</v>
      </c>
      <c r="H20" t="s">
        <v>196</v>
      </c>
      <c r="I20" t="s">
        <v>17</v>
      </c>
      <c r="L20" t="s">
        <v>197</v>
      </c>
      <c r="M20" t="s">
        <v>17</v>
      </c>
      <c r="N20">
        <v>9.2232686294387189E-2</v>
      </c>
      <c r="P20">
        <v>2022</v>
      </c>
      <c r="Q20" t="s">
        <v>200</v>
      </c>
      <c r="R20">
        <v>0.17300000000000001</v>
      </c>
      <c r="S20" t="s">
        <v>199</v>
      </c>
    </row>
    <row r="21" spans="3:19" x14ac:dyDescent="0.45">
      <c r="C21">
        <v>3.1506849315068496E-2</v>
      </c>
      <c r="D21">
        <v>5.6723765010068872E-2</v>
      </c>
      <c r="E21" t="s">
        <v>18</v>
      </c>
      <c r="F21" t="s">
        <v>195</v>
      </c>
      <c r="H21" t="s">
        <v>196</v>
      </c>
      <c r="I21" t="s">
        <v>18</v>
      </c>
      <c r="L21" t="s">
        <v>197</v>
      </c>
      <c r="M21" t="s">
        <v>18</v>
      </c>
      <c r="N21">
        <v>0.116588248013485</v>
      </c>
      <c r="P21">
        <v>2022</v>
      </c>
      <c r="Q21" t="s">
        <v>201</v>
      </c>
      <c r="R21">
        <v>0.11270000000000001</v>
      </c>
      <c r="S21" t="s">
        <v>199</v>
      </c>
    </row>
    <row r="22" spans="3:19" x14ac:dyDescent="0.45">
      <c r="C22">
        <v>3.1506849315068496E-2</v>
      </c>
      <c r="D22">
        <v>4.0255575168435975E-2</v>
      </c>
      <c r="E22" t="s">
        <v>19</v>
      </c>
      <c r="F22" t="s">
        <v>195</v>
      </c>
      <c r="H22" t="s">
        <v>196</v>
      </c>
      <c r="I22" t="s">
        <v>19</v>
      </c>
      <c r="L22" t="s">
        <v>197</v>
      </c>
      <c r="M22" t="s">
        <v>19</v>
      </c>
      <c r="N22">
        <v>0.11643671181031201</v>
      </c>
      <c r="P22">
        <v>2022</v>
      </c>
      <c r="Q22" t="s">
        <v>202</v>
      </c>
      <c r="R22">
        <v>0.12203333333333333</v>
      </c>
      <c r="S22" t="s">
        <v>199</v>
      </c>
    </row>
    <row r="23" spans="3:19" x14ac:dyDescent="0.45">
      <c r="C23">
        <v>8.4018264840182655E-2</v>
      </c>
      <c r="D23">
        <v>2.3421425552544572E-2</v>
      </c>
      <c r="E23" t="s">
        <v>20</v>
      </c>
      <c r="F23" t="s">
        <v>195</v>
      </c>
      <c r="H23" t="s">
        <v>196</v>
      </c>
      <c r="I23" t="s">
        <v>20</v>
      </c>
      <c r="L23" t="s">
        <v>197</v>
      </c>
      <c r="M23" t="s">
        <v>20</v>
      </c>
      <c r="N23">
        <v>0.26072004057657083</v>
      </c>
    </row>
    <row r="24" spans="3:19" x14ac:dyDescent="0.45">
      <c r="C24">
        <v>4.2009132420091327E-2</v>
      </c>
      <c r="D24">
        <v>5.1813804705433876E-2</v>
      </c>
      <c r="E24" t="s">
        <v>21</v>
      </c>
      <c r="F24" t="s">
        <v>195</v>
      </c>
      <c r="H24" t="s">
        <v>196</v>
      </c>
      <c r="I24" t="s">
        <v>21</v>
      </c>
      <c r="L24" t="s">
        <v>197</v>
      </c>
      <c r="M24" t="s">
        <v>21</v>
      </c>
      <c r="N24">
        <v>0.18232782409155601</v>
      </c>
    </row>
    <row r="25" spans="3:19" x14ac:dyDescent="0.45">
      <c r="C25">
        <v>3.1506849315068496E-2</v>
      </c>
      <c r="D25">
        <v>3.9188192493515323E-2</v>
      </c>
      <c r="E25" t="s">
        <v>22</v>
      </c>
      <c r="F25" t="s">
        <v>195</v>
      </c>
      <c r="H25" t="s">
        <v>196</v>
      </c>
      <c r="I25" t="s">
        <v>22</v>
      </c>
      <c r="L25" t="s">
        <v>197</v>
      </c>
      <c r="M25" t="s">
        <v>22</v>
      </c>
      <c r="N25">
        <v>0.16806933343717434</v>
      </c>
    </row>
    <row r="26" spans="3:19" x14ac:dyDescent="0.45">
      <c r="C26">
        <v>3.1506849315068496E-2</v>
      </c>
      <c r="D26">
        <v>4.0652031590549358E-2</v>
      </c>
      <c r="E26" t="s">
        <v>23</v>
      </c>
      <c r="F26" t="s">
        <v>195</v>
      </c>
      <c r="H26" t="s">
        <v>196</v>
      </c>
      <c r="I26" t="s">
        <v>23</v>
      </c>
      <c r="L26" t="s">
        <v>197</v>
      </c>
      <c r="M26" t="s">
        <v>23</v>
      </c>
      <c r="N26">
        <v>0.14216551255693344</v>
      </c>
    </row>
    <row r="27" spans="3:19" x14ac:dyDescent="0.45">
      <c r="C27">
        <v>3.1506849315068496E-2</v>
      </c>
      <c r="D27">
        <v>5.6723765010068872E-2</v>
      </c>
      <c r="E27" t="s">
        <v>24</v>
      </c>
      <c r="F27" t="s">
        <v>195</v>
      </c>
      <c r="H27" t="s">
        <v>196</v>
      </c>
      <c r="I27" t="s">
        <v>24</v>
      </c>
      <c r="L27" t="s">
        <v>197</v>
      </c>
      <c r="M27" t="s">
        <v>24</v>
      </c>
      <c r="N27">
        <v>0.13242606270107782</v>
      </c>
    </row>
    <row r="28" spans="3:19" x14ac:dyDescent="0.45">
      <c r="C28">
        <v>3.1506849315068496E-2</v>
      </c>
      <c r="D28">
        <v>4.0255575168435975E-2</v>
      </c>
      <c r="E28" t="s">
        <v>25</v>
      </c>
      <c r="F28" t="s">
        <v>195</v>
      </c>
      <c r="H28" t="s">
        <v>196</v>
      </c>
      <c r="I28" t="s">
        <v>25</v>
      </c>
      <c r="L28" t="s">
        <v>197</v>
      </c>
      <c r="M28" t="s">
        <v>25</v>
      </c>
      <c r="N28">
        <v>0.13813096118694124</v>
      </c>
    </row>
    <row r="29" spans="3:19" x14ac:dyDescent="0.45">
      <c r="C29">
        <v>8.3105022831050229E-2</v>
      </c>
      <c r="D29">
        <v>2.3166844840016909E-2</v>
      </c>
      <c r="E29" t="s">
        <v>26</v>
      </c>
      <c r="F29" t="s">
        <v>195</v>
      </c>
      <c r="H29" t="s">
        <v>196</v>
      </c>
      <c r="I29" t="s">
        <v>26</v>
      </c>
      <c r="L29" t="s">
        <v>197</v>
      </c>
      <c r="M29" t="s">
        <v>26</v>
      </c>
      <c r="N29">
        <v>0.24895459090616767</v>
      </c>
    </row>
    <row r="30" spans="3:19" x14ac:dyDescent="0.45">
      <c r="C30">
        <v>4.1552511415525115E-2</v>
      </c>
      <c r="D30">
        <v>5.1250611176026986E-2</v>
      </c>
      <c r="E30" t="s">
        <v>27</v>
      </c>
      <c r="F30" t="s">
        <v>195</v>
      </c>
      <c r="H30" t="s">
        <v>196</v>
      </c>
      <c r="I30" t="s">
        <v>27</v>
      </c>
      <c r="L30" t="s">
        <v>197</v>
      </c>
      <c r="M30" t="s">
        <v>27</v>
      </c>
      <c r="N30">
        <v>0.21830159165964891</v>
      </c>
    </row>
    <row r="31" spans="3:19" x14ac:dyDescent="0.45">
      <c r="C31">
        <v>3.1164383561643836E-2</v>
      </c>
      <c r="D31">
        <v>3.8762233879455377E-2</v>
      </c>
      <c r="E31" t="s">
        <v>28</v>
      </c>
      <c r="F31" t="s">
        <v>195</v>
      </c>
      <c r="H31" t="s">
        <v>196</v>
      </c>
      <c r="I31" t="s">
        <v>28</v>
      </c>
      <c r="L31" t="s">
        <v>197</v>
      </c>
      <c r="M31" t="s">
        <v>28</v>
      </c>
      <c r="N31">
        <v>0.12519254015807157</v>
      </c>
    </row>
    <row r="32" spans="3:19" x14ac:dyDescent="0.45">
      <c r="C32">
        <v>3.1164383561643836E-2</v>
      </c>
      <c r="D32">
        <v>4.021016168195643E-2</v>
      </c>
      <c r="E32" t="s">
        <v>29</v>
      </c>
      <c r="F32" t="s">
        <v>195</v>
      </c>
      <c r="H32" t="s">
        <v>196</v>
      </c>
      <c r="I32" t="s">
        <v>29</v>
      </c>
      <c r="L32" t="s">
        <v>197</v>
      </c>
      <c r="M32" t="s">
        <v>29</v>
      </c>
      <c r="N32">
        <v>9.0371783778312009E-2</v>
      </c>
    </row>
    <row r="33" spans="3:14" x14ac:dyDescent="0.45">
      <c r="C33">
        <v>3.1164383561643836E-2</v>
      </c>
      <c r="D33">
        <v>5.6107202346915949E-2</v>
      </c>
      <c r="E33" t="s">
        <v>30</v>
      </c>
      <c r="F33" t="s">
        <v>195</v>
      </c>
      <c r="H33" t="s">
        <v>196</v>
      </c>
      <c r="I33" t="s">
        <v>30</v>
      </c>
      <c r="L33" t="s">
        <v>197</v>
      </c>
      <c r="M33" t="s">
        <v>30</v>
      </c>
      <c r="N33">
        <v>9.3753025110967725E-2</v>
      </c>
    </row>
    <row r="34" spans="3:14" x14ac:dyDescent="0.45">
      <c r="C34">
        <v>3.1164383561643836E-2</v>
      </c>
      <c r="D34">
        <v>3.9818014568779057E-2</v>
      </c>
      <c r="E34" t="s">
        <v>31</v>
      </c>
      <c r="F34" t="s">
        <v>195</v>
      </c>
      <c r="H34" t="s">
        <v>196</v>
      </c>
      <c r="I34" t="s">
        <v>31</v>
      </c>
      <c r="L34" t="s">
        <v>197</v>
      </c>
      <c r="M34" t="s">
        <v>31</v>
      </c>
      <c r="N34">
        <v>0.12533959928202387</v>
      </c>
    </row>
    <row r="35" spans="3:14" x14ac:dyDescent="0.45">
      <c r="H35" t="s">
        <v>203</v>
      </c>
      <c r="I35" t="s">
        <v>5</v>
      </c>
    </row>
    <row r="36" spans="3:14" x14ac:dyDescent="0.45">
      <c r="H36" t="s">
        <v>203</v>
      </c>
      <c r="I36" t="s">
        <v>9</v>
      </c>
    </row>
    <row r="37" spans="3:14" x14ac:dyDescent="0.45">
      <c r="H37" t="s">
        <v>203</v>
      </c>
      <c r="I37" t="s">
        <v>10</v>
      </c>
    </row>
    <row r="38" spans="3:14" x14ac:dyDescent="0.45">
      <c r="H38" t="s">
        <v>203</v>
      </c>
      <c r="I38" t="s">
        <v>11</v>
      </c>
    </row>
    <row r="39" spans="3:14" x14ac:dyDescent="0.45">
      <c r="H39" t="s">
        <v>203</v>
      </c>
      <c r="I39" t="s">
        <v>12</v>
      </c>
    </row>
    <row r="40" spans="3:14" x14ac:dyDescent="0.45">
      <c r="H40" t="s">
        <v>203</v>
      </c>
      <c r="I40" t="s">
        <v>13</v>
      </c>
    </row>
    <row r="41" spans="3:14" x14ac:dyDescent="0.45">
      <c r="H41" t="s">
        <v>203</v>
      </c>
      <c r="I41" t="s">
        <v>14</v>
      </c>
    </row>
    <row r="42" spans="3:14" x14ac:dyDescent="0.45">
      <c r="H42" t="s">
        <v>203</v>
      </c>
      <c r="I42" t="s">
        <v>15</v>
      </c>
    </row>
    <row r="43" spans="3:14" x14ac:dyDescent="0.45">
      <c r="H43" t="s">
        <v>203</v>
      </c>
      <c r="I43" t="s">
        <v>16</v>
      </c>
    </row>
    <row r="44" spans="3:14" x14ac:dyDescent="0.45">
      <c r="H44" t="s">
        <v>203</v>
      </c>
      <c r="I44" t="s">
        <v>17</v>
      </c>
    </row>
    <row r="45" spans="3:14" x14ac:dyDescent="0.45">
      <c r="H45" t="s">
        <v>203</v>
      </c>
      <c r="I45" t="s">
        <v>18</v>
      </c>
    </row>
    <row r="46" spans="3:14" x14ac:dyDescent="0.45">
      <c r="H46" t="s">
        <v>203</v>
      </c>
      <c r="I46" t="s">
        <v>19</v>
      </c>
    </row>
    <row r="47" spans="3:14" x14ac:dyDescent="0.45">
      <c r="H47" t="s">
        <v>203</v>
      </c>
      <c r="I47" t="s">
        <v>20</v>
      </c>
    </row>
    <row r="48" spans="3:14" x14ac:dyDescent="0.45">
      <c r="H48" t="s">
        <v>203</v>
      </c>
      <c r="I48" t="s">
        <v>21</v>
      </c>
    </row>
    <row r="49" spans="8:9" x14ac:dyDescent="0.45">
      <c r="H49" t="s">
        <v>203</v>
      </c>
      <c r="I49" t="s">
        <v>22</v>
      </c>
    </row>
    <row r="50" spans="8:9" x14ac:dyDescent="0.45">
      <c r="H50" t="s">
        <v>203</v>
      </c>
      <c r="I50" t="s">
        <v>23</v>
      </c>
    </row>
    <row r="51" spans="8:9" x14ac:dyDescent="0.45">
      <c r="H51" t="s">
        <v>203</v>
      </c>
      <c r="I51" t="s">
        <v>24</v>
      </c>
    </row>
    <row r="52" spans="8:9" x14ac:dyDescent="0.45">
      <c r="H52" t="s">
        <v>203</v>
      </c>
      <c r="I52" t="s">
        <v>25</v>
      </c>
    </row>
    <row r="53" spans="8:9" x14ac:dyDescent="0.45">
      <c r="H53" t="s">
        <v>203</v>
      </c>
      <c r="I53" t="s">
        <v>26</v>
      </c>
    </row>
    <row r="54" spans="8:9" x14ac:dyDescent="0.45">
      <c r="H54" t="s">
        <v>203</v>
      </c>
      <c r="I54" t="s">
        <v>27</v>
      </c>
    </row>
    <row r="55" spans="8:9" x14ac:dyDescent="0.45">
      <c r="H55" t="s">
        <v>203</v>
      </c>
      <c r="I55" t="s">
        <v>28</v>
      </c>
    </row>
    <row r="56" spans="8:9" x14ac:dyDescent="0.45">
      <c r="H56" t="s">
        <v>203</v>
      </c>
      <c r="I56" t="s">
        <v>29</v>
      </c>
    </row>
    <row r="57" spans="8:9" x14ac:dyDescent="0.45">
      <c r="H57" t="s">
        <v>203</v>
      </c>
      <c r="I57" t="s">
        <v>30</v>
      </c>
    </row>
    <row r="58" spans="8:9" x14ac:dyDescent="0.45">
      <c r="H58" t="s">
        <v>203</v>
      </c>
      <c r="I58" t="s">
        <v>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83F7-D669-4069-903A-3598D66353EC}">
  <dimension ref="B9:O2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region=NLD")</f>
        <v>~TFM_DINS-AT: region=NLD</v>
      </c>
      <c r="G9" t="str">
        <f>IF(A11="x","DeActivated","~TFM_DINS-AT: region=NLD")</f>
        <v>~TFM_DINS-AT: region=NLD</v>
      </c>
      <c r="L9" t="str">
        <f>IF(A11="x","DeActivated","~TFM_DINS-AT: region=NLD")</f>
        <v>~TFM_DINS-AT: region=NLD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804</v>
      </c>
      <c r="C11" t="s">
        <v>5</v>
      </c>
      <c r="D11">
        <v>0</v>
      </c>
      <c r="E11" t="s">
        <v>6</v>
      </c>
      <c r="G11" t="s">
        <v>805</v>
      </c>
      <c r="H11" t="s">
        <v>5</v>
      </c>
      <c r="I11">
        <v>0.1135516271268498</v>
      </c>
      <c r="J11" t="s">
        <v>6</v>
      </c>
      <c r="L11" t="s">
        <v>806</v>
      </c>
      <c r="M11" t="s">
        <v>5</v>
      </c>
      <c r="N11">
        <v>9.6978648615307847E-2</v>
      </c>
      <c r="O11" t="s">
        <v>6</v>
      </c>
    </row>
    <row r="12" spans="2:15" x14ac:dyDescent="0.45">
      <c r="B12" t="s">
        <v>804</v>
      </c>
      <c r="C12" t="s">
        <v>9</v>
      </c>
      <c r="D12">
        <v>0</v>
      </c>
      <c r="E12" t="s">
        <v>6</v>
      </c>
      <c r="G12" t="s">
        <v>805</v>
      </c>
      <c r="H12" t="s">
        <v>9</v>
      </c>
      <c r="I12">
        <v>5.7439394311063971E-2</v>
      </c>
      <c r="J12" t="s">
        <v>6</v>
      </c>
      <c r="L12" t="s">
        <v>806</v>
      </c>
      <c r="M12" t="s">
        <v>9</v>
      </c>
      <c r="N12">
        <v>4.8040762609179298E-2</v>
      </c>
      <c r="O12" t="s">
        <v>6</v>
      </c>
    </row>
    <row r="13" spans="2:15" x14ac:dyDescent="0.45">
      <c r="B13" t="s">
        <v>804</v>
      </c>
      <c r="C13" t="s">
        <v>10</v>
      </c>
      <c r="D13">
        <v>2.1376470601965326E-2</v>
      </c>
      <c r="E13" t="s">
        <v>6</v>
      </c>
      <c r="G13" t="s">
        <v>805</v>
      </c>
      <c r="H13" t="s">
        <v>10</v>
      </c>
      <c r="I13">
        <v>4.0567638462721461E-2</v>
      </c>
      <c r="J13" t="s">
        <v>6</v>
      </c>
      <c r="L13" t="s">
        <v>806</v>
      </c>
      <c r="M13" t="s">
        <v>10</v>
      </c>
      <c r="N13">
        <v>3.4637065903477586E-2</v>
      </c>
      <c r="O13" t="s">
        <v>6</v>
      </c>
    </row>
    <row r="14" spans="2:15" x14ac:dyDescent="0.45">
      <c r="B14" t="s">
        <v>804</v>
      </c>
      <c r="C14" t="s">
        <v>11</v>
      </c>
      <c r="D14">
        <v>6.149266042028232E-2</v>
      </c>
      <c r="E14" t="s">
        <v>6</v>
      </c>
      <c r="G14" t="s">
        <v>805</v>
      </c>
      <c r="H14" t="s">
        <v>11</v>
      </c>
      <c r="I14">
        <v>3.6778229281094303E-2</v>
      </c>
      <c r="J14" t="s">
        <v>6</v>
      </c>
      <c r="L14" t="s">
        <v>806</v>
      </c>
      <c r="M14" t="s">
        <v>11</v>
      </c>
      <c r="N14">
        <v>3.3409313051748039E-2</v>
      </c>
      <c r="O14" t="s">
        <v>6</v>
      </c>
    </row>
    <row r="15" spans="2:15" x14ac:dyDescent="0.45">
      <c r="B15" t="s">
        <v>804</v>
      </c>
      <c r="C15" t="s">
        <v>12</v>
      </c>
      <c r="D15">
        <v>3.0539207552652992E-2</v>
      </c>
      <c r="E15" t="s">
        <v>6</v>
      </c>
      <c r="G15" t="s">
        <v>805</v>
      </c>
      <c r="H15" t="s">
        <v>12</v>
      </c>
      <c r="I15">
        <v>3.8060835169557751E-2</v>
      </c>
      <c r="J15" t="s">
        <v>6</v>
      </c>
      <c r="L15" t="s">
        <v>806</v>
      </c>
      <c r="M15" t="s">
        <v>12</v>
      </c>
      <c r="N15">
        <v>3.4930213021723555E-2</v>
      </c>
      <c r="O15" t="s">
        <v>6</v>
      </c>
    </row>
    <row r="16" spans="2:15" x14ac:dyDescent="0.45">
      <c r="B16" t="s">
        <v>804</v>
      </c>
      <c r="C16" t="s">
        <v>13</v>
      </c>
      <c r="D16">
        <v>4.3539931967028595E-4</v>
      </c>
      <c r="E16" t="s">
        <v>6</v>
      </c>
      <c r="G16" t="s">
        <v>805</v>
      </c>
      <c r="H16" t="s">
        <v>13</v>
      </c>
      <c r="I16">
        <v>4.1614193220675173E-2</v>
      </c>
      <c r="J16" t="s">
        <v>6</v>
      </c>
      <c r="L16" t="s">
        <v>806</v>
      </c>
      <c r="M16" t="s">
        <v>13</v>
      </c>
      <c r="N16">
        <v>3.7173522103559092E-2</v>
      </c>
      <c r="O16" t="s">
        <v>6</v>
      </c>
    </row>
    <row r="17" spans="2:15" x14ac:dyDescent="0.45">
      <c r="B17" t="s">
        <v>804</v>
      </c>
      <c r="C17" t="s">
        <v>14</v>
      </c>
      <c r="D17">
        <v>7.9390403084087711E-6</v>
      </c>
      <c r="E17" t="s">
        <v>6</v>
      </c>
      <c r="G17" t="s">
        <v>805</v>
      </c>
      <c r="H17" t="s">
        <v>14</v>
      </c>
      <c r="I17">
        <v>8.5374567314828592E-2</v>
      </c>
      <c r="J17" t="s">
        <v>6</v>
      </c>
      <c r="L17" t="s">
        <v>806</v>
      </c>
      <c r="M17" t="s">
        <v>14</v>
      </c>
      <c r="N17">
        <v>8.7989663046514552E-2</v>
      </c>
      <c r="O17" t="s">
        <v>6</v>
      </c>
    </row>
    <row r="18" spans="2:15" x14ac:dyDescent="0.45">
      <c r="B18" t="s">
        <v>804</v>
      </c>
      <c r="C18" t="s">
        <v>15</v>
      </c>
      <c r="D18">
        <v>1.0073980060421957E-2</v>
      </c>
      <c r="E18" t="s">
        <v>6</v>
      </c>
      <c r="G18" t="s">
        <v>805</v>
      </c>
      <c r="H18" t="s">
        <v>15</v>
      </c>
      <c r="I18">
        <v>3.9933836784649963E-2</v>
      </c>
      <c r="J18" t="s">
        <v>6</v>
      </c>
      <c r="L18" t="s">
        <v>806</v>
      </c>
      <c r="M18" t="s">
        <v>15</v>
      </c>
      <c r="N18">
        <v>4.3087827857014482E-2</v>
      </c>
      <c r="O18" t="s">
        <v>6</v>
      </c>
    </row>
    <row r="19" spans="2:15" x14ac:dyDescent="0.45">
      <c r="B19" t="s">
        <v>804</v>
      </c>
      <c r="C19" t="s">
        <v>16</v>
      </c>
      <c r="D19">
        <v>8.3154171611898073E-2</v>
      </c>
      <c r="E19" t="s">
        <v>6</v>
      </c>
      <c r="G19" t="s">
        <v>805</v>
      </c>
      <c r="H19" t="s">
        <v>16</v>
      </c>
      <c r="I19">
        <v>2.8150529086615264E-2</v>
      </c>
      <c r="J19" t="s">
        <v>6</v>
      </c>
      <c r="L19" t="s">
        <v>806</v>
      </c>
      <c r="M19" t="s">
        <v>16</v>
      </c>
      <c r="N19">
        <v>3.1536382350129913E-2</v>
      </c>
      <c r="O19" t="s">
        <v>6</v>
      </c>
    </row>
    <row r="20" spans="2:15" x14ac:dyDescent="0.45">
      <c r="B20" t="s">
        <v>804</v>
      </c>
      <c r="C20" t="s">
        <v>17</v>
      </c>
      <c r="D20">
        <v>0.12932521272884212</v>
      </c>
      <c r="E20" t="s">
        <v>6</v>
      </c>
      <c r="G20" t="s">
        <v>805</v>
      </c>
      <c r="H20" t="s">
        <v>17</v>
      </c>
      <c r="I20">
        <v>2.8838770726459677E-2</v>
      </c>
      <c r="J20" t="s">
        <v>6</v>
      </c>
      <c r="L20" t="s">
        <v>806</v>
      </c>
      <c r="M20" t="s">
        <v>17</v>
      </c>
      <c r="N20">
        <v>3.159383094622991E-2</v>
      </c>
      <c r="O20" t="s">
        <v>6</v>
      </c>
    </row>
    <row r="21" spans="2:15" x14ac:dyDescent="0.45">
      <c r="B21" t="s">
        <v>804</v>
      </c>
      <c r="C21" t="s">
        <v>18</v>
      </c>
      <c r="D21">
        <v>9.3682246576753475E-2</v>
      </c>
      <c r="E21" t="s">
        <v>6</v>
      </c>
      <c r="G21" t="s">
        <v>805</v>
      </c>
      <c r="H21" t="s">
        <v>18</v>
      </c>
      <c r="I21">
        <v>2.9734200503599904E-2</v>
      </c>
      <c r="J21" t="s">
        <v>6</v>
      </c>
      <c r="L21" t="s">
        <v>806</v>
      </c>
      <c r="M21" t="s">
        <v>18</v>
      </c>
      <c r="N21">
        <v>3.3397532048993282E-2</v>
      </c>
      <c r="O21" t="s">
        <v>6</v>
      </c>
    </row>
    <row r="22" spans="2:15" x14ac:dyDescent="0.45">
      <c r="B22" t="s">
        <v>804</v>
      </c>
      <c r="C22" t="s">
        <v>19</v>
      </c>
      <c r="D22">
        <v>1.5698704834877654E-2</v>
      </c>
      <c r="E22" t="s">
        <v>6</v>
      </c>
      <c r="G22" t="s">
        <v>805</v>
      </c>
      <c r="H22" t="s">
        <v>19</v>
      </c>
      <c r="I22">
        <v>2.9998503116435381E-2</v>
      </c>
      <c r="J22" t="s">
        <v>6</v>
      </c>
      <c r="L22" t="s">
        <v>806</v>
      </c>
      <c r="M22" t="s">
        <v>19</v>
      </c>
      <c r="N22">
        <v>3.5028693503171303E-2</v>
      </c>
      <c r="O22" t="s">
        <v>6</v>
      </c>
    </row>
    <row r="23" spans="2:15" x14ac:dyDescent="0.45">
      <c r="B23" t="s">
        <v>804</v>
      </c>
      <c r="C23" t="s">
        <v>20</v>
      </c>
      <c r="D23">
        <v>1.6420358904471695E-4</v>
      </c>
      <c r="E23" t="s">
        <v>6</v>
      </c>
      <c r="G23" t="s">
        <v>805</v>
      </c>
      <c r="H23" t="s">
        <v>20</v>
      </c>
      <c r="I23">
        <v>6.2332165165302378E-2</v>
      </c>
      <c r="J23" t="s">
        <v>6</v>
      </c>
      <c r="L23" t="s">
        <v>806</v>
      </c>
      <c r="M23" t="s">
        <v>20</v>
      </c>
      <c r="N23">
        <v>6.6062763256396789E-2</v>
      </c>
      <c r="O23" t="s">
        <v>6</v>
      </c>
    </row>
    <row r="24" spans="2:15" x14ac:dyDescent="0.45">
      <c r="B24" t="s">
        <v>804</v>
      </c>
      <c r="C24" t="s">
        <v>21</v>
      </c>
      <c r="D24">
        <v>1.6186263143312854E-2</v>
      </c>
      <c r="E24" t="s">
        <v>6</v>
      </c>
      <c r="G24" t="s">
        <v>805</v>
      </c>
      <c r="H24" t="s">
        <v>21</v>
      </c>
      <c r="I24">
        <v>2.5531238652458703E-2</v>
      </c>
      <c r="J24" t="s">
        <v>6</v>
      </c>
      <c r="L24" t="s">
        <v>806</v>
      </c>
      <c r="M24" t="s">
        <v>21</v>
      </c>
      <c r="N24">
        <v>3.0923337857323225E-2</v>
      </c>
      <c r="O24" t="s">
        <v>6</v>
      </c>
    </row>
    <row r="25" spans="2:15" x14ac:dyDescent="0.45">
      <c r="B25" t="s">
        <v>804</v>
      </c>
      <c r="C25" t="s">
        <v>22</v>
      </c>
      <c r="D25">
        <v>9.0422099742180947E-2</v>
      </c>
      <c r="E25" t="s">
        <v>6</v>
      </c>
      <c r="G25" t="s">
        <v>805</v>
      </c>
      <c r="H25" t="s">
        <v>22</v>
      </c>
      <c r="I25">
        <v>1.6117213821875576E-2</v>
      </c>
      <c r="J25" t="s">
        <v>6</v>
      </c>
      <c r="L25" t="s">
        <v>806</v>
      </c>
      <c r="M25" t="s">
        <v>22</v>
      </c>
      <c r="N25">
        <v>2.0895032221676556E-2</v>
      </c>
      <c r="O25" t="s">
        <v>6</v>
      </c>
    </row>
    <row r="26" spans="2:15" x14ac:dyDescent="0.45">
      <c r="B26" t="s">
        <v>804</v>
      </c>
      <c r="C26" t="s">
        <v>23</v>
      </c>
      <c r="D26">
        <v>0.13544981680027682</v>
      </c>
      <c r="E26" t="s">
        <v>6</v>
      </c>
      <c r="G26" t="s">
        <v>805</v>
      </c>
      <c r="H26" t="s">
        <v>23</v>
      </c>
      <c r="I26">
        <v>1.7827633883876547E-2</v>
      </c>
      <c r="J26" t="s">
        <v>6</v>
      </c>
      <c r="L26" t="s">
        <v>806</v>
      </c>
      <c r="M26" t="s">
        <v>23</v>
      </c>
      <c r="N26">
        <v>2.0769184413103482E-2</v>
      </c>
      <c r="O26" t="s">
        <v>6</v>
      </c>
    </row>
    <row r="27" spans="2:15" x14ac:dyDescent="0.45">
      <c r="B27" t="s">
        <v>804</v>
      </c>
      <c r="C27" t="s">
        <v>24</v>
      </c>
      <c r="D27">
        <v>0.10362938100279094</v>
      </c>
      <c r="E27" t="s">
        <v>6</v>
      </c>
      <c r="G27" t="s">
        <v>805</v>
      </c>
      <c r="H27" t="s">
        <v>24</v>
      </c>
      <c r="I27">
        <v>1.9055543151801489E-2</v>
      </c>
      <c r="J27" t="s">
        <v>6</v>
      </c>
      <c r="L27" t="s">
        <v>806</v>
      </c>
      <c r="M27" t="s">
        <v>24</v>
      </c>
      <c r="N27">
        <v>2.2590074788179419E-2</v>
      </c>
      <c r="O27" t="s">
        <v>6</v>
      </c>
    </row>
    <row r="28" spans="2:15" x14ac:dyDescent="0.45">
      <c r="B28" t="s">
        <v>804</v>
      </c>
      <c r="C28" t="s">
        <v>25</v>
      </c>
      <c r="D28">
        <v>2.5577216695646252E-2</v>
      </c>
      <c r="E28" t="s">
        <v>6</v>
      </c>
      <c r="G28" t="s">
        <v>805</v>
      </c>
      <c r="H28" t="s">
        <v>25</v>
      </c>
      <c r="I28">
        <v>1.9692209618018885E-2</v>
      </c>
      <c r="J28" t="s">
        <v>6</v>
      </c>
      <c r="L28" t="s">
        <v>806</v>
      </c>
      <c r="M28" t="s">
        <v>25</v>
      </c>
      <c r="N28">
        <v>2.3814793010456504E-2</v>
      </c>
      <c r="O28" t="s">
        <v>6</v>
      </c>
    </row>
    <row r="29" spans="2:15" x14ac:dyDescent="0.45">
      <c r="B29" t="s">
        <v>804</v>
      </c>
      <c r="C29" t="s">
        <v>26</v>
      </c>
      <c r="D29">
        <v>0</v>
      </c>
      <c r="E29" t="s">
        <v>6</v>
      </c>
      <c r="G29" t="s">
        <v>805</v>
      </c>
      <c r="H29" t="s">
        <v>26</v>
      </c>
      <c r="I29">
        <v>9.6093089565141676E-2</v>
      </c>
      <c r="J29" t="s">
        <v>6</v>
      </c>
      <c r="L29" t="s">
        <v>806</v>
      </c>
      <c r="M29" t="s">
        <v>26</v>
      </c>
      <c r="N29">
        <v>8.9403433567846413E-2</v>
      </c>
      <c r="O29" t="s">
        <v>6</v>
      </c>
    </row>
    <row r="30" spans="2:15" x14ac:dyDescent="0.45">
      <c r="B30" t="s">
        <v>804</v>
      </c>
      <c r="C30" t="s">
        <v>27</v>
      </c>
      <c r="D30">
        <v>2.3143352200544333E-3</v>
      </c>
      <c r="E30" t="s">
        <v>6</v>
      </c>
      <c r="G30" t="s">
        <v>805</v>
      </c>
      <c r="H30" t="s">
        <v>27</v>
      </c>
      <c r="I30">
        <v>4.5234960404441034E-2</v>
      </c>
      <c r="J30" t="s">
        <v>6</v>
      </c>
      <c r="L30" t="s">
        <v>806</v>
      </c>
      <c r="M30" t="s">
        <v>27</v>
      </c>
      <c r="N30">
        <v>4.4069196939076863E-2</v>
      </c>
      <c r="O30" t="s">
        <v>6</v>
      </c>
    </row>
    <row r="31" spans="2:15" x14ac:dyDescent="0.45">
      <c r="B31" t="s">
        <v>804</v>
      </c>
      <c r="C31" t="s">
        <v>28</v>
      </c>
      <c r="D31">
        <v>4.771514546905211E-2</v>
      </c>
      <c r="E31" t="s">
        <v>6</v>
      </c>
      <c r="G31" t="s">
        <v>805</v>
      </c>
      <c r="H31" t="s">
        <v>28</v>
      </c>
      <c r="I31">
        <v>3.0118038044325654E-2</v>
      </c>
      <c r="J31" t="s">
        <v>6</v>
      </c>
      <c r="L31" t="s">
        <v>806</v>
      </c>
      <c r="M31" t="s">
        <v>28</v>
      </c>
      <c r="N31">
        <v>3.2868334216716484E-2</v>
      </c>
      <c r="O31" t="s">
        <v>6</v>
      </c>
    </row>
    <row r="32" spans="2:15" x14ac:dyDescent="0.45">
      <c r="B32" t="s">
        <v>804</v>
      </c>
      <c r="C32" t="s">
        <v>29</v>
      </c>
      <c r="D32">
        <v>8.2671867817006958E-2</v>
      </c>
      <c r="E32" t="s">
        <v>6</v>
      </c>
      <c r="G32" t="s">
        <v>805</v>
      </c>
      <c r="H32" t="s">
        <v>29</v>
      </c>
      <c r="I32">
        <v>3.1019303669802302E-2</v>
      </c>
      <c r="J32" t="s">
        <v>6</v>
      </c>
      <c r="L32" t="s">
        <v>806</v>
      </c>
      <c r="M32" t="s">
        <v>29</v>
      </c>
      <c r="N32">
        <v>3.3165015193317854E-2</v>
      </c>
      <c r="O32" t="s">
        <v>6</v>
      </c>
    </row>
    <row r="33" spans="2:15" x14ac:dyDescent="0.45">
      <c r="B33" t="s">
        <v>804</v>
      </c>
      <c r="C33" t="s">
        <v>30</v>
      </c>
      <c r="D33">
        <v>4.7439246666269252E-2</v>
      </c>
      <c r="E33" t="s">
        <v>6</v>
      </c>
      <c r="G33" t="s">
        <v>805</v>
      </c>
      <c r="H33" t="s">
        <v>30</v>
      </c>
      <c r="I33">
        <v>3.2514458087322978E-2</v>
      </c>
      <c r="J33" t="s">
        <v>6</v>
      </c>
      <c r="L33" t="s">
        <v>806</v>
      </c>
      <c r="M33" t="s">
        <v>30</v>
      </c>
      <c r="N33">
        <v>3.3360916262529572E-2</v>
      </c>
      <c r="O33" t="s">
        <v>6</v>
      </c>
    </row>
    <row r="34" spans="2:15" x14ac:dyDescent="0.45">
      <c r="B34" t="s">
        <v>804</v>
      </c>
      <c r="C34" t="s">
        <v>31</v>
      </c>
      <c r="D34">
        <v>2.6444311066946627E-3</v>
      </c>
      <c r="E34" t="s">
        <v>6</v>
      </c>
      <c r="G34" t="s">
        <v>805</v>
      </c>
      <c r="H34" t="s">
        <v>31</v>
      </c>
      <c r="I34">
        <v>3.442182083107833E-2</v>
      </c>
      <c r="J34" t="s">
        <v>6</v>
      </c>
      <c r="L34" t="s">
        <v>806</v>
      </c>
      <c r="M34" t="s">
        <v>31</v>
      </c>
      <c r="N34">
        <v>3.4274463216327988E-2</v>
      </c>
      <c r="O34" t="s">
        <v>6</v>
      </c>
    </row>
    <row r="35" spans="2:15" x14ac:dyDescent="0.45">
      <c r="B35" t="s">
        <v>807</v>
      </c>
      <c r="C35" t="s">
        <v>5</v>
      </c>
      <c r="D35">
        <v>0</v>
      </c>
      <c r="E35" t="s">
        <v>6</v>
      </c>
      <c r="G35" t="s">
        <v>808</v>
      </c>
      <c r="H35" t="s">
        <v>5</v>
      </c>
      <c r="I35">
        <v>0.11647023991048601</v>
      </c>
      <c r="J35" t="s">
        <v>6</v>
      </c>
      <c r="L35" t="s">
        <v>809</v>
      </c>
      <c r="M35" t="s">
        <v>5</v>
      </c>
      <c r="N35">
        <v>9.563721459678888E-2</v>
      </c>
      <c r="O35" t="s">
        <v>6</v>
      </c>
    </row>
    <row r="36" spans="2:15" x14ac:dyDescent="0.45">
      <c r="B36" t="s">
        <v>807</v>
      </c>
      <c r="C36" t="s">
        <v>9</v>
      </c>
      <c r="D36">
        <v>0</v>
      </c>
      <c r="E36" t="s">
        <v>6</v>
      </c>
      <c r="G36" t="s">
        <v>808</v>
      </c>
      <c r="H36" t="s">
        <v>9</v>
      </c>
      <c r="I36">
        <v>5.7903424281898826E-2</v>
      </c>
      <c r="J36" t="s">
        <v>6</v>
      </c>
      <c r="L36" t="s">
        <v>809</v>
      </c>
      <c r="M36" t="s">
        <v>9</v>
      </c>
      <c r="N36">
        <v>4.717950483576884E-2</v>
      </c>
      <c r="O36" t="s">
        <v>6</v>
      </c>
    </row>
    <row r="37" spans="2:15" x14ac:dyDescent="0.45">
      <c r="B37" t="s">
        <v>807</v>
      </c>
      <c r="C37" t="s">
        <v>10</v>
      </c>
      <c r="D37">
        <v>2.2353611658926444E-2</v>
      </c>
      <c r="E37" t="s">
        <v>6</v>
      </c>
      <c r="G37" t="s">
        <v>808</v>
      </c>
      <c r="H37" t="s">
        <v>10</v>
      </c>
      <c r="I37">
        <v>4.0768060821475431E-2</v>
      </c>
      <c r="J37" t="s">
        <v>6</v>
      </c>
      <c r="L37" t="s">
        <v>809</v>
      </c>
      <c r="M37" t="s">
        <v>10</v>
      </c>
      <c r="N37">
        <v>3.5242889095292898E-2</v>
      </c>
      <c r="O37" t="s">
        <v>6</v>
      </c>
    </row>
    <row r="38" spans="2:15" x14ac:dyDescent="0.45">
      <c r="B38" t="s">
        <v>807</v>
      </c>
      <c r="C38" t="s">
        <v>11</v>
      </c>
      <c r="D38">
        <v>5.8423306587438217E-2</v>
      </c>
      <c r="E38" t="s">
        <v>6</v>
      </c>
      <c r="G38" t="s">
        <v>808</v>
      </c>
      <c r="H38" t="s">
        <v>11</v>
      </c>
      <c r="I38">
        <v>3.7667343805145491E-2</v>
      </c>
      <c r="J38" t="s">
        <v>6</v>
      </c>
      <c r="L38" t="s">
        <v>809</v>
      </c>
      <c r="M38" t="s">
        <v>11</v>
      </c>
      <c r="N38">
        <v>3.5093559069696544E-2</v>
      </c>
      <c r="O38" t="s">
        <v>6</v>
      </c>
    </row>
    <row r="39" spans="2:15" x14ac:dyDescent="0.45">
      <c r="B39" t="s">
        <v>807</v>
      </c>
      <c r="C39" t="s">
        <v>12</v>
      </c>
      <c r="D39">
        <v>2.7576596928712133E-2</v>
      </c>
      <c r="E39" t="s">
        <v>6</v>
      </c>
      <c r="G39" t="s">
        <v>808</v>
      </c>
      <c r="H39" t="s">
        <v>12</v>
      </c>
      <c r="I39">
        <v>3.8948317629770843E-2</v>
      </c>
      <c r="J39" t="s">
        <v>6</v>
      </c>
      <c r="L39" t="s">
        <v>809</v>
      </c>
      <c r="M39" t="s">
        <v>12</v>
      </c>
      <c r="N39">
        <v>3.5204026646443544E-2</v>
      </c>
      <c r="O39" t="s">
        <v>6</v>
      </c>
    </row>
    <row r="40" spans="2:15" x14ac:dyDescent="0.45">
      <c r="B40" t="s">
        <v>807</v>
      </c>
      <c r="C40" t="s">
        <v>13</v>
      </c>
      <c r="D40">
        <v>2.7711929143330895E-4</v>
      </c>
      <c r="E40" t="s">
        <v>6</v>
      </c>
      <c r="G40" t="s">
        <v>808</v>
      </c>
      <c r="H40" t="s">
        <v>13</v>
      </c>
      <c r="I40">
        <v>4.1722154027069185E-2</v>
      </c>
      <c r="J40" t="s">
        <v>6</v>
      </c>
      <c r="L40" t="s">
        <v>809</v>
      </c>
      <c r="M40" t="s">
        <v>13</v>
      </c>
      <c r="N40">
        <v>3.6385220151274343E-2</v>
      </c>
      <c r="O40" t="s">
        <v>6</v>
      </c>
    </row>
    <row r="41" spans="2:15" x14ac:dyDescent="0.45">
      <c r="B41" t="s">
        <v>807</v>
      </c>
      <c r="C41" t="s">
        <v>14</v>
      </c>
      <c r="D41">
        <v>1.4253053479276668E-6</v>
      </c>
      <c r="E41" t="s">
        <v>6</v>
      </c>
      <c r="G41" t="s">
        <v>808</v>
      </c>
      <c r="H41" t="s">
        <v>14</v>
      </c>
      <c r="I41">
        <v>8.3264724271411059E-2</v>
      </c>
      <c r="J41" t="s">
        <v>6</v>
      </c>
      <c r="L41" t="s">
        <v>809</v>
      </c>
      <c r="M41" t="s">
        <v>14</v>
      </c>
      <c r="N41">
        <v>8.6931079178190651E-2</v>
      </c>
      <c r="O41" t="s">
        <v>6</v>
      </c>
    </row>
    <row r="42" spans="2:15" x14ac:dyDescent="0.45">
      <c r="B42" t="s">
        <v>807</v>
      </c>
      <c r="C42" t="s">
        <v>15</v>
      </c>
      <c r="D42">
        <v>1.2312838310516137E-2</v>
      </c>
      <c r="E42" t="s">
        <v>6</v>
      </c>
      <c r="G42" t="s">
        <v>808</v>
      </c>
      <c r="H42" t="s">
        <v>15</v>
      </c>
      <c r="I42">
        <v>4.0220306322468924E-2</v>
      </c>
      <c r="J42" t="s">
        <v>6</v>
      </c>
      <c r="L42" t="s">
        <v>809</v>
      </c>
      <c r="M42" t="s">
        <v>15</v>
      </c>
      <c r="N42">
        <v>4.2837778731506522E-2</v>
      </c>
      <c r="O42" t="s">
        <v>6</v>
      </c>
    </row>
    <row r="43" spans="2:15" x14ac:dyDescent="0.45">
      <c r="B43" t="s">
        <v>807</v>
      </c>
      <c r="C43" t="s">
        <v>16</v>
      </c>
      <c r="D43">
        <v>8.8923999422978919E-2</v>
      </c>
      <c r="E43" t="s">
        <v>6</v>
      </c>
      <c r="G43" t="s">
        <v>808</v>
      </c>
      <c r="H43" t="s">
        <v>16</v>
      </c>
      <c r="I43">
        <v>2.6677094024974302E-2</v>
      </c>
      <c r="J43" t="s">
        <v>6</v>
      </c>
      <c r="L43" t="s">
        <v>809</v>
      </c>
      <c r="M43" t="s">
        <v>16</v>
      </c>
      <c r="N43">
        <v>3.2409975606100247E-2</v>
      </c>
      <c r="O43" t="s">
        <v>6</v>
      </c>
    </row>
    <row r="44" spans="2:15" x14ac:dyDescent="0.45">
      <c r="B44" t="s">
        <v>807</v>
      </c>
      <c r="C44" t="s">
        <v>17</v>
      </c>
      <c r="D44">
        <v>0.12657628757673547</v>
      </c>
      <c r="E44" t="s">
        <v>6</v>
      </c>
      <c r="G44" t="s">
        <v>808</v>
      </c>
      <c r="H44" t="s">
        <v>17</v>
      </c>
      <c r="I44">
        <v>2.6748380300677613E-2</v>
      </c>
      <c r="J44" t="s">
        <v>6</v>
      </c>
      <c r="L44" t="s">
        <v>809</v>
      </c>
      <c r="M44" t="s">
        <v>17</v>
      </c>
      <c r="N44">
        <v>3.3108961051189913E-2</v>
      </c>
      <c r="O44" t="s">
        <v>6</v>
      </c>
    </row>
    <row r="45" spans="2:15" x14ac:dyDescent="0.45">
      <c r="B45" t="s">
        <v>807</v>
      </c>
      <c r="C45" t="s">
        <v>18</v>
      </c>
      <c r="D45">
        <v>8.3846614853303039E-2</v>
      </c>
      <c r="E45" t="s">
        <v>6</v>
      </c>
      <c r="G45" t="s">
        <v>808</v>
      </c>
      <c r="H45" t="s">
        <v>18</v>
      </c>
      <c r="I45">
        <v>2.9127666705346781E-2</v>
      </c>
      <c r="J45" t="s">
        <v>6</v>
      </c>
      <c r="L45" t="s">
        <v>809</v>
      </c>
      <c r="M45" t="s">
        <v>18</v>
      </c>
      <c r="N45">
        <v>3.4037780172848586E-2</v>
      </c>
      <c r="O45" t="s">
        <v>6</v>
      </c>
    </row>
    <row r="46" spans="2:15" x14ac:dyDescent="0.45">
      <c r="B46" t="s">
        <v>807</v>
      </c>
      <c r="C46" t="s">
        <v>19</v>
      </c>
      <c r="D46">
        <v>1.3684642636877967E-2</v>
      </c>
      <c r="E46" t="s">
        <v>6</v>
      </c>
      <c r="G46" t="s">
        <v>808</v>
      </c>
      <c r="H46" t="s">
        <v>19</v>
      </c>
      <c r="I46">
        <v>2.8995155102186684E-2</v>
      </c>
      <c r="J46" t="s">
        <v>6</v>
      </c>
      <c r="L46" t="s">
        <v>809</v>
      </c>
      <c r="M46" t="s">
        <v>19</v>
      </c>
      <c r="N46">
        <v>3.4206572150842947E-2</v>
      </c>
      <c r="O46" t="s">
        <v>6</v>
      </c>
    </row>
    <row r="47" spans="2:15" x14ac:dyDescent="0.45">
      <c r="B47" t="s">
        <v>807</v>
      </c>
      <c r="C47" t="s">
        <v>20</v>
      </c>
      <c r="D47">
        <v>1.1156084250663613E-4</v>
      </c>
      <c r="E47" t="s">
        <v>6</v>
      </c>
      <c r="G47" t="s">
        <v>808</v>
      </c>
      <c r="H47" t="s">
        <v>20</v>
      </c>
      <c r="I47">
        <v>6.1125909985023083E-2</v>
      </c>
      <c r="J47" t="s">
        <v>6</v>
      </c>
      <c r="L47" t="s">
        <v>809</v>
      </c>
      <c r="M47" t="s">
        <v>20</v>
      </c>
      <c r="N47">
        <v>6.1202078087344909E-2</v>
      </c>
      <c r="O47" t="s">
        <v>6</v>
      </c>
    </row>
    <row r="48" spans="2:15" x14ac:dyDescent="0.45">
      <c r="B48" t="s">
        <v>807</v>
      </c>
      <c r="C48" t="s">
        <v>21</v>
      </c>
      <c r="D48">
        <v>1.9085794960463302E-2</v>
      </c>
      <c r="E48" t="s">
        <v>6</v>
      </c>
      <c r="G48" t="s">
        <v>808</v>
      </c>
      <c r="H48" t="s">
        <v>21</v>
      </c>
      <c r="I48">
        <v>2.6237234674637074E-2</v>
      </c>
      <c r="J48" t="s">
        <v>6</v>
      </c>
      <c r="L48" t="s">
        <v>809</v>
      </c>
      <c r="M48" t="s">
        <v>21</v>
      </c>
      <c r="N48">
        <v>3.0733618096226059E-2</v>
      </c>
      <c r="O48" t="s">
        <v>6</v>
      </c>
    </row>
    <row r="49" spans="2:15" x14ac:dyDescent="0.45">
      <c r="B49" t="s">
        <v>807</v>
      </c>
      <c r="C49" t="s">
        <v>22</v>
      </c>
      <c r="D49">
        <v>9.729052341254292E-2</v>
      </c>
      <c r="E49" t="s">
        <v>6</v>
      </c>
      <c r="G49" t="s">
        <v>808</v>
      </c>
      <c r="H49" t="s">
        <v>22</v>
      </c>
      <c r="I49">
        <v>1.5584474682302729E-2</v>
      </c>
      <c r="J49" t="s">
        <v>6</v>
      </c>
      <c r="L49" t="s">
        <v>809</v>
      </c>
      <c r="M49" t="s">
        <v>22</v>
      </c>
      <c r="N49">
        <v>2.1290006709409771E-2</v>
      </c>
      <c r="O49" t="s">
        <v>6</v>
      </c>
    </row>
    <row r="50" spans="2:15" x14ac:dyDescent="0.45">
      <c r="B50" t="s">
        <v>807</v>
      </c>
      <c r="C50" t="s">
        <v>23</v>
      </c>
      <c r="D50">
        <v>0.13629271413296293</v>
      </c>
      <c r="E50" t="s">
        <v>6</v>
      </c>
      <c r="G50" t="s">
        <v>808</v>
      </c>
      <c r="H50" t="s">
        <v>23</v>
      </c>
      <c r="I50">
        <v>1.6178037428940917E-2</v>
      </c>
      <c r="J50" t="s">
        <v>6</v>
      </c>
      <c r="L50" t="s">
        <v>809</v>
      </c>
      <c r="M50" t="s">
        <v>23</v>
      </c>
      <c r="N50">
        <v>2.0741992980687129E-2</v>
      </c>
      <c r="O50" t="s">
        <v>6</v>
      </c>
    </row>
    <row r="51" spans="2:15" x14ac:dyDescent="0.45">
      <c r="B51" t="s">
        <v>807</v>
      </c>
      <c r="C51" t="s">
        <v>24</v>
      </c>
      <c r="D51">
        <v>0.10178600859499569</v>
      </c>
      <c r="E51" t="s">
        <v>6</v>
      </c>
      <c r="G51" t="s">
        <v>808</v>
      </c>
      <c r="H51" t="s">
        <v>24</v>
      </c>
      <c r="I51">
        <v>1.8410732537296155E-2</v>
      </c>
      <c r="J51" t="s">
        <v>6</v>
      </c>
      <c r="L51" t="s">
        <v>809</v>
      </c>
      <c r="M51" t="s">
        <v>24</v>
      </c>
      <c r="N51">
        <v>2.0958293376037336E-2</v>
      </c>
      <c r="O51" t="s">
        <v>6</v>
      </c>
    </row>
    <row r="52" spans="2:15" x14ac:dyDescent="0.45">
      <c r="B52" t="s">
        <v>807</v>
      </c>
      <c r="C52" t="s">
        <v>25</v>
      </c>
      <c r="D52">
        <v>2.4424001288657977E-2</v>
      </c>
      <c r="E52" t="s">
        <v>6</v>
      </c>
      <c r="G52" t="s">
        <v>808</v>
      </c>
      <c r="H52" t="s">
        <v>25</v>
      </c>
      <c r="I52">
        <v>1.7237739054485311E-2</v>
      </c>
      <c r="J52" t="s">
        <v>6</v>
      </c>
      <c r="L52" t="s">
        <v>809</v>
      </c>
      <c r="M52" t="s">
        <v>25</v>
      </c>
      <c r="N52">
        <v>2.0938801587432884E-2</v>
      </c>
      <c r="O52" t="s">
        <v>6</v>
      </c>
    </row>
    <row r="53" spans="2:15" x14ac:dyDescent="0.45">
      <c r="B53" t="s">
        <v>807</v>
      </c>
      <c r="C53" t="s">
        <v>26</v>
      </c>
      <c r="D53">
        <v>0</v>
      </c>
      <c r="E53" t="s">
        <v>6</v>
      </c>
      <c r="G53" t="s">
        <v>808</v>
      </c>
      <c r="H53" t="s">
        <v>26</v>
      </c>
      <c r="I53">
        <v>0.10002497310429358</v>
      </c>
      <c r="J53" t="s">
        <v>6</v>
      </c>
      <c r="L53" t="s">
        <v>809</v>
      </c>
      <c r="M53" t="s">
        <v>26</v>
      </c>
      <c r="N53">
        <v>9.1270832819297418E-2</v>
      </c>
      <c r="O53" t="s">
        <v>6</v>
      </c>
    </row>
    <row r="54" spans="2:15" x14ac:dyDescent="0.45">
      <c r="B54" t="s">
        <v>807</v>
      </c>
      <c r="C54" t="s">
        <v>27</v>
      </c>
      <c r="D54">
        <v>3.0794010387715752E-3</v>
      </c>
      <c r="E54" t="s">
        <v>6</v>
      </c>
      <c r="G54" t="s">
        <v>808</v>
      </c>
      <c r="H54" t="s">
        <v>27</v>
      </c>
      <c r="I54">
        <v>4.670050708506298E-2</v>
      </c>
      <c r="J54" t="s">
        <v>6</v>
      </c>
      <c r="L54" t="s">
        <v>809</v>
      </c>
      <c r="M54" t="s">
        <v>27</v>
      </c>
      <c r="N54">
        <v>4.6221784663629216E-2</v>
      </c>
      <c r="O54" t="s">
        <v>6</v>
      </c>
    </row>
    <row r="55" spans="2:15" x14ac:dyDescent="0.45">
      <c r="B55" t="s">
        <v>807</v>
      </c>
      <c r="C55" t="s">
        <v>28</v>
      </c>
      <c r="D55">
        <v>5.2746210723410424E-2</v>
      </c>
      <c r="E55" t="s">
        <v>6</v>
      </c>
      <c r="G55" t="s">
        <v>808</v>
      </c>
      <c r="H55" t="s">
        <v>28</v>
      </c>
      <c r="I55">
        <v>3.1475906932044197E-2</v>
      </c>
      <c r="J55" t="s">
        <v>6</v>
      </c>
      <c r="L55" t="s">
        <v>809</v>
      </c>
      <c r="M55" t="s">
        <v>28</v>
      </c>
      <c r="N55">
        <v>3.4179996946691993E-2</v>
      </c>
      <c r="O55" t="s">
        <v>6</v>
      </c>
    </row>
    <row r="56" spans="2:15" x14ac:dyDescent="0.45">
      <c r="B56" t="s">
        <v>807</v>
      </c>
      <c r="C56" t="s">
        <v>29</v>
      </c>
      <c r="D56">
        <v>8.3905545794231082E-2</v>
      </c>
      <c r="E56" t="s">
        <v>6</v>
      </c>
      <c r="G56" t="s">
        <v>808</v>
      </c>
      <c r="H56" t="s">
        <v>29</v>
      </c>
      <c r="I56">
        <v>3.1114225872927143E-2</v>
      </c>
      <c r="J56" t="s">
        <v>6</v>
      </c>
      <c r="L56" t="s">
        <v>809</v>
      </c>
      <c r="M56" t="s">
        <v>29</v>
      </c>
      <c r="N56">
        <v>3.4466785440806454E-2</v>
      </c>
      <c r="O56" t="s">
        <v>6</v>
      </c>
    </row>
    <row r="57" spans="2:15" x14ac:dyDescent="0.45">
      <c r="B57" t="s">
        <v>807</v>
      </c>
      <c r="C57" t="s">
        <v>30</v>
      </c>
      <c r="D57">
        <v>4.5094954790905084E-2</v>
      </c>
      <c r="E57" t="s">
        <v>6</v>
      </c>
      <c r="G57" t="s">
        <v>808</v>
      </c>
      <c r="H57" t="s">
        <v>30</v>
      </c>
      <c r="I57">
        <v>3.1589059338153404E-2</v>
      </c>
      <c r="J57" t="s">
        <v>6</v>
      </c>
      <c r="L57" t="s">
        <v>809</v>
      </c>
      <c r="M57" t="s">
        <v>30</v>
      </c>
      <c r="N57">
        <v>3.496145843908962E-2</v>
      </c>
      <c r="O57" t="s">
        <v>6</v>
      </c>
    </row>
    <row r="58" spans="2:15" x14ac:dyDescent="0.45">
      <c r="B58" t="s">
        <v>807</v>
      </c>
      <c r="C58" t="s">
        <v>31</v>
      </c>
      <c r="D58">
        <v>2.206841848280558E-3</v>
      </c>
      <c r="E58" t="s">
        <v>6</v>
      </c>
      <c r="G58" t="s">
        <v>808</v>
      </c>
      <c r="H58" t="s">
        <v>31</v>
      </c>
      <c r="I58">
        <v>3.5808332101922122E-2</v>
      </c>
      <c r="J58" t="s">
        <v>6</v>
      </c>
      <c r="L58" t="s">
        <v>809</v>
      </c>
      <c r="M58" t="s">
        <v>31</v>
      </c>
      <c r="N58">
        <v>3.475978956740329E-2</v>
      </c>
      <c r="O58" t="s">
        <v>6</v>
      </c>
    </row>
    <row r="59" spans="2:15" x14ac:dyDescent="0.45">
      <c r="B59" t="s">
        <v>810</v>
      </c>
      <c r="C59" t="s">
        <v>5</v>
      </c>
      <c r="D59">
        <v>0</v>
      </c>
      <c r="E59" t="s">
        <v>6</v>
      </c>
      <c r="G59" t="s">
        <v>811</v>
      </c>
      <c r="H59" t="s">
        <v>5</v>
      </c>
      <c r="I59">
        <v>0.11283819871025046</v>
      </c>
      <c r="J59" t="s">
        <v>6</v>
      </c>
      <c r="L59" t="s">
        <v>812</v>
      </c>
      <c r="M59" t="s">
        <v>5</v>
      </c>
      <c r="N59">
        <v>9.5088259937542052E-2</v>
      </c>
      <c r="O59" t="s">
        <v>6</v>
      </c>
    </row>
    <row r="60" spans="2:15" x14ac:dyDescent="0.45">
      <c r="B60" t="s">
        <v>810</v>
      </c>
      <c r="C60" t="s">
        <v>9</v>
      </c>
      <c r="D60">
        <v>0</v>
      </c>
      <c r="E60" t="s">
        <v>6</v>
      </c>
      <c r="G60" t="s">
        <v>811</v>
      </c>
      <c r="H60" t="s">
        <v>9</v>
      </c>
      <c r="I60">
        <v>5.6372185057424994E-2</v>
      </c>
      <c r="J60" t="s">
        <v>6</v>
      </c>
      <c r="L60" t="s">
        <v>812</v>
      </c>
      <c r="M60" t="s">
        <v>9</v>
      </c>
      <c r="N60">
        <v>4.7343638742549793E-2</v>
      </c>
      <c r="O60" t="s">
        <v>6</v>
      </c>
    </row>
    <row r="61" spans="2:15" x14ac:dyDescent="0.45">
      <c r="B61" t="s">
        <v>810</v>
      </c>
      <c r="C61" t="s">
        <v>10</v>
      </c>
      <c r="D61">
        <v>2.6031333484359192E-2</v>
      </c>
      <c r="E61" t="s">
        <v>6</v>
      </c>
      <c r="G61" t="s">
        <v>811</v>
      </c>
      <c r="H61" t="s">
        <v>10</v>
      </c>
      <c r="I61">
        <v>4.0482492017849821E-2</v>
      </c>
      <c r="J61" t="s">
        <v>6</v>
      </c>
      <c r="L61" t="s">
        <v>812</v>
      </c>
      <c r="M61" t="s">
        <v>10</v>
      </c>
      <c r="N61">
        <v>3.4986500958668655E-2</v>
      </c>
      <c r="O61" t="s">
        <v>6</v>
      </c>
    </row>
    <row r="62" spans="2:15" x14ac:dyDescent="0.45">
      <c r="B62" t="s">
        <v>810</v>
      </c>
      <c r="C62" t="s">
        <v>11</v>
      </c>
      <c r="D62">
        <v>6.9665161209585616E-2</v>
      </c>
      <c r="E62" t="s">
        <v>6</v>
      </c>
      <c r="G62" t="s">
        <v>811</v>
      </c>
      <c r="H62" t="s">
        <v>11</v>
      </c>
      <c r="I62">
        <v>3.6529012067072382E-2</v>
      </c>
      <c r="J62" t="s">
        <v>6</v>
      </c>
      <c r="L62" t="s">
        <v>812</v>
      </c>
      <c r="M62" t="s">
        <v>11</v>
      </c>
      <c r="N62">
        <v>3.524447098754617E-2</v>
      </c>
      <c r="O62" t="s">
        <v>6</v>
      </c>
    </row>
    <row r="63" spans="2:15" x14ac:dyDescent="0.45">
      <c r="B63" t="s">
        <v>810</v>
      </c>
      <c r="C63" t="s">
        <v>12</v>
      </c>
      <c r="D63">
        <v>3.6823891333282149E-2</v>
      </c>
      <c r="E63" t="s">
        <v>6</v>
      </c>
      <c r="G63" t="s">
        <v>811</v>
      </c>
      <c r="H63" t="s">
        <v>12</v>
      </c>
      <c r="I63">
        <v>3.7657944347895905E-2</v>
      </c>
      <c r="J63" t="s">
        <v>6</v>
      </c>
      <c r="L63" t="s">
        <v>812</v>
      </c>
      <c r="M63" t="s">
        <v>12</v>
      </c>
      <c r="N63">
        <v>3.524213751060544E-2</v>
      </c>
      <c r="O63" t="s">
        <v>6</v>
      </c>
    </row>
    <row r="64" spans="2:15" x14ac:dyDescent="0.45">
      <c r="B64" t="s">
        <v>810</v>
      </c>
      <c r="C64" t="s">
        <v>13</v>
      </c>
      <c r="D64">
        <v>7.031369505120749E-4</v>
      </c>
      <c r="E64" t="s">
        <v>6</v>
      </c>
      <c r="G64" t="s">
        <v>811</v>
      </c>
      <c r="H64" t="s">
        <v>13</v>
      </c>
      <c r="I64">
        <v>4.0911939244396948E-2</v>
      </c>
      <c r="J64" t="s">
        <v>6</v>
      </c>
      <c r="L64" t="s">
        <v>812</v>
      </c>
      <c r="M64" t="s">
        <v>13</v>
      </c>
      <c r="N64">
        <v>3.5769692530342539E-2</v>
      </c>
      <c r="O64" t="s">
        <v>6</v>
      </c>
    </row>
    <row r="65" spans="2:15" x14ac:dyDescent="0.45">
      <c r="B65" t="s">
        <v>810</v>
      </c>
      <c r="C65" t="s">
        <v>14</v>
      </c>
      <c r="D65">
        <v>6.670183665694941E-6</v>
      </c>
      <c r="E65" t="s">
        <v>6</v>
      </c>
      <c r="G65" t="s">
        <v>811</v>
      </c>
      <c r="H65" t="s">
        <v>14</v>
      </c>
      <c r="I65">
        <v>8.5641084744503035E-2</v>
      </c>
      <c r="J65" t="s">
        <v>6</v>
      </c>
      <c r="L65" t="s">
        <v>812</v>
      </c>
      <c r="M65" t="s">
        <v>14</v>
      </c>
      <c r="N65">
        <v>8.6450115073308395E-2</v>
      </c>
      <c r="O65" t="s">
        <v>6</v>
      </c>
    </row>
    <row r="66" spans="2:15" x14ac:dyDescent="0.45">
      <c r="B66" t="s">
        <v>810</v>
      </c>
      <c r="C66" t="s">
        <v>15</v>
      </c>
      <c r="D66">
        <v>8.7093310923386721E-3</v>
      </c>
      <c r="E66" t="s">
        <v>6</v>
      </c>
      <c r="G66" t="s">
        <v>811</v>
      </c>
      <c r="H66" t="s">
        <v>15</v>
      </c>
      <c r="I66">
        <v>3.9980272151715623E-2</v>
      </c>
      <c r="J66" t="s">
        <v>6</v>
      </c>
      <c r="L66" t="s">
        <v>812</v>
      </c>
      <c r="M66" t="s">
        <v>15</v>
      </c>
      <c r="N66">
        <v>4.3142556052326232E-2</v>
      </c>
      <c r="O66" t="s">
        <v>6</v>
      </c>
    </row>
    <row r="67" spans="2:15" x14ac:dyDescent="0.45">
      <c r="B67" t="s">
        <v>810</v>
      </c>
      <c r="C67" t="s">
        <v>16</v>
      </c>
      <c r="D67">
        <v>7.7979253135207274E-2</v>
      </c>
      <c r="E67" t="s">
        <v>6</v>
      </c>
      <c r="G67" t="s">
        <v>811</v>
      </c>
      <c r="H67" t="s">
        <v>16</v>
      </c>
      <c r="I67">
        <v>2.8966524383984935E-2</v>
      </c>
      <c r="J67" t="s">
        <v>6</v>
      </c>
      <c r="L67" t="s">
        <v>812</v>
      </c>
      <c r="M67" t="s">
        <v>16</v>
      </c>
      <c r="N67">
        <v>3.2359862508555909E-2</v>
      </c>
      <c r="O67" t="s">
        <v>6</v>
      </c>
    </row>
    <row r="68" spans="2:15" x14ac:dyDescent="0.45">
      <c r="B68" t="s">
        <v>810</v>
      </c>
      <c r="C68" t="s">
        <v>17</v>
      </c>
      <c r="D68">
        <v>0.12009654964261594</v>
      </c>
      <c r="E68" t="s">
        <v>6</v>
      </c>
      <c r="G68" t="s">
        <v>811</v>
      </c>
      <c r="H68" t="s">
        <v>17</v>
      </c>
      <c r="I68">
        <v>3.0265236038887991E-2</v>
      </c>
      <c r="J68" t="s">
        <v>6</v>
      </c>
      <c r="L68" t="s">
        <v>812</v>
      </c>
      <c r="M68" t="s">
        <v>17</v>
      </c>
      <c r="N68">
        <v>3.2951437091933683E-2</v>
      </c>
      <c r="O68" t="s">
        <v>6</v>
      </c>
    </row>
    <row r="69" spans="2:15" x14ac:dyDescent="0.45">
      <c r="B69" t="s">
        <v>810</v>
      </c>
      <c r="C69" t="s">
        <v>18</v>
      </c>
      <c r="D69">
        <v>8.7584264359737332E-2</v>
      </c>
      <c r="E69" t="s">
        <v>6</v>
      </c>
      <c r="G69" t="s">
        <v>811</v>
      </c>
      <c r="H69" t="s">
        <v>18</v>
      </c>
      <c r="I69">
        <v>3.1235583006191954E-2</v>
      </c>
      <c r="J69" t="s">
        <v>6</v>
      </c>
      <c r="L69" t="s">
        <v>812</v>
      </c>
      <c r="M69" t="s">
        <v>18</v>
      </c>
      <c r="N69">
        <v>3.4091501908924571E-2</v>
      </c>
      <c r="O69" t="s">
        <v>6</v>
      </c>
    </row>
    <row r="70" spans="2:15" x14ac:dyDescent="0.45">
      <c r="B70" t="s">
        <v>810</v>
      </c>
      <c r="C70" t="s">
        <v>19</v>
      </c>
      <c r="D70">
        <v>1.5884271604244198E-2</v>
      </c>
      <c r="E70" t="s">
        <v>6</v>
      </c>
      <c r="G70" t="s">
        <v>811</v>
      </c>
      <c r="H70" t="s">
        <v>19</v>
      </c>
      <c r="I70">
        <v>3.0310530671972629E-2</v>
      </c>
      <c r="J70" t="s">
        <v>6</v>
      </c>
      <c r="L70" t="s">
        <v>812</v>
      </c>
      <c r="M70" t="s">
        <v>19</v>
      </c>
      <c r="N70">
        <v>3.4040309317597307E-2</v>
      </c>
      <c r="O70" t="s">
        <v>6</v>
      </c>
    </row>
    <row r="71" spans="2:15" x14ac:dyDescent="0.45">
      <c r="B71" t="s">
        <v>810</v>
      </c>
      <c r="C71" t="s">
        <v>20</v>
      </c>
      <c r="D71">
        <v>1.6686847821976441E-4</v>
      </c>
      <c r="E71" t="s">
        <v>6</v>
      </c>
      <c r="G71" t="s">
        <v>811</v>
      </c>
      <c r="H71" t="s">
        <v>20</v>
      </c>
      <c r="I71">
        <v>6.3918137822237139E-2</v>
      </c>
      <c r="J71" t="s">
        <v>6</v>
      </c>
      <c r="L71" t="s">
        <v>812</v>
      </c>
      <c r="M71" t="s">
        <v>20</v>
      </c>
      <c r="N71">
        <v>6.0816498228955254E-2</v>
      </c>
      <c r="O71" t="s">
        <v>6</v>
      </c>
    </row>
    <row r="72" spans="2:15" x14ac:dyDescent="0.45">
      <c r="B72" t="s">
        <v>810</v>
      </c>
      <c r="C72" t="s">
        <v>21</v>
      </c>
      <c r="D72">
        <v>1.4393932636184539E-2</v>
      </c>
      <c r="E72" t="s">
        <v>6</v>
      </c>
      <c r="G72" t="s">
        <v>811</v>
      </c>
      <c r="H72" t="s">
        <v>21</v>
      </c>
      <c r="I72">
        <v>2.6002140065329228E-2</v>
      </c>
      <c r="J72" t="s">
        <v>6</v>
      </c>
      <c r="L72" t="s">
        <v>812</v>
      </c>
      <c r="M72" t="s">
        <v>21</v>
      </c>
      <c r="N72">
        <v>3.0671408580468698E-2</v>
      </c>
      <c r="O72" t="s">
        <v>6</v>
      </c>
    </row>
    <row r="73" spans="2:15" x14ac:dyDescent="0.45">
      <c r="B73" t="s">
        <v>810</v>
      </c>
      <c r="C73" t="s">
        <v>22</v>
      </c>
      <c r="D73">
        <v>8.758281935784748E-2</v>
      </c>
      <c r="E73" t="s">
        <v>6</v>
      </c>
      <c r="G73" t="s">
        <v>811</v>
      </c>
      <c r="H73" t="s">
        <v>22</v>
      </c>
      <c r="I73">
        <v>1.5666169151069873E-2</v>
      </c>
      <c r="J73" t="s">
        <v>6</v>
      </c>
      <c r="L73" t="s">
        <v>812</v>
      </c>
      <c r="M73" t="s">
        <v>22</v>
      </c>
      <c r="N73">
        <v>2.1048035394747307E-2</v>
      </c>
      <c r="O73" t="s">
        <v>6</v>
      </c>
    </row>
    <row r="74" spans="2:15" x14ac:dyDescent="0.45">
      <c r="B74" t="s">
        <v>810</v>
      </c>
      <c r="C74" t="s">
        <v>23</v>
      </c>
      <c r="D74">
        <v>0.13303948434326654</v>
      </c>
      <c r="E74" t="s">
        <v>6</v>
      </c>
      <c r="G74" t="s">
        <v>811</v>
      </c>
      <c r="H74" t="s">
        <v>23</v>
      </c>
      <c r="I74">
        <v>1.6997533172087662E-2</v>
      </c>
      <c r="J74" t="s">
        <v>6</v>
      </c>
      <c r="L74" t="s">
        <v>812</v>
      </c>
      <c r="M74" t="s">
        <v>23</v>
      </c>
      <c r="N74">
        <v>2.0723071216748844E-2</v>
      </c>
      <c r="O74" t="s">
        <v>6</v>
      </c>
    </row>
    <row r="75" spans="2:15" x14ac:dyDescent="0.45">
      <c r="B75" t="s">
        <v>810</v>
      </c>
      <c r="C75" t="s">
        <v>24</v>
      </c>
      <c r="D75">
        <v>0.10597517245011322</v>
      </c>
      <c r="E75" t="s">
        <v>6</v>
      </c>
      <c r="G75" t="s">
        <v>811</v>
      </c>
      <c r="H75" t="s">
        <v>24</v>
      </c>
      <c r="I75">
        <v>1.8891874449630031E-2</v>
      </c>
      <c r="J75" t="s">
        <v>6</v>
      </c>
      <c r="L75" t="s">
        <v>812</v>
      </c>
      <c r="M75" t="s">
        <v>24</v>
      </c>
      <c r="N75">
        <v>2.1266880477983537E-2</v>
      </c>
      <c r="O75" t="s">
        <v>6</v>
      </c>
    </row>
    <row r="76" spans="2:15" x14ac:dyDescent="0.45">
      <c r="B76" t="s">
        <v>810</v>
      </c>
      <c r="C76" t="s">
        <v>25</v>
      </c>
      <c r="D76">
        <v>2.7395819363376518E-2</v>
      </c>
      <c r="E76" t="s">
        <v>6</v>
      </c>
      <c r="G76" t="s">
        <v>811</v>
      </c>
      <c r="H76" t="s">
        <v>25</v>
      </c>
      <c r="I76">
        <v>1.9966952776268306E-2</v>
      </c>
      <c r="J76" t="s">
        <v>6</v>
      </c>
      <c r="L76" t="s">
        <v>812</v>
      </c>
      <c r="M76" t="s">
        <v>25</v>
      </c>
      <c r="N76">
        <v>2.0934266116530816E-2</v>
      </c>
      <c r="O76" t="s">
        <v>6</v>
      </c>
    </row>
    <row r="77" spans="2:15" x14ac:dyDescent="0.45">
      <c r="B77" t="s">
        <v>810</v>
      </c>
      <c r="C77" t="s">
        <v>26</v>
      </c>
      <c r="D77">
        <v>0</v>
      </c>
      <c r="E77" t="s">
        <v>6</v>
      </c>
      <c r="G77" t="s">
        <v>811</v>
      </c>
      <c r="H77" t="s">
        <v>26</v>
      </c>
      <c r="I77">
        <v>9.4572869514610164E-2</v>
      </c>
      <c r="J77" t="s">
        <v>6</v>
      </c>
      <c r="L77" t="s">
        <v>812</v>
      </c>
      <c r="M77" t="s">
        <v>26</v>
      </c>
      <c r="N77">
        <v>9.1997307141743187E-2</v>
      </c>
      <c r="O77" t="s">
        <v>6</v>
      </c>
    </row>
    <row r="78" spans="2:15" x14ac:dyDescent="0.45">
      <c r="B78" t="s">
        <v>810</v>
      </c>
      <c r="C78" t="s">
        <v>27</v>
      </c>
      <c r="D78">
        <v>2.1587178102447208E-3</v>
      </c>
      <c r="E78" t="s">
        <v>6</v>
      </c>
      <c r="G78" t="s">
        <v>811</v>
      </c>
      <c r="H78" t="s">
        <v>27</v>
      </c>
      <c r="I78">
        <v>4.4499458184669327E-2</v>
      </c>
      <c r="J78" t="s">
        <v>6</v>
      </c>
      <c r="L78" t="s">
        <v>812</v>
      </c>
      <c r="M78" t="s">
        <v>27</v>
      </c>
      <c r="N78">
        <v>4.624171124160513E-2</v>
      </c>
      <c r="O78" t="s">
        <v>6</v>
      </c>
    </row>
    <row r="79" spans="2:15" x14ac:dyDescent="0.45">
      <c r="B79" t="s">
        <v>810</v>
      </c>
      <c r="C79" t="s">
        <v>28</v>
      </c>
      <c r="D79">
        <v>4.8996269503400497E-2</v>
      </c>
      <c r="E79" t="s">
        <v>6</v>
      </c>
      <c r="G79" t="s">
        <v>811</v>
      </c>
      <c r="H79" t="s">
        <v>28</v>
      </c>
      <c r="I79">
        <v>2.9679041811009433E-2</v>
      </c>
      <c r="J79" t="s">
        <v>6</v>
      </c>
      <c r="L79" t="s">
        <v>812</v>
      </c>
      <c r="M79" t="s">
        <v>28</v>
      </c>
      <c r="N79">
        <v>3.4650740535173946E-2</v>
      </c>
      <c r="O79" t="s">
        <v>6</v>
      </c>
    </row>
    <row r="80" spans="2:15" x14ac:dyDescent="0.45">
      <c r="B80" t="s">
        <v>810</v>
      </c>
      <c r="C80" t="s">
        <v>29</v>
      </c>
      <c r="D80">
        <v>8.6072435976314796E-2</v>
      </c>
      <c r="E80" t="s">
        <v>6</v>
      </c>
      <c r="G80" t="s">
        <v>811</v>
      </c>
      <c r="H80" t="s">
        <v>29</v>
      </c>
      <c r="I80">
        <v>3.072200030886426E-2</v>
      </c>
      <c r="J80" t="s">
        <v>6</v>
      </c>
      <c r="L80" t="s">
        <v>812</v>
      </c>
      <c r="M80" t="s">
        <v>29</v>
      </c>
      <c r="N80">
        <v>3.5073697395059118E-2</v>
      </c>
      <c r="O80" t="s">
        <v>6</v>
      </c>
    </row>
    <row r="81" spans="2:15" x14ac:dyDescent="0.45">
      <c r="B81" t="s">
        <v>810</v>
      </c>
      <c r="C81" t="s">
        <v>30</v>
      </c>
      <c r="D81">
        <v>4.75764278494408E-2</v>
      </c>
      <c r="E81" t="s">
        <v>6</v>
      </c>
      <c r="G81" t="s">
        <v>811</v>
      </c>
      <c r="H81" t="s">
        <v>30</v>
      </c>
      <c r="I81">
        <v>3.2395832100423766E-2</v>
      </c>
      <c r="J81" t="s">
        <v>6</v>
      </c>
      <c r="L81" t="s">
        <v>812</v>
      </c>
      <c r="M81" t="s">
        <v>30</v>
      </c>
      <c r="N81">
        <v>3.5301147205282088E-2</v>
      </c>
      <c r="O81" t="s">
        <v>6</v>
      </c>
    </row>
    <row r="82" spans="2:15" x14ac:dyDescent="0.45">
      <c r="B82" t="s">
        <v>810</v>
      </c>
      <c r="C82" t="s">
        <v>31</v>
      </c>
      <c r="D82">
        <v>3.1581892360431079E-3</v>
      </c>
      <c r="E82" t="s">
        <v>6</v>
      </c>
      <c r="G82" t="s">
        <v>811</v>
      </c>
      <c r="H82" t="s">
        <v>31</v>
      </c>
      <c r="I82">
        <v>3.5496988201652868E-2</v>
      </c>
      <c r="J82" t="s">
        <v>6</v>
      </c>
      <c r="L82" t="s">
        <v>812</v>
      </c>
      <c r="M82" t="s">
        <v>31</v>
      </c>
      <c r="N82">
        <v>3.4564753845801356E-2</v>
      </c>
      <c r="O82" t="s">
        <v>6</v>
      </c>
    </row>
    <row r="83" spans="2:15" x14ac:dyDescent="0.45">
      <c r="B83" t="s">
        <v>813</v>
      </c>
      <c r="C83" t="s">
        <v>5</v>
      </c>
      <c r="D83">
        <v>0</v>
      </c>
      <c r="E83" t="s">
        <v>6</v>
      </c>
      <c r="G83" t="s">
        <v>814</v>
      </c>
      <c r="H83" t="s">
        <v>5</v>
      </c>
      <c r="I83">
        <v>0.11021159673897793</v>
      </c>
      <c r="J83" t="s">
        <v>6</v>
      </c>
      <c r="L83" t="s">
        <v>815</v>
      </c>
      <c r="M83" t="s">
        <v>5</v>
      </c>
      <c r="N83">
        <v>9.4166479925724758E-2</v>
      </c>
      <c r="O83" t="s">
        <v>6</v>
      </c>
    </row>
    <row r="84" spans="2:15" x14ac:dyDescent="0.45">
      <c r="B84" t="s">
        <v>813</v>
      </c>
      <c r="C84" t="s">
        <v>9</v>
      </c>
      <c r="D84">
        <v>0</v>
      </c>
      <c r="E84" t="s">
        <v>6</v>
      </c>
      <c r="G84" t="s">
        <v>814</v>
      </c>
      <c r="H84" t="s">
        <v>9</v>
      </c>
      <c r="I84">
        <v>5.4450804899341482E-2</v>
      </c>
      <c r="J84" t="s">
        <v>6</v>
      </c>
      <c r="L84" t="s">
        <v>815</v>
      </c>
      <c r="M84" t="s">
        <v>9</v>
      </c>
      <c r="N84">
        <v>4.7030018016039739E-2</v>
      </c>
      <c r="O84" t="s">
        <v>6</v>
      </c>
    </row>
    <row r="85" spans="2:15" x14ac:dyDescent="0.45">
      <c r="B85" t="s">
        <v>813</v>
      </c>
      <c r="C85" t="s">
        <v>10</v>
      </c>
      <c r="D85">
        <v>2.5639131697725078E-2</v>
      </c>
      <c r="E85" t="s">
        <v>6</v>
      </c>
      <c r="G85" t="s">
        <v>814</v>
      </c>
      <c r="H85" t="s">
        <v>10</v>
      </c>
      <c r="I85">
        <v>3.9504415497328978E-2</v>
      </c>
      <c r="J85" t="s">
        <v>6</v>
      </c>
      <c r="L85" t="s">
        <v>815</v>
      </c>
      <c r="M85" t="s">
        <v>10</v>
      </c>
      <c r="N85">
        <v>3.4960228743324412E-2</v>
      </c>
      <c r="O85" t="s">
        <v>6</v>
      </c>
    </row>
    <row r="86" spans="2:15" x14ac:dyDescent="0.45">
      <c r="B86" t="s">
        <v>813</v>
      </c>
      <c r="C86" t="s">
        <v>11</v>
      </c>
      <c r="D86">
        <v>7.0234306015626483E-2</v>
      </c>
      <c r="E86" t="s">
        <v>6</v>
      </c>
      <c r="G86" t="s">
        <v>814</v>
      </c>
      <c r="H86" t="s">
        <v>11</v>
      </c>
      <c r="I86">
        <v>3.5939446511695471E-2</v>
      </c>
      <c r="J86" t="s">
        <v>6</v>
      </c>
      <c r="L86" t="s">
        <v>815</v>
      </c>
      <c r="M86" t="s">
        <v>11</v>
      </c>
      <c r="N86">
        <v>3.5198497695995298E-2</v>
      </c>
      <c r="O86" t="s">
        <v>6</v>
      </c>
    </row>
    <row r="87" spans="2:15" x14ac:dyDescent="0.45">
      <c r="B87" t="s">
        <v>813</v>
      </c>
      <c r="C87" t="s">
        <v>12</v>
      </c>
      <c r="D87">
        <v>3.7419973349292403E-2</v>
      </c>
      <c r="E87" t="s">
        <v>6</v>
      </c>
      <c r="G87" t="s">
        <v>814</v>
      </c>
      <c r="H87" t="s">
        <v>12</v>
      </c>
      <c r="I87">
        <v>3.7055240409260067E-2</v>
      </c>
      <c r="J87" t="s">
        <v>6</v>
      </c>
      <c r="L87" t="s">
        <v>815</v>
      </c>
      <c r="M87" t="s">
        <v>12</v>
      </c>
      <c r="N87">
        <v>3.5617505404507116E-2</v>
      </c>
      <c r="O87" t="s">
        <v>6</v>
      </c>
    </row>
    <row r="88" spans="2:15" x14ac:dyDescent="0.45">
      <c r="B88" t="s">
        <v>813</v>
      </c>
      <c r="C88" t="s">
        <v>13</v>
      </c>
      <c r="D88">
        <v>7.9708698610308929E-4</v>
      </c>
      <c r="E88" t="s">
        <v>6</v>
      </c>
      <c r="G88" t="s">
        <v>814</v>
      </c>
      <c r="H88" t="s">
        <v>13</v>
      </c>
      <c r="I88">
        <v>3.947734254863048E-2</v>
      </c>
      <c r="J88" t="s">
        <v>6</v>
      </c>
      <c r="L88" t="s">
        <v>815</v>
      </c>
      <c r="M88" t="s">
        <v>13</v>
      </c>
      <c r="N88">
        <v>3.5389582137035303E-2</v>
      </c>
      <c r="O88" t="s">
        <v>6</v>
      </c>
    </row>
    <row r="89" spans="2:15" x14ac:dyDescent="0.45">
      <c r="B89" t="s">
        <v>813</v>
      </c>
      <c r="C89" t="s">
        <v>14</v>
      </c>
      <c r="D89">
        <v>3.5800347868774328E-6</v>
      </c>
      <c r="E89" t="s">
        <v>6</v>
      </c>
      <c r="G89" t="s">
        <v>814</v>
      </c>
      <c r="H89" t="s">
        <v>14</v>
      </c>
      <c r="I89">
        <v>8.6527022738071252E-2</v>
      </c>
      <c r="J89" t="s">
        <v>6</v>
      </c>
      <c r="L89" t="s">
        <v>815</v>
      </c>
      <c r="M89" t="s">
        <v>14</v>
      </c>
      <c r="N89">
        <v>8.7249698694264327E-2</v>
      </c>
      <c r="O89" t="s">
        <v>6</v>
      </c>
    </row>
    <row r="90" spans="2:15" x14ac:dyDescent="0.45">
      <c r="B90" t="s">
        <v>813</v>
      </c>
      <c r="C90" t="s">
        <v>15</v>
      </c>
      <c r="D90">
        <v>9.208657411825789E-3</v>
      </c>
      <c r="E90" t="s">
        <v>6</v>
      </c>
      <c r="G90" t="s">
        <v>814</v>
      </c>
      <c r="H90" t="s">
        <v>15</v>
      </c>
      <c r="I90">
        <v>4.2358749139265642E-2</v>
      </c>
      <c r="J90" t="s">
        <v>6</v>
      </c>
      <c r="L90" t="s">
        <v>815</v>
      </c>
      <c r="M90" t="s">
        <v>15</v>
      </c>
      <c r="N90">
        <v>4.0942860021046495E-2</v>
      </c>
      <c r="O90" t="s">
        <v>6</v>
      </c>
    </row>
    <row r="91" spans="2:15" x14ac:dyDescent="0.45">
      <c r="B91" t="s">
        <v>813</v>
      </c>
      <c r="C91" t="s">
        <v>16</v>
      </c>
      <c r="D91">
        <v>7.6700504278852624E-2</v>
      </c>
      <c r="E91" t="s">
        <v>6</v>
      </c>
      <c r="G91" t="s">
        <v>814</v>
      </c>
      <c r="H91" t="s">
        <v>16</v>
      </c>
      <c r="I91">
        <v>2.9334901616380235E-2</v>
      </c>
      <c r="J91" t="s">
        <v>6</v>
      </c>
      <c r="L91" t="s">
        <v>815</v>
      </c>
      <c r="M91" t="s">
        <v>16</v>
      </c>
      <c r="N91">
        <v>3.0611539874226962E-2</v>
      </c>
      <c r="O91" t="s">
        <v>6</v>
      </c>
    </row>
    <row r="92" spans="2:15" x14ac:dyDescent="0.45">
      <c r="B92" t="s">
        <v>813</v>
      </c>
      <c r="C92" t="s">
        <v>17</v>
      </c>
      <c r="D92">
        <v>0.1185945504016412</v>
      </c>
      <c r="E92" t="s">
        <v>6</v>
      </c>
      <c r="G92" t="s">
        <v>814</v>
      </c>
      <c r="H92" t="s">
        <v>17</v>
      </c>
      <c r="I92">
        <v>3.050294036070365E-2</v>
      </c>
      <c r="J92" t="s">
        <v>6</v>
      </c>
      <c r="L92" t="s">
        <v>815</v>
      </c>
      <c r="M92" t="s">
        <v>17</v>
      </c>
      <c r="N92">
        <v>3.2131053174087827E-2</v>
      </c>
      <c r="O92" t="s">
        <v>6</v>
      </c>
    </row>
    <row r="93" spans="2:15" x14ac:dyDescent="0.45">
      <c r="B93" t="s">
        <v>813</v>
      </c>
      <c r="C93" t="s">
        <v>18</v>
      </c>
      <c r="D93">
        <v>8.2227207131457716E-2</v>
      </c>
      <c r="E93" t="s">
        <v>6</v>
      </c>
      <c r="G93" t="s">
        <v>814</v>
      </c>
      <c r="H93" t="s">
        <v>18</v>
      </c>
      <c r="I93">
        <v>3.1907391337260699E-2</v>
      </c>
      <c r="J93" t="s">
        <v>6</v>
      </c>
      <c r="L93" t="s">
        <v>815</v>
      </c>
      <c r="M93" t="s">
        <v>18</v>
      </c>
      <c r="N93">
        <v>3.3722471731046186E-2</v>
      </c>
      <c r="O93" t="s">
        <v>6</v>
      </c>
    </row>
    <row r="94" spans="2:15" x14ac:dyDescent="0.45">
      <c r="B94" t="s">
        <v>813</v>
      </c>
      <c r="C94" t="s">
        <v>19</v>
      </c>
      <c r="D94">
        <v>1.5382307502808059E-2</v>
      </c>
      <c r="E94" t="s">
        <v>6</v>
      </c>
      <c r="G94" t="s">
        <v>814</v>
      </c>
      <c r="H94" t="s">
        <v>19</v>
      </c>
      <c r="I94">
        <v>2.9871474522550182E-2</v>
      </c>
      <c r="J94" t="s">
        <v>6</v>
      </c>
      <c r="L94" t="s">
        <v>815</v>
      </c>
      <c r="M94" t="s">
        <v>19</v>
      </c>
      <c r="N94">
        <v>3.392620879623174E-2</v>
      </c>
      <c r="O94" t="s">
        <v>6</v>
      </c>
    </row>
    <row r="95" spans="2:15" x14ac:dyDescent="0.45">
      <c r="B95" t="s">
        <v>813</v>
      </c>
      <c r="C95" t="s">
        <v>20</v>
      </c>
      <c r="D95">
        <v>1.472071791973546E-4</v>
      </c>
      <c r="E95" t="s">
        <v>6</v>
      </c>
      <c r="G95" t="s">
        <v>814</v>
      </c>
      <c r="H95" t="s">
        <v>20</v>
      </c>
      <c r="I95">
        <v>6.5816567038801441E-2</v>
      </c>
      <c r="J95" t="s">
        <v>6</v>
      </c>
      <c r="L95" t="s">
        <v>815</v>
      </c>
      <c r="M95" t="s">
        <v>20</v>
      </c>
      <c r="N95">
        <v>6.1383983738372304E-2</v>
      </c>
      <c r="O95" t="s">
        <v>6</v>
      </c>
    </row>
    <row r="96" spans="2:15" x14ac:dyDescent="0.45">
      <c r="B96" t="s">
        <v>813</v>
      </c>
      <c r="C96" t="s">
        <v>21</v>
      </c>
      <c r="D96">
        <v>1.4717711402951521E-2</v>
      </c>
      <c r="E96" t="s">
        <v>6</v>
      </c>
      <c r="G96" t="s">
        <v>814</v>
      </c>
      <c r="H96" t="s">
        <v>21</v>
      </c>
      <c r="I96">
        <v>2.6500882782797254E-2</v>
      </c>
      <c r="J96" t="s">
        <v>6</v>
      </c>
      <c r="L96" t="s">
        <v>815</v>
      </c>
      <c r="M96" t="s">
        <v>21</v>
      </c>
      <c r="N96">
        <v>3.2840562644078544E-2</v>
      </c>
      <c r="O96" t="s">
        <v>6</v>
      </c>
    </row>
    <row r="97" spans="2:15" x14ac:dyDescent="0.45">
      <c r="B97" t="s">
        <v>813</v>
      </c>
      <c r="C97" t="s">
        <v>22</v>
      </c>
      <c r="D97">
        <v>8.9464486929408532E-2</v>
      </c>
      <c r="E97" t="s">
        <v>6</v>
      </c>
      <c r="G97" t="s">
        <v>814</v>
      </c>
      <c r="H97" t="s">
        <v>22</v>
      </c>
      <c r="I97">
        <v>1.6399674368630952E-2</v>
      </c>
      <c r="J97" t="s">
        <v>6</v>
      </c>
      <c r="L97" t="s">
        <v>815</v>
      </c>
      <c r="M97" t="s">
        <v>22</v>
      </c>
      <c r="N97">
        <v>2.2900282429416479E-2</v>
      </c>
      <c r="O97" t="s">
        <v>6</v>
      </c>
    </row>
    <row r="98" spans="2:15" x14ac:dyDescent="0.45">
      <c r="B98" t="s">
        <v>813</v>
      </c>
      <c r="C98" t="s">
        <v>23</v>
      </c>
      <c r="D98">
        <v>0.1330048251525249</v>
      </c>
      <c r="E98" t="s">
        <v>6</v>
      </c>
      <c r="G98" t="s">
        <v>814</v>
      </c>
      <c r="H98" t="s">
        <v>23</v>
      </c>
      <c r="I98">
        <v>1.7169563824141681E-2</v>
      </c>
      <c r="J98" t="s">
        <v>6</v>
      </c>
      <c r="L98" t="s">
        <v>815</v>
      </c>
      <c r="M98" t="s">
        <v>23</v>
      </c>
      <c r="N98">
        <v>2.25640393458022E-2</v>
      </c>
      <c r="O98" t="s">
        <v>6</v>
      </c>
    </row>
    <row r="99" spans="2:15" x14ac:dyDescent="0.45">
      <c r="B99" t="s">
        <v>813</v>
      </c>
      <c r="C99" t="s">
        <v>24</v>
      </c>
      <c r="D99">
        <v>0.10379591473929797</v>
      </c>
      <c r="E99" t="s">
        <v>6</v>
      </c>
      <c r="G99" t="s">
        <v>814</v>
      </c>
      <c r="H99" t="s">
        <v>24</v>
      </c>
      <c r="I99">
        <v>1.9494745494796566E-2</v>
      </c>
      <c r="J99" t="s">
        <v>6</v>
      </c>
      <c r="L99" t="s">
        <v>815</v>
      </c>
      <c r="M99" t="s">
        <v>24</v>
      </c>
      <c r="N99">
        <v>2.3558776312208943E-2</v>
      </c>
      <c r="O99" t="s">
        <v>6</v>
      </c>
    </row>
    <row r="100" spans="2:15" x14ac:dyDescent="0.45">
      <c r="B100" t="s">
        <v>813</v>
      </c>
      <c r="C100" t="s">
        <v>25</v>
      </c>
      <c r="D100">
        <v>2.706515370386324E-2</v>
      </c>
      <c r="E100" t="s">
        <v>6</v>
      </c>
      <c r="G100" t="s">
        <v>814</v>
      </c>
      <c r="H100" t="s">
        <v>25</v>
      </c>
      <c r="I100">
        <v>2.046741277019316E-2</v>
      </c>
      <c r="J100" t="s">
        <v>6</v>
      </c>
      <c r="L100" t="s">
        <v>815</v>
      </c>
      <c r="M100" t="s">
        <v>25</v>
      </c>
      <c r="N100">
        <v>2.264420310694135E-2</v>
      </c>
      <c r="O100" t="s">
        <v>6</v>
      </c>
    </row>
    <row r="101" spans="2:15" x14ac:dyDescent="0.45">
      <c r="B101" t="s">
        <v>813</v>
      </c>
      <c r="C101" t="s">
        <v>26</v>
      </c>
      <c r="D101">
        <v>0</v>
      </c>
      <c r="E101" t="s">
        <v>6</v>
      </c>
      <c r="G101" t="s">
        <v>814</v>
      </c>
      <c r="H101" t="s">
        <v>26</v>
      </c>
      <c r="I101">
        <v>9.288600011265373E-2</v>
      </c>
      <c r="J101" t="s">
        <v>6</v>
      </c>
      <c r="L101" t="s">
        <v>815</v>
      </c>
      <c r="M101" t="s">
        <v>26</v>
      </c>
      <c r="N101">
        <v>9.107990326314605E-2</v>
      </c>
      <c r="O101" t="s">
        <v>6</v>
      </c>
    </row>
    <row r="102" spans="2:15" x14ac:dyDescent="0.45">
      <c r="B102" t="s">
        <v>813</v>
      </c>
      <c r="C102" t="s">
        <v>27</v>
      </c>
      <c r="D102">
        <v>2.391940197098175E-3</v>
      </c>
      <c r="E102" t="s">
        <v>6</v>
      </c>
      <c r="G102" t="s">
        <v>814</v>
      </c>
      <c r="H102" t="s">
        <v>27</v>
      </c>
      <c r="I102">
        <v>4.409126900236237E-2</v>
      </c>
      <c r="J102" t="s">
        <v>6</v>
      </c>
      <c r="L102" t="s">
        <v>815</v>
      </c>
      <c r="M102" t="s">
        <v>27</v>
      </c>
      <c r="N102">
        <v>4.533657455077042E-2</v>
      </c>
      <c r="O102" t="s">
        <v>6</v>
      </c>
    </row>
    <row r="103" spans="2:15" x14ac:dyDescent="0.45">
      <c r="B103" t="s">
        <v>813</v>
      </c>
      <c r="C103" t="s">
        <v>28</v>
      </c>
      <c r="D103">
        <v>5.3343988917498406E-2</v>
      </c>
      <c r="E103" t="s">
        <v>6</v>
      </c>
      <c r="G103" t="s">
        <v>814</v>
      </c>
      <c r="H103" t="s">
        <v>28</v>
      </c>
      <c r="I103">
        <v>2.9563456053722341E-2</v>
      </c>
      <c r="J103" t="s">
        <v>6</v>
      </c>
      <c r="L103" t="s">
        <v>815</v>
      </c>
      <c r="M103" t="s">
        <v>28</v>
      </c>
      <c r="N103">
        <v>3.3528372005211721E-2</v>
      </c>
      <c r="O103" t="s">
        <v>6</v>
      </c>
    </row>
    <row r="104" spans="2:15" x14ac:dyDescent="0.45">
      <c r="B104" t="s">
        <v>813</v>
      </c>
      <c r="C104" t="s">
        <v>29</v>
      </c>
      <c r="D104">
        <v>8.9063881110107851E-2</v>
      </c>
      <c r="E104" t="s">
        <v>6</v>
      </c>
      <c r="G104" t="s">
        <v>814</v>
      </c>
      <c r="H104" t="s">
        <v>29</v>
      </c>
      <c r="I104">
        <v>3.0940150361318274E-2</v>
      </c>
      <c r="J104" t="s">
        <v>6</v>
      </c>
      <c r="L104" t="s">
        <v>815</v>
      </c>
      <c r="M104" t="s">
        <v>29</v>
      </c>
      <c r="N104">
        <v>3.4166532538597791E-2</v>
      </c>
      <c r="O104" t="s">
        <v>6</v>
      </c>
    </row>
    <row r="105" spans="2:15" x14ac:dyDescent="0.45">
      <c r="B105" t="s">
        <v>813</v>
      </c>
      <c r="C105" t="s">
        <v>30</v>
      </c>
      <c r="D105">
        <v>4.7587397366526389E-2</v>
      </c>
      <c r="E105" t="s">
        <v>6</v>
      </c>
      <c r="G105" t="s">
        <v>814</v>
      </c>
      <c r="H105" t="s">
        <v>30</v>
      </c>
      <c r="I105">
        <v>3.3215537821033592E-2</v>
      </c>
      <c r="J105" t="s">
        <v>6</v>
      </c>
      <c r="L105" t="s">
        <v>815</v>
      </c>
      <c r="M105" t="s">
        <v>30</v>
      </c>
      <c r="N105">
        <v>3.4682749177166558E-2</v>
      </c>
      <c r="O105" t="s">
        <v>6</v>
      </c>
    </row>
    <row r="106" spans="2:15" x14ac:dyDescent="0.45">
      <c r="B106" t="s">
        <v>813</v>
      </c>
      <c r="C106" t="s">
        <v>31</v>
      </c>
      <c r="D106">
        <v>3.2101884914063606E-3</v>
      </c>
      <c r="E106" t="s">
        <v>6</v>
      </c>
      <c r="G106" t="s">
        <v>814</v>
      </c>
      <c r="H106" t="s">
        <v>31</v>
      </c>
      <c r="I106">
        <v>3.6313414050082607E-2</v>
      </c>
      <c r="J106" t="s">
        <v>6</v>
      </c>
      <c r="L106" t="s">
        <v>815</v>
      </c>
      <c r="M106" t="s">
        <v>31</v>
      </c>
      <c r="N106">
        <v>3.4367876674757471E-2</v>
      </c>
      <c r="O106" t="s">
        <v>6</v>
      </c>
    </row>
    <row r="107" spans="2:15" x14ac:dyDescent="0.45">
      <c r="B107" t="s">
        <v>816</v>
      </c>
      <c r="C107" t="s">
        <v>5</v>
      </c>
      <c r="D107">
        <v>0</v>
      </c>
      <c r="E107" t="s">
        <v>6</v>
      </c>
      <c r="G107" t="s">
        <v>817</v>
      </c>
      <c r="H107" t="s">
        <v>5</v>
      </c>
      <c r="I107">
        <v>9.9094176466348702E-2</v>
      </c>
      <c r="J107" t="s">
        <v>6</v>
      </c>
      <c r="L107" t="s">
        <v>818</v>
      </c>
      <c r="M107" t="s">
        <v>5</v>
      </c>
      <c r="N107">
        <v>9.3585563844295047E-2</v>
      </c>
      <c r="O107" t="s">
        <v>6</v>
      </c>
    </row>
    <row r="108" spans="2:15" x14ac:dyDescent="0.45">
      <c r="B108" t="s">
        <v>816</v>
      </c>
      <c r="C108" t="s">
        <v>9</v>
      </c>
      <c r="D108">
        <v>0</v>
      </c>
      <c r="E108" t="s">
        <v>6</v>
      </c>
      <c r="G108" t="s">
        <v>817</v>
      </c>
      <c r="H108" t="s">
        <v>9</v>
      </c>
      <c r="I108">
        <v>4.948408201891806E-2</v>
      </c>
      <c r="J108" t="s">
        <v>6</v>
      </c>
      <c r="L108" t="s">
        <v>818</v>
      </c>
      <c r="M108" t="s">
        <v>9</v>
      </c>
      <c r="N108">
        <v>4.6442005370472196E-2</v>
      </c>
      <c r="O108" t="s">
        <v>6</v>
      </c>
    </row>
    <row r="109" spans="2:15" x14ac:dyDescent="0.45">
      <c r="B109" t="s">
        <v>816</v>
      </c>
      <c r="C109" t="s">
        <v>10</v>
      </c>
      <c r="D109">
        <v>2.6397158875928195E-2</v>
      </c>
      <c r="E109" t="s">
        <v>6</v>
      </c>
      <c r="G109" t="s">
        <v>817</v>
      </c>
      <c r="H109" t="s">
        <v>10</v>
      </c>
      <c r="I109">
        <v>3.6600149772521781E-2</v>
      </c>
      <c r="J109" t="s">
        <v>6</v>
      </c>
      <c r="L109" t="s">
        <v>818</v>
      </c>
      <c r="M109" t="s">
        <v>10</v>
      </c>
      <c r="N109">
        <v>3.5091620012540507E-2</v>
      </c>
      <c r="O109" t="s">
        <v>6</v>
      </c>
    </row>
    <row r="110" spans="2:15" x14ac:dyDescent="0.45">
      <c r="B110" t="s">
        <v>816</v>
      </c>
      <c r="C110" t="s">
        <v>11</v>
      </c>
      <c r="D110">
        <v>6.9933965772057669E-2</v>
      </c>
      <c r="E110" t="s">
        <v>6</v>
      </c>
      <c r="G110" t="s">
        <v>817</v>
      </c>
      <c r="H110" t="s">
        <v>11</v>
      </c>
      <c r="I110">
        <v>3.5774287792181281E-2</v>
      </c>
      <c r="J110" t="s">
        <v>6</v>
      </c>
      <c r="L110" t="s">
        <v>818</v>
      </c>
      <c r="M110" t="s">
        <v>11</v>
      </c>
      <c r="N110">
        <v>3.5207577837469688E-2</v>
      </c>
      <c r="O110" t="s">
        <v>6</v>
      </c>
    </row>
    <row r="111" spans="2:15" x14ac:dyDescent="0.45">
      <c r="B111" t="s">
        <v>816</v>
      </c>
      <c r="C111" t="s">
        <v>12</v>
      </c>
      <c r="D111">
        <v>3.3789017287794473E-2</v>
      </c>
      <c r="E111" t="s">
        <v>6</v>
      </c>
      <c r="G111" t="s">
        <v>817</v>
      </c>
      <c r="H111" t="s">
        <v>12</v>
      </c>
      <c r="I111">
        <v>3.616703703796792E-2</v>
      </c>
      <c r="J111" t="s">
        <v>6</v>
      </c>
      <c r="L111" t="s">
        <v>818</v>
      </c>
      <c r="M111" t="s">
        <v>12</v>
      </c>
      <c r="N111">
        <v>3.5412387502082344E-2</v>
      </c>
      <c r="O111" t="s">
        <v>6</v>
      </c>
    </row>
    <row r="112" spans="2:15" x14ac:dyDescent="0.45">
      <c r="B112" t="s">
        <v>816</v>
      </c>
      <c r="C112" t="s">
        <v>13</v>
      </c>
      <c r="D112">
        <v>4.8410822611957095E-4</v>
      </c>
      <c r="E112" t="s">
        <v>6</v>
      </c>
      <c r="G112" t="s">
        <v>817</v>
      </c>
      <c r="H112" t="s">
        <v>13</v>
      </c>
      <c r="I112">
        <v>3.7311112716947308E-2</v>
      </c>
      <c r="J112" t="s">
        <v>6</v>
      </c>
      <c r="L112" t="s">
        <v>818</v>
      </c>
      <c r="M112" t="s">
        <v>13</v>
      </c>
      <c r="N112">
        <v>3.5292000455205648E-2</v>
      </c>
      <c r="O112" t="s">
        <v>6</v>
      </c>
    </row>
    <row r="113" spans="2:15" x14ac:dyDescent="0.45">
      <c r="B113" t="s">
        <v>816</v>
      </c>
      <c r="C113" t="s">
        <v>14</v>
      </c>
      <c r="D113">
        <v>2.2834063812094863E-6</v>
      </c>
      <c r="E113" t="s">
        <v>6</v>
      </c>
      <c r="G113" t="s">
        <v>817</v>
      </c>
      <c r="H113" t="s">
        <v>14</v>
      </c>
      <c r="I113">
        <v>8.6868433236124296E-2</v>
      </c>
      <c r="J113" t="s">
        <v>6</v>
      </c>
      <c r="L113" t="s">
        <v>818</v>
      </c>
      <c r="M113" t="s">
        <v>14</v>
      </c>
      <c r="N113">
        <v>8.7009695818046046E-2</v>
      </c>
      <c r="O113" t="s">
        <v>6</v>
      </c>
    </row>
    <row r="114" spans="2:15" x14ac:dyDescent="0.45">
      <c r="B114" t="s">
        <v>816</v>
      </c>
      <c r="C114" t="s">
        <v>15</v>
      </c>
      <c r="D114">
        <v>1.0265178009242711E-2</v>
      </c>
      <c r="E114" t="s">
        <v>6</v>
      </c>
      <c r="G114" t="s">
        <v>817</v>
      </c>
      <c r="H114" t="s">
        <v>15</v>
      </c>
      <c r="I114">
        <v>4.0777130968870937E-2</v>
      </c>
      <c r="J114" t="s">
        <v>6</v>
      </c>
      <c r="L114" t="s">
        <v>818</v>
      </c>
      <c r="M114" t="s">
        <v>15</v>
      </c>
      <c r="N114">
        <v>4.1289980754817837E-2</v>
      </c>
      <c r="O114" t="s">
        <v>6</v>
      </c>
    </row>
    <row r="115" spans="2:15" x14ac:dyDescent="0.45">
      <c r="B115" t="s">
        <v>816</v>
      </c>
      <c r="C115" t="s">
        <v>16</v>
      </c>
      <c r="D115">
        <v>8.4545980881650634E-2</v>
      </c>
      <c r="E115" t="s">
        <v>6</v>
      </c>
      <c r="G115" t="s">
        <v>817</v>
      </c>
      <c r="H115" t="s">
        <v>16</v>
      </c>
      <c r="I115">
        <v>2.8961294063061641E-2</v>
      </c>
      <c r="J115" t="s">
        <v>6</v>
      </c>
      <c r="L115" t="s">
        <v>818</v>
      </c>
      <c r="M115" t="s">
        <v>16</v>
      </c>
      <c r="N115">
        <v>3.117625225969314E-2</v>
      </c>
      <c r="O115" t="s">
        <v>6</v>
      </c>
    </row>
    <row r="116" spans="2:15" x14ac:dyDescent="0.45">
      <c r="B116" t="s">
        <v>816</v>
      </c>
      <c r="C116" t="s">
        <v>17</v>
      </c>
      <c r="D116">
        <v>0.12080433404314303</v>
      </c>
      <c r="E116" t="s">
        <v>6</v>
      </c>
      <c r="G116" t="s">
        <v>817</v>
      </c>
      <c r="H116" t="s">
        <v>17</v>
      </c>
      <c r="I116">
        <v>2.9445054618000715E-2</v>
      </c>
      <c r="J116" t="s">
        <v>6</v>
      </c>
      <c r="L116" t="s">
        <v>818</v>
      </c>
      <c r="M116" t="s">
        <v>17</v>
      </c>
      <c r="N116">
        <v>3.2318767196933357E-2</v>
      </c>
      <c r="O116" t="s">
        <v>6</v>
      </c>
    </row>
    <row r="117" spans="2:15" x14ac:dyDescent="0.45">
      <c r="B117" t="s">
        <v>816</v>
      </c>
      <c r="C117" t="s">
        <v>18</v>
      </c>
      <c r="D117">
        <v>8.1820831932131063E-2</v>
      </c>
      <c r="E117" t="s">
        <v>6</v>
      </c>
      <c r="G117" t="s">
        <v>817</v>
      </c>
      <c r="H117" t="s">
        <v>18</v>
      </c>
      <c r="I117">
        <v>3.1657920983117267E-2</v>
      </c>
      <c r="J117" t="s">
        <v>6</v>
      </c>
      <c r="L117" t="s">
        <v>818</v>
      </c>
      <c r="M117" t="s">
        <v>18</v>
      </c>
      <c r="N117">
        <v>3.3697459293240827E-2</v>
      </c>
      <c r="O117" t="s">
        <v>6</v>
      </c>
    </row>
    <row r="118" spans="2:15" x14ac:dyDescent="0.45">
      <c r="B118" t="s">
        <v>816</v>
      </c>
      <c r="C118" t="s">
        <v>19</v>
      </c>
      <c r="D118">
        <v>1.4327574809362991E-2</v>
      </c>
      <c r="E118" t="s">
        <v>6</v>
      </c>
      <c r="G118" t="s">
        <v>817</v>
      </c>
      <c r="H118" t="s">
        <v>19</v>
      </c>
      <c r="I118">
        <v>3.2967726566321978E-2</v>
      </c>
      <c r="J118" t="s">
        <v>6</v>
      </c>
      <c r="L118" t="s">
        <v>818</v>
      </c>
      <c r="M118" t="s">
        <v>19</v>
      </c>
      <c r="N118">
        <v>3.3862353541998604E-2</v>
      </c>
      <c r="O118" t="s">
        <v>6</v>
      </c>
    </row>
    <row r="119" spans="2:15" x14ac:dyDescent="0.45">
      <c r="B119" t="s">
        <v>816</v>
      </c>
      <c r="C119" t="s">
        <v>20</v>
      </c>
      <c r="D119">
        <v>1.2282483904284275E-4</v>
      </c>
      <c r="E119" t="s">
        <v>6</v>
      </c>
      <c r="G119" t="s">
        <v>817</v>
      </c>
      <c r="H119" t="s">
        <v>20</v>
      </c>
      <c r="I119">
        <v>6.3256948270741603E-2</v>
      </c>
      <c r="J119" t="s">
        <v>6</v>
      </c>
      <c r="L119" t="s">
        <v>818</v>
      </c>
      <c r="M119" t="s">
        <v>20</v>
      </c>
      <c r="N119">
        <v>6.1059339996305334E-2</v>
      </c>
      <c r="O119" t="s">
        <v>6</v>
      </c>
    </row>
    <row r="120" spans="2:15" x14ac:dyDescent="0.45">
      <c r="B120" t="s">
        <v>816</v>
      </c>
      <c r="C120" t="s">
        <v>21</v>
      </c>
      <c r="D120">
        <v>1.6218272884170014E-2</v>
      </c>
      <c r="E120" t="s">
        <v>6</v>
      </c>
      <c r="G120" t="s">
        <v>817</v>
      </c>
      <c r="H120" t="s">
        <v>21</v>
      </c>
      <c r="I120">
        <v>3.0303024813743255E-2</v>
      </c>
      <c r="J120" t="s">
        <v>6</v>
      </c>
      <c r="L120" t="s">
        <v>818</v>
      </c>
      <c r="M120" t="s">
        <v>21</v>
      </c>
      <c r="N120">
        <v>3.2278067567347385E-2</v>
      </c>
      <c r="O120" t="s">
        <v>6</v>
      </c>
    </row>
    <row r="121" spans="2:15" x14ac:dyDescent="0.45">
      <c r="B121" t="s">
        <v>816</v>
      </c>
      <c r="C121" t="s">
        <v>22</v>
      </c>
      <c r="D121">
        <v>9.0674123928975572E-2</v>
      </c>
      <c r="E121" t="s">
        <v>6</v>
      </c>
      <c r="G121" t="s">
        <v>817</v>
      </c>
      <c r="H121" t="s">
        <v>22</v>
      </c>
      <c r="I121">
        <v>2.1657857521852213E-2</v>
      </c>
      <c r="J121" t="s">
        <v>6</v>
      </c>
      <c r="L121" t="s">
        <v>818</v>
      </c>
      <c r="M121" t="s">
        <v>22</v>
      </c>
      <c r="N121">
        <v>2.2929576094945871E-2</v>
      </c>
      <c r="O121" t="s">
        <v>6</v>
      </c>
    </row>
    <row r="122" spans="2:15" x14ac:dyDescent="0.45">
      <c r="B122" t="s">
        <v>816</v>
      </c>
      <c r="C122" t="s">
        <v>23</v>
      </c>
      <c r="D122">
        <v>0.13142050603104774</v>
      </c>
      <c r="E122" t="s">
        <v>6</v>
      </c>
      <c r="G122" t="s">
        <v>817</v>
      </c>
      <c r="H122" t="s">
        <v>23</v>
      </c>
      <c r="I122">
        <v>2.2657147026987012E-2</v>
      </c>
      <c r="J122" t="s">
        <v>6</v>
      </c>
      <c r="L122" t="s">
        <v>818</v>
      </c>
      <c r="M122" t="s">
        <v>23</v>
      </c>
      <c r="N122">
        <v>2.2984802302673787E-2</v>
      </c>
      <c r="O122" t="s">
        <v>6</v>
      </c>
    </row>
    <row r="123" spans="2:15" x14ac:dyDescent="0.45">
      <c r="B123" t="s">
        <v>816</v>
      </c>
      <c r="C123" t="s">
        <v>24</v>
      </c>
      <c r="D123">
        <v>0.10051917499554433</v>
      </c>
      <c r="E123" t="s">
        <v>6</v>
      </c>
      <c r="G123" t="s">
        <v>817</v>
      </c>
      <c r="H123" t="s">
        <v>24</v>
      </c>
      <c r="I123">
        <v>2.4534961464256579E-2</v>
      </c>
      <c r="J123" t="s">
        <v>6</v>
      </c>
      <c r="L123" t="s">
        <v>818</v>
      </c>
      <c r="M123" t="s">
        <v>24</v>
      </c>
      <c r="N123">
        <v>2.3953219793780504E-2</v>
      </c>
      <c r="O123" t="s">
        <v>6</v>
      </c>
    </row>
    <row r="124" spans="2:15" x14ac:dyDescent="0.45">
      <c r="B124" t="s">
        <v>816</v>
      </c>
      <c r="C124" t="s">
        <v>25</v>
      </c>
      <c r="D124">
        <v>2.549933099933319E-2</v>
      </c>
      <c r="E124" t="s">
        <v>6</v>
      </c>
      <c r="G124" t="s">
        <v>817</v>
      </c>
      <c r="H124" t="s">
        <v>25</v>
      </c>
      <c r="I124">
        <v>2.3497706514123438E-2</v>
      </c>
      <c r="J124" t="s">
        <v>6</v>
      </c>
      <c r="L124" t="s">
        <v>818</v>
      </c>
      <c r="M124" t="s">
        <v>25</v>
      </c>
      <c r="N124">
        <v>2.2674723453511691E-2</v>
      </c>
      <c r="O124" t="s">
        <v>6</v>
      </c>
    </row>
    <row r="125" spans="2:15" x14ac:dyDescent="0.45">
      <c r="B125" t="s">
        <v>816</v>
      </c>
      <c r="C125" t="s">
        <v>26</v>
      </c>
      <c r="D125">
        <v>0</v>
      </c>
      <c r="E125" t="s">
        <v>6</v>
      </c>
      <c r="G125" t="s">
        <v>817</v>
      </c>
      <c r="H125" t="s">
        <v>26</v>
      </c>
      <c r="I125">
        <v>9.1545042907404423E-2</v>
      </c>
      <c r="J125" t="s">
        <v>6</v>
      </c>
      <c r="L125" t="s">
        <v>818</v>
      </c>
      <c r="M125" t="s">
        <v>26</v>
      </c>
      <c r="N125">
        <v>9.0961270348234438E-2</v>
      </c>
      <c r="O125" t="s">
        <v>6</v>
      </c>
    </row>
    <row r="126" spans="2:15" x14ac:dyDescent="0.45">
      <c r="B126" t="s">
        <v>816</v>
      </c>
      <c r="C126" t="s">
        <v>27</v>
      </c>
      <c r="D126">
        <v>2.8078609762312084E-3</v>
      </c>
      <c r="E126" t="s">
        <v>6</v>
      </c>
      <c r="G126" t="s">
        <v>817</v>
      </c>
      <c r="H126" t="s">
        <v>27</v>
      </c>
      <c r="I126">
        <v>4.4147390698595947E-2</v>
      </c>
      <c r="J126" t="s">
        <v>6</v>
      </c>
      <c r="L126" t="s">
        <v>818</v>
      </c>
      <c r="M126" t="s">
        <v>27</v>
      </c>
      <c r="N126">
        <v>4.5547723625955945E-2</v>
      </c>
      <c r="O126" t="s">
        <v>6</v>
      </c>
    </row>
    <row r="127" spans="2:15" x14ac:dyDescent="0.45">
      <c r="B127" t="s">
        <v>816</v>
      </c>
      <c r="C127" t="s">
        <v>28</v>
      </c>
      <c r="D127">
        <v>5.3787059458451983E-2</v>
      </c>
      <c r="E127" t="s">
        <v>6</v>
      </c>
      <c r="G127" t="s">
        <v>817</v>
      </c>
      <c r="H127" t="s">
        <v>28</v>
      </c>
      <c r="I127">
        <v>3.263621431914035E-2</v>
      </c>
      <c r="J127" t="s">
        <v>6</v>
      </c>
      <c r="L127" t="s">
        <v>818</v>
      </c>
      <c r="M127" t="s">
        <v>28</v>
      </c>
      <c r="N127">
        <v>3.3771465700327227E-2</v>
      </c>
      <c r="O127" t="s">
        <v>6</v>
      </c>
    </row>
    <row r="128" spans="2:15" x14ac:dyDescent="0.45">
      <c r="B128" t="s">
        <v>816</v>
      </c>
      <c r="C128" t="s">
        <v>29</v>
      </c>
      <c r="D128">
        <v>8.8422059591999641E-2</v>
      </c>
      <c r="E128" t="s">
        <v>6</v>
      </c>
      <c r="G128" t="s">
        <v>817</v>
      </c>
      <c r="H128" t="s">
        <v>29</v>
      </c>
      <c r="I128">
        <v>3.2541907384863483E-2</v>
      </c>
      <c r="J128" t="s">
        <v>6</v>
      </c>
      <c r="L128" t="s">
        <v>818</v>
      </c>
      <c r="M128" t="s">
        <v>29</v>
      </c>
      <c r="N128">
        <v>3.4174665970698362E-2</v>
      </c>
      <c r="O128" t="s">
        <v>6</v>
      </c>
    </row>
    <row r="129" spans="2:15" x14ac:dyDescent="0.45">
      <c r="B129" t="s">
        <v>816</v>
      </c>
      <c r="C129" t="s">
        <v>30</v>
      </c>
      <c r="D129">
        <v>4.5402050303961557E-2</v>
      </c>
      <c r="E129" t="s">
        <v>6</v>
      </c>
      <c r="G129" t="s">
        <v>817</v>
      </c>
      <c r="H129" t="s">
        <v>30</v>
      </c>
      <c r="I129">
        <v>3.4159720216281872E-2</v>
      </c>
      <c r="J129" t="s">
        <v>6</v>
      </c>
      <c r="L129" t="s">
        <v>818</v>
      </c>
      <c r="M129" t="s">
        <v>30</v>
      </c>
      <c r="N129">
        <v>3.4685894230073171E-2</v>
      </c>
      <c r="O129" t="s">
        <v>6</v>
      </c>
    </row>
    <row r="130" spans="2:15" x14ac:dyDescent="0.45">
      <c r="B130" t="s">
        <v>816</v>
      </c>
      <c r="C130" t="s">
        <v>31</v>
      </c>
      <c r="D130">
        <v>2.7563027474273279E-3</v>
      </c>
      <c r="E130" t="s">
        <v>6</v>
      </c>
      <c r="G130" t="s">
        <v>817</v>
      </c>
      <c r="H130" t="s">
        <v>31</v>
      </c>
      <c r="I130">
        <v>3.3953672621629384E-2</v>
      </c>
      <c r="J130" t="s">
        <v>6</v>
      </c>
      <c r="L130" t="s">
        <v>818</v>
      </c>
      <c r="M130" t="s">
        <v>31</v>
      </c>
      <c r="N130">
        <v>3.4593587029351051E-2</v>
      </c>
      <c r="O130" t="s">
        <v>6</v>
      </c>
    </row>
    <row r="131" spans="2:15" x14ac:dyDescent="0.45">
      <c r="B131" t="s">
        <v>819</v>
      </c>
      <c r="C131" t="s">
        <v>5</v>
      </c>
      <c r="D131">
        <v>0</v>
      </c>
      <c r="E131" t="s">
        <v>6</v>
      </c>
      <c r="G131" t="s">
        <v>820</v>
      </c>
      <c r="H131" t="s">
        <v>5</v>
      </c>
      <c r="I131">
        <v>9.5553523901382081E-2</v>
      </c>
      <c r="J131" t="s">
        <v>6</v>
      </c>
    </row>
    <row r="132" spans="2:15" x14ac:dyDescent="0.45">
      <c r="B132" t="s">
        <v>819</v>
      </c>
      <c r="C132" t="s">
        <v>9</v>
      </c>
      <c r="D132">
        <v>0</v>
      </c>
      <c r="E132" t="s">
        <v>6</v>
      </c>
      <c r="G132" t="s">
        <v>820</v>
      </c>
      <c r="H132" t="s">
        <v>9</v>
      </c>
      <c r="I132">
        <v>4.6943482683675104E-2</v>
      </c>
      <c r="J132" t="s">
        <v>6</v>
      </c>
    </row>
    <row r="133" spans="2:15" x14ac:dyDescent="0.45">
      <c r="B133" t="s">
        <v>819</v>
      </c>
      <c r="C133" t="s">
        <v>10</v>
      </c>
      <c r="D133">
        <v>2.5300966970082633E-2</v>
      </c>
      <c r="E133" t="s">
        <v>6</v>
      </c>
      <c r="G133" t="s">
        <v>820</v>
      </c>
      <c r="H133" t="s">
        <v>10</v>
      </c>
      <c r="I133">
        <v>3.4806200198962488E-2</v>
      </c>
      <c r="J133" t="s">
        <v>6</v>
      </c>
    </row>
    <row r="134" spans="2:15" x14ac:dyDescent="0.45">
      <c r="B134" t="s">
        <v>819</v>
      </c>
      <c r="C134" t="s">
        <v>11</v>
      </c>
      <c r="D134">
        <v>6.8239683356459885E-2</v>
      </c>
      <c r="E134" t="s">
        <v>6</v>
      </c>
      <c r="G134" t="s">
        <v>820</v>
      </c>
      <c r="H134" t="s">
        <v>11</v>
      </c>
      <c r="I134">
        <v>3.4034561275783942E-2</v>
      </c>
      <c r="J134" t="s">
        <v>6</v>
      </c>
    </row>
    <row r="135" spans="2:15" x14ac:dyDescent="0.45">
      <c r="B135" t="s">
        <v>819</v>
      </c>
      <c r="C135" t="s">
        <v>12</v>
      </c>
      <c r="D135">
        <v>3.2505600529965269E-2</v>
      </c>
      <c r="E135" t="s">
        <v>6</v>
      </c>
      <c r="G135" t="s">
        <v>820</v>
      </c>
      <c r="H135" t="s">
        <v>12</v>
      </c>
      <c r="I135">
        <v>3.4932203412375754E-2</v>
      </c>
      <c r="J135" t="s">
        <v>6</v>
      </c>
    </row>
    <row r="136" spans="2:15" x14ac:dyDescent="0.45">
      <c r="B136" t="s">
        <v>819</v>
      </c>
      <c r="C136" t="s">
        <v>13</v>
      </c>
      <c r="D136">
        <v>4.3594961213993654E-4</v>
      </c>
      <c r="E136" t="s">
        <v>6</v>
      </c>
      <c r="G136" t="s">
        <v>820</v>
      </c>
      <c r="H136" t="s">
        <v>13</v>
      </c>
      <c r="I136">
        <v>3.609283999625016E-2</v>
      </c>
      <c r="J136" t="s">
        <v>6</v>
      </c>
    </row>
    <row r="137" spans="2:15" x14ac:dyDescent="0.45">
      <c r="B137" t="s">
        <v>819</v>
      </c>
      <c r="C137" t="s">
        <v>14</v>
      </c>
      <c r="D137">
        <v>4.1341975261334525E-6</v>
      </c>
      <c r="E137" t="s">
        <v>6</v>
      </c>
      <c r="G137" t="s">
        <v>820</v>
      </c>
      <c r="H137" t="s">
        <v>14</v>
      </c>
      <c r="I137">
        <v>8.8739583337584291E-2</v>
      </c>
      <c r="J137" t="s">
        <v>6</v>
      </c>
    </row>
    <row r="138" spans="2:15" x14ac:dyDescent="0.45">
      <c r="B138" t="s">
        <v>819</v>
      </c>
      <c r="C138" t="s">
        <v>15</v>
      </c>
      <c r="D138">
        <v>1.0215594150470497E-2</v>
      </c>
      <c r="E138" t="s">
        <v>6</v>
      </c>
      <c r="G138" t="s">
        <v>820</v>
      </c>
      <c r="H138" t="s">
        <v>15</v>
      </c>
      <c r="I138">
        <v>4.1251259130465151E-2</v>
      </c>
      <c r="J138" t="s">
        <v>6</v>
      </c>
    </row>
    <row r="139" spans="2:15" x14ac:dyDescent="0.45">
      <c r="B139" t="s">
        <v>819</v>
      </c>
      <c r="C139" t="s">
        <v>16</v>
      </c>
      <c r="D139">
        <v>8.3540948993533551E-2</v>
      </c>
      <c r="E139" t="s">
        <v>6</v>
      </c>
      <c r="G139" t="s">
        <v>820</v>
      </c>
      <c r="H139" t="s">
        <v>16</v>
      </c>
      <c r="I139">
        <v>3.0409938253184873E-2</v>
      </c>
      <c r="J139" t="s">
        <v>6</v>
      </c>
    </row>
    <row r="140" spans="2:15" x14ac:dyDescent="0.45">
      <c r="B140" t="s">
        <v>819</v>
      </c>
      <c r="C140" t="s">
        <v>17</v>
      </c>
      <c r="D140">
        <v>0.12310653398668397</v>
      </c>
      <c r="E140" t="s">
        <v>6</v>
      </c>
      <c r="G140" t="s">
        <v>820</v>
      </c>
      <c r="H140" t="s">
        <v>17</v>
      </c>
      <c r="I140">
        <v>3.0586213658829551E-2</v>
      </c>
      <c r="J140" t="s">
        <v>6</v>
      </c>
    </row>
    <row r="141" spans="2:15" x14ac:dyDescent="0.45">
      <c r="B141" t="s">
        <v>819</v>
      </c>
      <c r="C141" t="s">
        <v>18</v>
      </c>
      <c r="D141">
        <v>8.4480618076741038E-2</v>
      </c>
      <c r="E141" t="s">
        <v>6</v>
      </c>
      <c r="G141" t="s">
        <v>820</v>
      </c>
      <c r="H141" t="s">
        <v>18</v>
      </c>
      <c r="I141">
        <v>3.2888374056395539E-2</v>
      </c>
      <c r="J141" t="s">
        <v>6</v>
      </c>
    </row>
    <row r="142" spans="2:15" x14ac:dyDescent="0.45">
      <c r="B142" t="s">
        <v>819</v>
      </c>
      <c r="C142" t="s">
        <v>19</v>
      </c>
      <c r="D142">
        <v>1.4818446404560509E-2</v>
      </c>
      <c r="E142" t="s">
        <v>6</v>
      </c>
      <c r="G142" t="s">
        <v>820</v>
      </c>
      <c r="H142" t="s">
        <v>19</v>
      </c>
      <c r="I142">
        <v>3.4775360531264121E-2</v>
      </c>
      <c r="J142" t="s">
        <v>6</v>
      </c>
    </row>
    <row r="143" spans="2:15" x14ac:dyDescent="0.45">
      <c r="B143" t="s">
        <v>819</v>
      </c>
      <c r="C143" t="s">
        <v>20</v>
      </c>
      <c r="D143">
        <v>1.4388249224722859E-4</v>
      </c>
      <c r="E143" t="s">
        <v>6</v>
      </c>
      <c r="G143" t="s">
        <v>820</v>
      </c>
      <c r="H143" t="s">
        <v>20</v>
      </c>
      <c r="I143">
        <v>6.5534235457000975E-2</v>
      </c>
      <c r="J143" t="s">
        <v>6</v>
      </c>
    </row>
    <row r="144" spans="2:15" x14ac:dyDescent="0.45">
      <c r="B144" t="s">
        <v>819</v>
      </c>
      <c r="C144" t="s">
        <v>21</v>
      </c>
      <c r="D144">
        <v>1.6333780604889967E-2</v>
      </c>
      <c r="E144" t="s">
        <v>6</v>
      </c>
      <c r="G144" t="s">
        <v>820</v>
      </c>
      <c r="H144" t="s">
        <v>21</v>
      </c>
      <c r="I144">
        <v>3.2843610266796275E-2</v>
      </c>
      <c r="J144" t="s">
        <v>6</v>
      </c>
    </row>
    <row r="145" spans="2:10" x14ac:dyDescent="0.45">
      <c r="B145" t="s">
        <v>819</v>
      </c>
      <c r="C145" t="s">
        <v>22</v>
      </c>
      <c r="D145">
        <v>9.0376281908143855E-2</v>
      </c>
      <c r="E145" t="s">
        <v>6</v>
      </c>
      <c r="G145" t="s">
        <v>820</v>
      </c>
      <c r="H145" t="s">
        <v>22</v>
      </c>
      <c r="I145">
        <v>2.3515499782529436E-2</v>
      </c>
      <c r="J145" t="s">
        <v>6</v>
      </c>
    </row>
    <row r="146" spans="2:10" x14ac:dyDescent="0.45">
      <c r="B146" t="s">
        <v>819</v>
      </c>
      <c r="C146" t="s">
        <v>23</v>
      </c>
      <c r="D146">
        <v>0.13334279696844858</v>
      </c>
      <c r="E146" t="s">
        <v>6</v>
      </c>
      <c r="G146" t="s">
        <v>820</v>
      </c>
      <c r="H146" t="s">
        <v>23</v>
      </c>
      <c r="I146">
        <v>2.2690304040646207E-2</v>
      </c>
      <c r="J146" t="s">
        <v>6</v>
      </c>
    </row>
    <row r="147" spans="2:10" x14ac:dyDescent="0.45">
      <c r="B147" t="s">
        <v>819</v>
      </c>
      <c r="C147" t="s">
        <v>24</v>
      </c>
      <c r="D147">
        <v>0.10263363576636872</v>
      </c>
      <c r="E147" t="s">
        <v>6</v>
      </c>
      <c r="G147" t="s">
        <v>820</v>
      </c>
      <c r="H147" t="s">
        <v>24</v>
      </c>
      <c r="I147">
        <v>2.3960222630542437E-2</v>
      </c>
      <c r="J147" t="s">
        <v>6</v>
      </c>
    </row>
    <row r="148" spans="2:10" x14ac:dyDescent="0.45">
      <c r="B148" t="s">
        <v>819</v>
      </c>
      <c r="C148" t="s">
        <v>25</v>
      </c>
      <c r="D148">
        <v>2.599029764578191E-2</v>
      </c>
      <c r="E148" t="s">
        <v>6</v>
      </c>
      <c r="G148" t="s">
        <v>820</v>
      </c>
      <c r="H148" t="s">
        <v>25</v>
      </c>
      <c r="I148">
        <v>2.4192714598957808E-2</v>
      </c>
      <c r="J148" t="s">
        <v>6</v>
      </c>
    </row>
    <row r="149" spans="2:10" x14ac:dyDescent="0.45">
      <c r="B149" t="s">
        <v>819</v>
      </c>
      <c r="C149" t="s">
        <v>26</v>
      </c>
      <c r="D149">
        <v>0</v>
      </c>
      <c r="E149" t="s">
        <v>6</v>
      </c>
      <c r="G149" t="s">
        <v>820</v>
      </c>
      <c r="H149" t="s">
        <v>26</v>
      </c>
      <c r="I149">
        <v>8.9740870606410186E-2</v>
      </c>
      <c r="J149" t="s">
        <v>6</v>
      </c>
    </row>
    <row r="150" spans="2:10" x14ac:dyDescent="0.45">
      <c r="B150" t="s">
        <v>819</v>
      </c>
      <c r="C150" t="s">
        <v>27</v>
      </c>
      <c r="D150">
        <v>2.6425565014647459E-3</v>
      </c>
      <c r="E150" t="s">
        <v>6</v>
      </c>
      <c r="G150" t="s">
        <v>820</v>
      </c>
      <c r="H150" t="s">
        <v>27</v>
      </c>
      <c r="I150">
        <v>4.2935579463726975E-2</v>
      </c>
      <c r="J150" t="s">
        <v>6</v>
      </c>
    </row>
    <row r="151" spans="2:10" x14ac:dyDescent="0.45">
      <c r="B151" t="s">
        <v>819</v>
      </c>
      <c r="C151" t="s">
        <v>28</v>
      </c>
      <c r="D151">
        <v>5.126703855678974E-2</v>
      </c>
      <c r="E151" t="s">
        <v>6</v>
      </c>
      <c r="G151" t="s">
        <v>820</v>
      </c>
      <c r="H151" t="s">
        <v>28</v>
      </c>
      <c r="I151">
        <v>3.2488761274616709E-2</v>
      </c>
      <c r="J151" t="s">
        <v>6</v>
      </c>
    </row>
    <row r="152" spans="2:10" x14ac:dyDescent="0.45">
      <c r="B152" t="s">
        <v>819</v>
      </c>
      <c r="C152" t="s">
        <v>29</v>
      </c>
      <c r="D152">
        <v>8.5569936807279853E-2</v>
      </c>
      <c r="E152" t="s">
        <v>6</v>
      </c>
      <c r="G152" t="s">
        <v>820</v>
      </c>
      <c r="H152" t="s">
        <v>29</v>
      </c>
      <c r="I152">
        <v>3.2764530587758328E-2</v>
      </c>
      <c r="J152" t="s">
        <v>6</v>
      </c>
    </row>
    <row r="153" spans="2:10" x14ac:dyDescent="0.45">
      <c r="B153" t="s">
        <v>819</v>
      </c>
      <c r="C153" t="s">
        <v>30</v>
      </c>
      <c r="D153">
        <v>4.6407700707265111E-2</v>
      </c>
      <c r="E153" t="s">
        <v>6</v>
      </c>
      <c r="G153" t="s">
        <v>820</v>
      </c>
      <c r="H153" t="s">
        <v>30</v>
      </c>
      <c r="I153">
        <v>3.4130658075169566E-2</v>
      </c>
      <c r="J153" t="s">
        <v>6</v>
      </c>
    </row>
    <row r="154" spans="2:10" x14ac:dyDescent="0.45">
      <c r="B154" t="s">
        <v>819</v>
      </c>
      <c r="C154" t="s">
        <v>31</v>
      </c>
      <c r="D154">
        <v>2.643615763159547E-3</v>
      </c>
      <c r="E154" t="s">
        <v>6</v>
      </c>
      <c r="G154" t="s">
        <v>820</v>
      </c>
      <c r="H154" t="s">
        <v>31</v>
      </c>
      <c r="I154">
        <v>3.4189472779691366E-2</v>
      </c>
      <c r="J154" t="s">
        <v>6</v>
      </c>
    </row>
    <row r="155" spans="2:10" x14ac:dyDescent="0.45">
      <c r="B155" t="s">
        <v>821</v>
      </c>
      <c r="C155" t="s">
        <v>5</v>
      </c>
      <c r="D155">
        <v>0</v>
      </c>
      <c r="E155" t="s">
        <v>6</v>
      </c>
      <c r="G155" t="s">
        <v>822</v>
      </c>
      <c r="H155" t="s">
        <v>5</v>
      </c>
      <c r="I155">
        <v>0.10194826207332033</v>
      </c>
      <c r="J155" t="s">
        <v>6</v>
      </c>
    </row>
    <row r="156" spans="2:10" x14ac:dyDescent="0.45">
      <c r="B156" t="s">
        <v>821</v>
      </c>
      <c r="C156" t="s">
        <v>9</v>
      </c>
      <c r="D156">
        <v>0</v>
      </c>
      <c r="E156" t="s">
        <v>6</v>
      </c>
      <c r="G156" t="s">
        <v>822</v>
      </c>
      <c r="H156" t="s">
        <v>9</v>
      </c>
      <c r="I156">
        <v>5.0005206951823353E-2</v>
      </c>
      <c r="J156" t="s">
        <v>6</v>
      </c>
    </row>
    <row r="157" spans="2:10" x14ac:dyDescent="0.45">
      <c r="B157" t="s">
        <v>821</v>
      </c>
      <c r="C157" t="s">
        <v>10</v>
      </c>
      <c r="D157">
        <v>2.3607148989711439E-2</v>
      </c>
      <c r="E157" t="s">
        <v>6</v>
      </c>
      <c r="G157" t="s">
        <v>822</v>
      </c>
      <c r="H157" t="s">
        <v>10</v>
      </c>
      <c r="I157">
        <v>3.6565609567452348E-2</v>
      </c>
      <c r="J157" t="s">
        <v>6</v>
      </c>
    </row>
    <row r="158" spans="2:10" x14ac:dyDescent="0.45">
      <c r="B158" t="s">
        <v>821</v>
      </c>
      <c r="C158" t="s">
        <v>11</v>
      </c>
      <c r="D158">
        <v>6.0197379684744284E-2</v>
      </c>
      <c r="E158" t="s">
        <v>6</v>
      </c>
      <c r="G158" t="s">
        <v>822</v>
      </c>
      <c r="H158" t="s">
        <v>11</v>
      </c>
      <c r="I158">
        <v>3.4635659080446669E-2</v>
      </c>
      <c r="J158" t="s">
        <v>6</v>
      </c>
    </row>
    <row r="159" spans="2:10" x14ac:dyDescent="0.45">
      <c r="B159" t="s">
        <v>821</v>
      </c>
      <c r="C159" t="s">
        <v>12</v>
      </c>
      <c r="D159">
        <v>2.8440372628581279E-2</v>
      </c>
      <c r="E159" t="s">
        <v>6</v>
      </c>
      <c r="G159" t="s">
        <v>822</v>
      </c>
      <c r="H159" t="s">
        <v>12</v>
      </c>
      <c r="I159">
        <v>3.5908319581441958E-2</v>
      </c>
      <c r="J159" t="s">
        <v>6</v>
      </c>
    </row>
    <row r="160" spans="2:10" x14ac:dyDescent="0.45">
      <c r="B160" t="s">
        <v>821</v>
      </c>
      <c r="C160" t="s">
        <v>13</v>
      </c>
      <c r="D160">
        <v>2.539140131893842E-4</v>
      </c>
      <c r="E160" t="s">
        <v>6</v>
      </c>
      <c r="G160" t="s">
        <v>822</v>
      </c>
      <c r="H160" t="s">
        <v>13</v>
      </c>
      <c r="I160">
        <v>3.8321038338491015E-2</v>
      </c>
      <c r="J160" t="s">
        <v>6</v>
      </c>
    </row>
    <row r="161" spans="2:10" x14ac:dyDescent="0.45">
      <c r="B161" t="s">
        <v>821</v>
      </c>
      <c r="C161" t="s">
        <v>14</v>
      </c>
      <c r="D161">
        <v>1.088356305923549E-8</v>
      </c>
      <c r="E161" t="s">
        <v>6</v>
      </c>
      <c r="G161" t="s">
        <v>822</v>
      </c>
      <c r="H161" t="s">
        <v>14</v>
      </c>
      <c r="I161">
        <v>8.9094956662297484E-2</v>
      </c>
      <c r="J161" t="s">
        <v>6</v>
      </c>
    </row>
    <row r="162" spans="2:10" x14ac:dyDescent="0.45">
      <c r="B162" t="s">
        <v>821</v>
      </c>
      <c r="C162" t="s">
        <v>15</v>
      </c>
      <c r="D162">
        <v>1.2431715297070366E-2</v>
      </c>
      <c r="E162" t="s">
        <v>6</v>
      </c>
      <c r="G162" t="s">
        <v>822</v>
      </c>
      <c r="H162" t="s">
        <v>15</v>
      </c>
      <c r="I162">
        <v>4.1836044136012857E-2</v>
      </c>
      <c r="J162" t="s">
        <v>6</v>
      </c>
    </row>
    <row r="163" spans="2:10" x14ac:dyDescent="0.45">
      <c r="B163" t="s">
        <v>821</v>
      </c>
      <c r="C163" t="s">
        <v>16</v>
      </c>
      <c r="D163">
        <v>8.8775933625291278E-2</v>
      </c>
      <c r="E163" t="s">
        <v>6</v>
      </c>
      <c r="G163" t="s">
        <v>822</v>
      </c>
      <c r="H163" t="s">
        <v>16</v>
      </c>
      <c r="I163">
        <v>2.9848245907318226E-2</v>
      </c>
      <c r="J163" t="s">
        <v>6</v>
      </c>
    </row>
    <row r="164" spans="2:10" x14ac:dyDescent="0.45">
      <c r="B164" t="s">
        <v>821</v>
      </c>
      <c r="C164" t="s">
        <v>17</v>
      </c>
      <c r="D164">
        <v>0.12601160606407086</v>
      </c>
      <c r="E164" t="s">
        <v>6</v>
      </c>
      <c r="G164" t="s">
        <v>822</v>
      </c>
      <c r="H164" t="s">
        <v>17</v>
      </c>
      <c r="I164">
        <v>2.9241380303138494E-2</v>
      </c>
      <c r="J164" t="s">
        <v>6</v>
      </c>
    </row>
    <row r="165" spans="2:10" x14ac:dyDescent="0.45">
      <c r="B165" t="s">
        <v>821</v>
      </c>
      <c r="C165" t="s">
        <v>18</v>
      </c>
      <c r="D165">
        <v>8.3453713900542695E-2</v>
      </c>
      <c r="E165" t="s">
        <v>6</v>
      </c>
      <c r="G165" t="s">
        <v>822</v>
      </c>
      <c r="H165" t="s">
        <v>18</v>
      </c>
      <c r="I165">
        <v>3.1874046947644154E-2</v>
      </c>
      <c r="J165" t="s">
        <v>6</v>
      </c>
    </row>
    <row r="166" spans="2:10" x14ac:dyDescent="0.45">
      <c r="B166" t="s">
        <v>821</v>
      </c>
      <c r="C166" t="s">
        <v>19</v>
      </c>
      <c r="D166">
        <v>1.2859547916065099E-2</v>
      </c>
      <c r="E166" t="s">
        <v>6</v>
      </c>
      <c r="G166" t="s">
        <v>822</v>
      </c>
      <c r="H166" t="s">
        <v>19</v>
      </c>
      <c r="I166">
        <v>3.4222062871232646E-2</v>
      </c>
      <c r="J166" t="s">
        <v>6</v>
      </c>
    </row>
    <row r="167" spans="2:10" x14ac:dyDescent="0.45">
      <c r="B167" t="s">
        <v>821</v>
      </c>
      <c r="C167" t="s">
        <v>20</v>
      </c>
      <c r="D167">
        <v>7.3182332240335942E-5</v>
      </c>
      <c r="E167" t="s">
        <v>6</v>
      </c>
      <c r="G167" t="s">
        <v>822</v>
      </c>
      <c r="H167" t="s">
        <v>20</v>
      </c>
      <c r="I167">
        <v>6.4533379436351179E-2</v>
      </c>
      <c r="J167" t="s">
        <v>6</v>
      </c>
    </row>
    <row r="168" spans="2:10" x14ac:dyDescent="0.45">
      <c r="B168" t="s">
        <v>821</v>
      </c>
      <c r="C168" t="s">
        <v>21</v>
      </c>
      <c r="D168">
        <v>1.9396926818460756E-2</v>
      </c>
      <c r="E168" t="s">
        <v>6</v>
      </c>
      <c r="G168" t="s">
        <v>822</v>
      </c>
      <c r="H168" t="s">
        <v>21</v>
      </c>
      <c r="I168">
        <v>2.9512514120504017E-2</v>
      </c>
      <c r="J168" t="s">
        <v>6</v>
      </c>
    </row>
    <row r="169" spans="2:10" x14ac:dyDescent="0.45">
      <c r="B169" t="s">
        <v>821</v>
      </c>
      <c r="C169" t="s">
        <v>22</v>
      </c>
      <c r="D169">
        <v>9.7633390290852828E-2</v>
      </c>
      <c r="E169" t="s">
        <v>6</v>
      </c>
      <c r="G169" t="s">
        <v>822</v>
      </c>
      <c r="H169" t="s">
        <v>22</v>
      </c>
      <c r="I169">
        <v>2.1085554846781873E-2</v>
      </c>
      <c r="J169" t="s">
        <v>6</v>
      </c>
    </row>
    <row r="170" spans="2:10" x14ac:dyDescent="0.45">
      <c r="B170" t="s">
        <v>821</v>
      </c>
      <c r="C170" t="s">
        <v>23</v>
      </c>
      <c r="D170">
        <v>0.13431671243941223</v>
      </c>
      <c r="E170" t="s">
        <v>6</v>
      </c>
      <c r="G170" t="s">
        <v>822</v>
      </c>
      <c r="H170" t="s">
        <v>23</v>
      </c>
      <c r="I170">
        <v>2.1022133073775408E-2</v>
      </c>
      <c r="J170" t="s">
        <v>6</v>
      </c>
    </row>
    <row r="171" spans="2:10" x14ac:dyDescent="0.45">
      <c r="B171" t="s">
        <v>821</v>
      </c>
      <c r="C171" t="s">
        <v>24</v>
      </c>
      <c r="D171">
        <v>9.9739094468498657E-2</v>
      </c>
      <c r="E171" t="s">
        <v>6</v>
      </c>
      <c r="G171" t="s">
        <v>822</v>
      </c>
      <c r="H171" t="s">
        <v>24</v>
      </c>
      <c r="I171">
        <v>2.2701178516073957E-2</v>
      </c>
      <c r="J171" t="s">
        <v>6</v>
      </c>
    </row>
    <row r="172" spans="2:10" x14ac:dyDescent="0.45">
      <c r="B172" t="s">
        <v>821</v>
      </c>
      <c r="C172" t="s">
        <v>25</v>
      </c>
      <c r="D172">
        <v>2.3600547043797191E-2</v>
      </c>
      <c r="E172" t="s">
        <v>6</v>
      </c>
      <c r="G172" t="s">
        <v>822</v>
      </c>
      <c r="H172" t="s">
        <v>25</v>
      </c>
      <c r="I172">
        <v>2.2917388017524534E-2</v>
      </c>
      <c r="J172" t="s">
        <v>6</v>
      </c>
    </row>
    <row r="173" spans="2:10" x14ac:dyDescent="0.45">
      <c r="B173" t="s">
        <v>821</v>
      </c>
      <c r="C173" t="s">
        <v>26</v>
      </c>
      <c r="D173">
        <v>0</v>
      </c>
      <c r="E173" t="s">
        <v>6</v>
      </c>
      <c r="G173" t="s">
        <v>822</v>
      </c>
      <c r="H173" t="s">
        <v>26</v>
      </c>
      <c r="I173">
        <v>8.9415172437999416E-2</v>
      </c>
      <c r="J173" t="s">
        <v>6</v>
      </c>
    </row>
    <row r="174" spans="2:10" x14ac:dyDescent="0.45">
      <c r="B174" t="s">
        <v>821</v>
      </c>
      <c r="C174" t="s">
        <v>27</v>
      </c>
      <c r="D174">
        <v>3.2752030914207099E-3</v>
      </c>
      <c r="E174" t="s">
        <v>6</v>
      </c>
      <c r="G174" t="s">
        <v>822</v>
      </c>
      <c r="H174" t="s">
        <v>27</v>
      </c>
      <c r="I174">
        <v>4.267512725916095E-2</v>
      </c>
      <c r="J174" t="s">
        <v>6</v>
      </c>
    </row>
    <row r="175" spans="2:10" x14ac:dyDescent="0.45">
      <c r="B175" t="s">
        <v>821</v>
      </c>
      <c r="C175" t="s">
        <v>28</v>
      </c>
      <c r="D175">
        <v>5.4702756940526925E-2</v>
      </c>
      <c r="E175" t="s">
        <v>6</v>
      </c>
      <c r="G175" t="s">
        <v>822</v>
      </c>
      <c r="H175" t="s">
        <v>28</v>
      </c>
      <c r="I175">
        <v>3.183229602045224E-2</v>
      </c>
      <c r="J175" t="s">
        <v>6</v>
      </c>
    </row>
    <row r="176" spans="2:10" x14ac:dyDescent="0.45">
      <c r="B176" t="s">
        <v>821</v>
      </c>
      <c r="C176" t="s">
        <v>29</v>
      </c>
      <c r="D176">
        <v>8.5216336716629967E-2</v>
      </c>
      <c r="E176" t="s">
        <v>6</v>
      </c>
      <c r="G176" t="s">
        <v>822</v>
      </c>
      <c r="H176" t="s">
        <v>29</v>
      </c>
      <c r="I176">
        <v>3.2296310396314178E-2</v>
      </c>
      <c r="J176" t="s">
        <v>6</v>
      </c>
    </row>
    <row r="177" spans="2:10" x14ac:dyDescent="0.45">
      <c r="B177" t="s">
        <v>821</v>
      </c>
      <c r="C177" t="s">
        <v>30</v>
      </c>
      <c r="D177">
        <v>4.4041625839063403E-2</v>
      </c>
      <c r="E177" t="s">
        <v>6</v>
      </c>
      <c r="G177" t="s">
        <v>822</v>
      </c>
      <c r="H177" t="s">
        <v>30</v>
      </c>
      <c r="I177">
        <v>3.412533190766124E-2</v>
      </c>
      <c r="J177" t="s">
        <v>6</v>
      </c>
    </row>
    <row r="178" spans="2:10" x14ac:dyDescent="0.45">
      <c r="B178" t="s">
        <v>821</v>
      </c>
      <c r="C178" t="s">
        <v>31</v>
      </c>
      <c r="D178">
        <v>1.972881016268033E-3</v>
      </c>
      <c r="E178" t="s">
        <v>6</v>
      </c>
      <c r="G178" t="s">
        <v>822</v>
      </c>
      <c r="H178" t="s">
        <v>31</v>
      </c>
      <c r="I178">
        <v>3.4382781546780705E-2</v>
      </c>
      <c r="J178" t="s">
        <v>6</v>
      </c>
    </row>
    <row r="179" spans="2:10" x14ac:dyDescent="0.45">
      <c r="B179" t="s">
        <v>823</v>
      </c>
      <c r="C179" t="s">
        <v>5</v>
      </c>
      <c r="D179">
        <v>0</v>
      </c>
      <c r="E179" t="s">
        <v>6</v>
      </c>
      <c r="G179" t="s">
        <v>824</v>
      </c>
      <c r="H179" t="s">
        <v>5</v>
      </c>
      <c r="I179">
        <v>0.10919092332404946</v>
      </c>
      <c r="J179" t="s">
        <v>6</v>
      </c>
    </row>
    <row r="180" spans="2:10" x14ac:dyDescent="0.45">
      <c r="B180" t="s">
        <v>823</v>
      </c>
      <c r="C180" t="s">
        <v>9</v>
      </c>
      <c r="D180">
        <v>0</v>
      </c>
      <c r="E180" t="s">
        <v>6</v>
      </c>
      <c r="G180" t="s">
        <v>824</v>
      </c>
      <c r="H180" t="s">
        <v>9</v>
      </c>
      <c r="I180">
        <v>5.4739659101306168E-2</v>
      </c>
      <c r="J180" t="s">
        <v>6</v>
      </c>
    </row>
    <row r="181" spans="2:10" x14ac:dyDescent="0.45">
      <c r="B181" t="s">
        <v>823</v>
      </c>
      <c r="C181" t="s">
        <v>10</v>
      </c>
      <c r="D181">
        <v>2.4558096428864064E-2</v>
      </c>
      <c r="E181" t="s">
        <v>6</v>
      </c>
      <c r="G181" t="s">
        <v>824</v>
      </c>
      <c r="H181" t="s">
        <v>10</v>
      </c>
      <c r="I181">
        <v>3.9782639302759937E-2</v>
      </c>
      <c r="J181" t="s">
        <v>6</v>
      </c>
    </row>
    <row r="182" spans="2:10" x14ac:dyDescent="0.45">
      <c r="B182" t="s">
        <v>823</v>
      </c>
      <c r="C182" t="s">
        <v>11</v>
      </c>
      <c r="D182">
        <v>6.3706319146001514E-2</v>
      </c>
      <c r="E182" t="s">
        <v>6</v>
      </c>
      <c r="G182" t="s">
        <v>824</v>
      </c>
      <c r="H182" t="s">
        <v>11</v>
      </c>
      <c r="I182">
        <v>3.7727938404624364E-2</v>
      </c>
      <c r="J182" t="s">
        <v>6</v>
      </c>
    </row>
    <row r="183" spans="2:10" x14ac:dyDescent="0.45">
      <c r="B183" t="s">
        <v>823</v>
      </c>
      <c r="C183" t="s">
        <v>12</v>
      </c>
      <c r="D183">
        <v>3.0368919937249893E-2</v>
      </c>
      <c r="E183" t="s">
        <v>6</v>
      </c>
      <c r="G183" t="s">
        <v>824</v>
      </c>
      <c r="H183" t="s">
        <v>12</v>
      </c>
      <c r="I183">
        <v>3.7901248791775394E-2</v>
      </c>
      <c r="J183" t="s">
        <v>6</v>
      </c>
    </row>
    <row r="184" spans="2:10" x14ac:dyDescent="0.45">
      <c r="B184" t="s">
        <v>823</v>
      </c>
      <c r="C184" t="s">
        <v>13</v>
      </c>
      <c r="D184">
        <v>3.3647938504201708E-4</v>
      </c>
      <c r="E184" t="s">
        <v>6</v>
      </c>
      <c r="G184" t="s">
        <v>824</v>
      </c>
      <c r="H184" t="s">
        <v>13</v>
      </c>
      <c r="I184">
        <v>4.0733313837819508E-2</v>
      </c>
      <c r="J184" t="s">
        <v>6</v>
      </c>
    </row>
    <row r="185" spans="2:10" x14ac:dyDescent="0.45">
      <c r="B185" t="s">
        <v>823</v>
      </c>
      <c r="C185" t="s">
        <v>14</v>
      </c>
      <c r="D185">
        <v>7.4649652585606937E-7</v>
      </c>
      <c r="E185" t="s">
        <v>6</v>
      </c>
      <c r="G185" t="s">
        <v>824</v>
      </c>
      <c r="H185" t="s">
        <v>14</v>
      </c>
      <c r="I185">
        <v>8.5843256787857855E-2</v>
      </c>
      <c r="J185" t="s">
        <v>6</v>
      </c>
    </row>
    <row r="186" spans="2:10" x14ac:dyDescent="0.45">
      <c r="B186" t="s">
        <v>823</v>
      </c>
      <c r="C186" t="s">
        <v>15</v>
      </c>
      <c r="D186">
        <v>1.1463587432868013E-2</v>
      </c>
      <c r="E186" t="s">
        <v>6</v>
      </c>
      <c r="G186" t="s">
        <v>824</v>
      </c>
      <c r="H186" t="s">
        <v>15</v>
      </c>
      <c r="I186">
        <v>4.1129788384760994E-2</v>
      </c>
      <c r="J186" t="s">
        <v>6</v>
      </c>
    </row>
    <row r="187" spans="2:10" x14ac:dyDescent="0.45">
      <c r="B187" t="s">
        <v>823</v>
      </c>
      <c r="C187" t="s">
        <v>16</v>
      </c>
      <c r="D187">
        <v>8.6835771856195218E-2</v>
      </c>
      <c r="E187" t="s">
        <v>6</v>
      </c>
      <c r="G187" t="s">
        <v>824</v>
      </c>
      <c r="H187" t="s">
        <v>16</v>
      </c>
      <c r="I187">
        <v>2.8614896850305688E-2</v>
      </c>
      <c r="J187" t="s">
        <v>6</v>
      </c>
    </row>
    <row r="188" spans="2:10" x14ac:dyDescent="0.45">
      <c r="B188" t="s">
        <v>823</v>
      </c>
      <c r="C188" t="s">
        <v>17</v>
      </c>
      <c r="D188">
        <v>0.12376810216946076</v>
      </c>
      <c r="E188" t="s">
        <v>6</v>
      </c>
      <c r="G188" t="s">
        <v>824</v>
      </c>
      <c r="H188" t="s">
        <v>17</v>
      </c>
      <c r="I188">
        <v>2.8554780258899723E-2</v>
      </c>
      <c r="J188" t="s">
        <v>6</v>
      </c>
    </row>
    <row r="189" spans="2:10" x14ac:dyDescent="0.45">
      <c r="B189" t="s">
        <v>823</v>
      </c>
      <c r="C189" t="s">
        <v>18</v>
      </c>
      <c r="D189">
        <v>8.3097779872666783E-2</v>
      </c>
      <c r="E189" t="s">
        <v>6</v>
      </c>
      <c r="G189" t="s">
        <v>824</v>
      </c>
      <c r="H189" t="s">
        <v>18</v>
      </c>
      <c r="I189">
        <v>2.9748511593800601E-2</v>
      </c>
      <c r="J189" t="s">
        <v>6</v>
      </c>
    </row>
    <row r="190" spans="2:10" x14ac:dyDescent="0.45">
      <c r="B190" t="s">
        <v>823</v>
      </c>
      <c r="C190" t="s">
        <v>19</v>
      </c>
      <c r="D190">
        <v>1.3607074252134746E-2</v>
      </c>
      <c r="E190" t="s">
        <v>6</v>
      </c>
      <c r="G190" t="s">
        <v>824</v>
      </c>
      <c r="H190" t="s">
        <v>19</v>
      </c>
      <c r="I190">
        <v>3.0467193283609827E-2</v>
      </c>
      <c r="J190" t="s">
        <v>6</v>
      </c>
    </row>
    <row r="191" spans="2:10" x14ac:dyDescent="0.45">
      <c r="B191" t="s">
        <v>823</v>
      </c>
      <c r="C191" t="s">
        <v>20</v>
      </c>
      <c r="D191">
        <v>1.0143354931357934E-4</v>
      </c>
      <c r="E191" t="s">
        <v>6</v>
      </c>
      <c r="G191" t="s">
        <v>824</v>
      </c>
      <c r="H191" t="s">
        <v>20</v>
      </c>
      <c r="I191">
        <v>6.0580091355698043E-2</v>
      </c>
      <c r="J191" t="s">
        <v>6</v>
      </c>
    </row>
    <row r="192" spans="2:10" x14ac:dyDescent="0.45">
      <c r="B192" t="s">
        <v>823</v>
      </c>
      <c r="C192" t="s">
        <v>21</v>
      </c>
      <c r="D192">
        <v>1.8105556298213088E-2</v>
      </c>
      <c r="E192" t="s">
        <v>6</v>
      </c>
      <c r="G192" t="s">
        <v>824</v>
      </c>
      <c r="H192" t="s">
        <v>21</v>
      </c>
      <c r="I192">
        <v>2.5968820779847912E-2</v>
      </c>
      <c r="J192" t="s">
        <v>6</v>
      </c>
    </row>
    <row r="193" spans="2:10" x14ac:dyDescent="0.45">
      <c r="B193" t="s">
        <v>823</v>
      </c>
      <c r="C193" t="s">
        <v>22</v>
      </c>
      <c r="D193">
        <v>9.4270201103938078E-2</v>
      </c>
      <c r="E193" t="s">
        <v>6</v>
      </c>
      <c r="G193" t="s">
        <v>824</v>
      </c>
      <c r="H193" t="s">
        <v>22</v>
      </c>
      <c r="I193">
        <v>1.7661073103409541E-2</v>
      </c>
      <c r="J193" t="s">
        <v>6</v>
      </c>
    </row>
    <row r="194" spans="2:10" x14ac:dyDescent="0.45">
      <c r="B194" t="s">
        <v>823</v>
      </c>
      <c r="C194" t="s">
        <v>23</v>
      </c>
      <c r="D194">
        <v>0.13405311589883284</v>
      </c>
      <c r="E194" t="s">
        <v>6</v>
      </c>
      <c r="G194" t="s">
        <v>824</v>
      </c>
      <c r="H194" t="s">
        <v>23</v>
      </c>
      <c r="I194">
        <v>2.044838589770212E-2</v>
      </c>
      <c r="J194" t="s">
        <v>6</v>
      </c>
    </row>
    <row r="195" spans="2:10" x14ac:dyDescent="0.45">
      <c r="B195" t="s">
        <v>823</v>
      </c>
      <c r="C195" t="s">
        <v>24</v>
      </c>
      <c r="D195">
        <v>9.9991432677097522E-2</v>
      </c>
      <c r="E195" t="s">
        <v>6</v>
      </c>
      <c r="G195" t="s">
        <v>824</v>
      </c>
      <c r="H195" t="s">
        <v>24</v>
      </c>
      <c r="I195">
        <v>2.1828989728136967E-2</v>
      </c>
      <c r="J195" t="s">
        <v>6</v>
      </c>
    </row>
    <row r="196" spans="2:10" x14ac:dyDescent="0.45">
      <c r="B196" t="s">
        <v>823</v>
      </c>
      <c r="C196" t="s">
        <v>25</v>
      </c>
      <c r="D196">
        <v>2.4499680074261228E-2</v>
      </c>
      <c r="E196" t="s">
        <v>6</v>
      </c>
      <c r="G196" t="s">
        <v>824</v>
      </c>
      <c r="H196" t="s">
        <v>25</v>
      </c>
      <c r="I196">
        <v>2.0499009547044218E-2</v>
      </c>
      <c r="J196" t="s">
        <v>6</v>
      </c>
    </row>
    <row r="197" spans="2:10" x14ac:dyDescent="0.45">
      <c r="B197" t="s">
        <v>823</v>
      </c>
      <c r="C197" t="s">
        <v>26</v>
      </c>
      <c r="D197">
        <v>0</v>
      </c>
      <c r="E197" t="s">
        <v>6</v>
      </c>
      <c r="G197" t="s">
        <v>824</v>
      </c>
      <c r="H197" t="s">
        <v>26</v>
      </c>
      <c r="I197">
        <v>9.272401229316235E-2</v>
      </c>
      <c r="J197" t="s">
        <v>6</v>
      </c>
    </row>
    <row r="198" spans="2:10" x14ac:dyDescent="0.45">
      <c r="B198" t="s">
        <v>823</v>
      </c>
      <c r="C198" t="s">
        <v>27</v>
      </c>
      <c r="D198">
        <v>3.0609735525585144E-3</v>
      </c>
      <c r="E198" t="s">
        <v>6</v>
      </c>
      <c r="G198" t="s">
        <v>824</v>
      </c>
      <c r="H198" t="s">
        <v>27</v>
      </c>
      <c r="I198">
        <v>4.5211876219745664E-2</v>
      </c>
      <c r="J198" t="s">
        <v>6</v>
      </c>
    </row>
    <row r="199" spans="2:10" x14ac:dyDescent="0.45">
      <c r="B199" t="s">
        <v>823</v>
      </c>
      <c r="C199" t="s">
        <v>28</v>
      </c>
      <c r="D199">
        <v>5.4397626320194688E-2</v>
      </c>
      <c r="E199" t="s">
        <v>6</v>
      </c>
      <c r="G199" t="s">
        <v>824</v>
      </c>
      <c r="H199" t="s">
        <v>28</v>
      </c>
      <c r="I199">
        <v>3.1481685871806005E-2</v>
      </c>
      <c r="J199" t="s">
        <v>6</v>
      </c>
    </row>
    <row r="200" spans="2:10" x14ac:dyDescent="0.45">
      <c r="B200" t="s">
        <v>823</v>
      </c>
      <c r="C200" t="s">
        <v>29</v>
      </c>
      <c r="D200">
        <v>8.6586796966464111E-2</v>
      </c>
      <c r="E200" t="s">
        <v>6</v>
      </c>
      <c r="G200" t="s">
        <v>824</v>
      </c>
      <c r="H200" t="s">
        <v>29</v>
      </c>
      <c r="I200">
        <v>3.1899976942469196E-2</v>
      </c>
      <c r="J200" t="s">
        <v>6</v>
      </c>
    </row>
    <row r="201" spans="2:10" x14ac:dyDescent="0.45">
      <c r="B201" t="s">
        <v>823</v>
      </c>
      <c r="C201" t="s">
        <v>30</v>
      </c>
      <c r="D201">
        <v>4.5001066294922176E-2</v>
      </c>
      <c r="E201" t="s">
        <v>6</v>
      </c>
      <c r="G201" t="s">
        <v>824</v>
      </c>
      <c r="H201" t="s">
        <v>30</v>
      </c>
      <c r="I201">
        <v>3.3429554719031571E-2</v>
      </c>
      <c r="J201" t="s">
        <v>6</v>
      </c>
    </row>
    <row r="202" spans="2:10" x14ac:dyDescent="0.45">
      <c r="B202" t="s">
        <v>823</v>
      </c>
      <c r="C202" t="s">
        <v>31</v>
      </c>
      <c r="D202">
        <v>2.1892402871964809E-3</v>
      </c>
      <c r="E202" t="s">
        <v>6</v>
      </c>
      <c r="G202" t="s">
        <v>824</v>
      </c>
      <c r="H202" t="s">
        <v>31</v>
      </c>
      <c r="I202">
        <v>3.3832373620375202E-2</v>
      </c>
      <c r="J202" t="s">
        <v>6</v>
      </c>
    </row>
    <row r="203" spans="2:10" x14ac:dyDescent="0.45">
      <c r="B203" t="s">
        <v>825</v>
      </c>
      <c r="C203" t="s">
        <v>5</v>
      </c>
      <c r="D203">
        <v>0</v>
      </c>
      <c r="E203" t="s">
        <v>6</v>
      </c>
      <c r="G203" t="s">
        <v>826</v>
      </c>
      <c r="H203" t="s">
        <v>5</v>
      </c>
      <c r="I203">
        <v>0.10953254875425959</v>
      </c>
      <c r="J203" t="s">
        <v>6</v>
      </c>
    </row>
    <row r="204" spans="2:10" x14ac:dyDescent="0.45">
      <c r="B204" t="s">
        <v>825</v>
      </c>
      <c r="C204" t="s">
        <v>9</v>
      </c>
      <c r="D204">
        <v>0</v>
      </c>
      <c r="E204" t="s">
        <v>6</v>
      </c>
      <c r="G204" t="s">
        <v>826</v>
      </c>
      <c r="H204" t="s">
        <v>9</v>
      </c>
      <c r="I204">
        <v>5.4040499502792147E-2</v>
      </c>
      <c r="J204" t="s">
        <v>6</v>
      </c>
    </row>
    <row r="205" spans="2:10" x14ac:dyDescent="0.45">
      <c r="B205" t="s">
        <v>825</v>
      </c>
      <c r="C205" t="s">
        <v>10</v>
      </c>
      <c r="D205">
        <v>2.4128224044250961E-2</v>
      </c>
      <c r="E205" t="s">
        <v>6</v>
      </c>
      <c r="G205" t="s">
        <v>826</v>
      </c>
      <c r="H205" t="s">
        <v>10</v>
      </c>
      <c r="I205">
        <v>3.8922491120505755E-2</v>
      </c>
      <c r="J205" t="s">
        <v>6</v>
      </c>
    </row>
    <row r="206" spans="2:10" x14ac:dyDescent="0.45">
      <c r="B206" t="s">
        <v>825</v>
      </c>
      <c r="C206" t="s">
        <v>11</v>
      </c>
      <c r="D206">
        <v>6.6421735708316734E-2</v>
      </c>
      <c r="E206" t="s">
        <v>6</v>
      </c>
      <c r="G206" t="s">
        <v>826</v>
      </c>
      <c r="H206" t="s">
        <v>11</v>
      </c>
      <c r="I206">
        <v>3.5690526906189894E-2</v>
      </c>
      <c r="J206" t="s">
        <v>6</v>
      </c>
    </row>
    <row r="207" spans="2:10" x14ac:dyDescent="0.45">
      <c r="B207" t="s">
        <v>825</v>
      </c>
      <c r="C207" t="s">
        <v>12</v>
      </c>
      <c r="D207">
        <v>3.1652096650506958E-2</v>
      </c>
      <c r="E207" t="s">
        <v>6</v>
      </c>
      <c r="G207" t="s">
        <v>826</v>
      </c>
      <c r="H207" t="s">
        <v>12</v>
      </c>
      <c r="I207">
        <v>3.7528968668158004E-2</v>
      </c>
      <c r="J207" t="s">
        <v>6</v>
      </c>
    </row>
    <row r="208" spans="2:10" x14ac:dyDescent="0.45">
      <c r="B208" t="s">
        <v>825</v>
      </c>
      <c r="C208" t="s">
        <v>13</v>
      </c>
      <c r="D208">
        <v>4.3780387854413442E-4</v>
      </c>
      <c r="E208" t="s">
        <v>6</v>
      </c>
      <c r="G208" t="s">
        <v>826</v>
      </c>
      <c r="H208" t="s">
        <v>13</v>
      </c>
      <c r="I208">
        <v>4.0321657245010509E-2</v>
      </c>
      <c r="J208" t="s">
        <v>6</v>
      </c>
    </row>
    <row r="209" spans="2:10" x14ac:dyDescent="0.45">
      <c r="B209" t="s">
        <v>825</v>
      </c>
      <c r="C209" t="s">
        <v>14</v>
      </c>
      <c r="D209">
        <v>0</v>
      </c>
      <c r="E209" t="s">
        <v>6</v>
      </c>
      <c r="G209" t="s">
        <v>826</v>
      </c>
      <c r="H209" t="s">
        <v>14</v>
      </c>
      <c r="I209">
        <v>8.7922220089809974E-2</v>
      </c>
      <c r="J209" t="s">
        <v>6</v>
      </c>
    </row>
    <row r="210" spans="2:10" x14ac:dyDescent="0.45">
      <c r="B210" t="s">
        <v>825</v>
      </c>
      <c r="C210" t="s">
        <v>15</v>
      </c>
      <c r="D210">
        <v>1.0766847517496028E-2</v>
      </c>
      <c r="E210" t="s">
        <v>6</v>
      </c>
      <c r="G210" t="s">
        <v>826</v>
      </c>
      <c r="H210" t="s">
        <v>15</v>
      </c>
      <c r="I210">
        <v>4.1102570758801395E-2</v>
      </c>
      <c r="J210" t="s">
        <v>6</v>
      </c>
    </row>
    <row r="211" spans="2:10" x14ac:dyDescent="0.45">
      <c r="B211" t="s">
        <v>825</v>
      </c>
      <c r="C211" t="s">
        <v>16</v>
      </c>
      <c r="D211">
        <v>8.4222506432374514E-2</v>
      </c>
      <c r="E211" t="s">
        <v>6</v>
      </c>
      <c r="G211" t="s">
        <v>826</v>
      </c>
      <c r="H211" t="s">
        <v>16</v>
      </c>
      <c r="I211">
        <v>2.8905345724699594E-2</v>
      </c>
      <c r="J211" t="s">
        <v>6</v>
      </c>
    </row>
    <row r="212" spans="2:10" x14ac:dyDescent="0.45">
      <c r="B212" t="s">
        <v>825</v>
      </c>
      <c r="C212" t="s">
        <v>17</v>
      </c>
      <c r="D212">
        <v>0.12236239868978294</v>
      </c>
      <c r="E212" t="s">
        <v>6</v>
      </c>
      <c r="G212" t="s">
        <v>826</v>
      </c>
      <c r="H212" t="s">
        <v>17</v>
      </c>
      <c r="I212">
        <v>2.9626862947881291E-2</v>
      </c>
      <c r="J212" t="s">
        <v>6</v>
      </c>
    </row>
    <row r="213" spans="2:10" x14ac:dyDescent="0.45">
      <c r="B213" t="s">
        <v>825</v>
      </c>
      <c r="C213" t="s">
        <v>18</v>
      </c>
      <c r="D213">
        <v>8.1335652330559033E-2</v>
      </c>
      <c r="E213" t="s">
        <v>6</v>
      </c>
      <c r="G213" t="s">
        <v>826</v>
      </c>
      <c r="H213" t="s">
        <v>18</v>
      </c>
      <c r="I213">
        <v>3.1193726645128306E-2</v>
      </c>
      <c r="J213" t="s">
        <v>6</v>
      </c>
    </row>
    <row r="214" spans="2:10" x14ac:dyDescent="0.45">
      <c r="B214" t="s">
        <v>825</v>
      </c>
      <c r="C214" t="s">
        <v>19</v>
      </c>
      <c r="D214">
        <v>1.3756696151449983E-2</v>
      </c>
      <c r="E214" t="s">
        <v>6</v>
      </c>
      <c r="G214" t="s">
        <v>826</v>
      </c>
      <c r="H214" t="s">
        <v>19</v>
      </c>
      <c r="I214">
        <v>3.1880225870030976E-2</v>
      </c>
      <c r="J214" t="s">
        <v>6</v>
      </c>
    </row>
    <row r="215" spans="2:10" x14ac:dyDescent="0.45">
      <c r="B215" t="s">
        <v>825</v>
      </c>
      <c r="C215" t="s">
        <v>20</v>
      </c>
      <c r="D215">
        <v>7.0715690517508532E-5</v>
      </c>
      <c r="E215" t="s">
        <v>6</v>
      </c>
      <c r="G215" t="s">
        <v>826</v>
      </c>
      <c r="H215" t="s">
        <v>20</v>
      </c>
      <c r="I215">
        <v>6.2788598901333786E-2</v>
      </c>
      <c r="J215" t="s">
        <v>6</v>
      </c>
    </row>
    <row r="216" spans="2:10" x14ac:dyDescent="0.45">
      <c r="B216" t="s">
        <v>825</v>
      </c>
      <c r="C216" t="s">
        <v>21</v>
      </c>
      <c r="D216">
        <v>1.7007863070444246E-2</v>
      </c>
      <c r="E216" t="s">
        <v>6</v>
      </c>
      <c r="G216" t="s">
        <v>826</v>
      </c>
      <c r="H216" t="s">
        <v>21</v>
      </c>
      <c r="I216">
        <v>2.6296605456335369E-2</v>
      </c>
      <c r="J216" t="s">
        <v>6</v>
      </c>
    </row>
    <row r="217" spans="2:10" x14ac:dyDescent="0.45">
      <c r="B217" t="s">
        <v>825</v>
      </c>
      <c r="C217" t="s">
        <v>22</v>
      </c>
      <c r="D217">
        <v>9.2890463649084001E-2</v>
      </c>
      <c r="E217" t="s">
        <v>6</v>
      </c>
      <c r="G217" t="s">
        <v>826</v>
      </c>
      <c r="H217" t="s">
        <v>22</v>
      </c>
      <c r="I217">
        <v>1.8272581030166907E-2</v>
      </c>
      <c r="J217" t="s">
        <v>6</v>
      </c>
    </row>
    <row r="218" spans="2:10" x14ac:dyDescent="0.45">
      <c r="B218" t="s">
        <v>825</v>
      </c>
      <c r="C218" t="s">
        <v>23</v>
      </c>
      <c r="D218">
        <v>0.13587208479682197</v>
      </c>
      <c r="E218" t="s">
        <v>6</v>
      </c>
      <c r="G218" t="s">
        <v>826</v>
      </c>
      <c r="H218" t="s">
        <v>23</v>
      </c>
      <c r="I218">
        <v>1.889613577060259E-2</v>
      </c>
      <c r="J218" t="s">
        <v>6</v>
      </c>
    </row>
    <row r="219" spans="2:10" x14ac:dyDescent="0.45">
      <c r="B219" t="s">
        <v>825</v>
      </c>
      <c r="C219" t="s">
        <v>24</v>
      </c>
      <c r="D219">
        <v>0.10047327361326727</v>
      </c>
      <c r="E219" t="s">
        <v>6</v>
      </c>
      <c r="G219" t="s">
        <v>826</v>
      </c>
      <c r="H219" t="s">
        <v>24</v>
      </c>
      <c r="I219">
        <v>2.0759359324307978E-2</v>
      </c>
      <c r="J219" t="s">
        <v>6</v>
      </c>
    </row>
    <row r="220" spans="2:10" x14ac:dyDescent="0.45">
      <c r="B220" t="s">
        <v>825</v>
      </c>
      <c r="C220" t="s">
        <v>25</v>
      </c>
      <c r="D220">
        <v>2.4189168404141391E-2</v>
      </c>
      <c r="E220" t="s">
        <v>6</v>
      </c>
      <c r="G220" t="s">
        <v>826</v>
      </c>
      <c r="H220" t="s">
        <v>25</v>
      </c>
      <c r="I220">
        <v>2.1136263567053577E-2</v>
      </c>
      <c r="J220" t="s">
        <v>6</v>
      </c>
    </row>
    <row r="221" spans="2:10" x14ac:dyDescent="0.45">
      <c r="B221" t="s">
        <v>825</v>
      </c>
      <c r="C221" t="s">
        <v>26</v>
      </c>
      <c r="D221">
        <v>0</v>
      </c>
      <c r="E221" t="s">
        <v>6</v>
      </c>
      <c r="G221" t="s">
        <v>826</v>
      </c>
      <c r="H221" t="s">
        <v>26</v>
      </c>
      <c r="I221">
        <v>9.0984986201087831E-2</v>
      </c>
      <c r="J221" t="s">
        <v>6</v>
      </c>
    </row>
    <row r="222" spans="2:10" x14ac:dyDescent="0.45">
      <c r="B222" t="s">
        <v>825</v>
      </c>
      <c r="C222" t="s">
        <v>27</v>
      </c>
      <c r="D222">
        <v>3.1076456213207913E-3</v>
      </c>
      <c r="E222" t="s">
        <v>6</v>
      </c>
      <c r="G222" t="s">
        <v>826</v>
      </c>
      <c r="H222" t="s">
        <v>27</v>
      </c>
      <c r="I222">
        <v>4.3347651569287438E-2</v>
      </c>
      <c r="J222" t="s">
        <v>6</v>
      </c>
    </row>
    <row r="223" spans="2:10" x14ac:dyDescent="0.45">
      <c r="B223" t="s">
        <v>825</v>
      </c>
      <c r="C223" t="s">
        <v>28</v>
      </c>
      <c r="D223">
        <v>5.4555716485529017E-2</v>
      </c>
      <c r="E223" t="s">
        <v>6</v>
      </c>
      <c r="G223" t="s">
        <v>826</v>
      </c>
      <c r="H223" t="s">
        <v>28</v>
      </c>
      <c r="I223">
        <v>3.0294789698491614E-2</v>
      </c>
      <c r="J223" t="s">
        <v>6</v>
      </c>
    </row>
    <row r="224" spans="2:10" x14ac:dyDescent="0.45">
      <c r="B224" t="s">
        <v>825</v>
      </c>
      <c r="C224" t="s">
        <v>29</v>
      </c>
      <c r="D224">
        <v>8.797796145810087E-2</v>
      </c>
      <c r="E224" t="s">
        <v>6</v>
      </c>
      <c r="G224" t="s">
        <v>826</v>
      </c>
      <c r="H224" t="s">
        <v>29</v>
      </c>
      <c r="I224">
        <v>3.1509433226721992E-2</v>
      </c>
      <c r="J224" t="s">
        <v>6</v>
      </c>
    </row>
    <row r="225" spans="2:10" x14ac:dyDescent="0.45">
      <c r="B225" t="s">
        <v>825</v>
      </c>
      <c r="C225" t="s">
        <v>30</v>
      </c>
      <c r="D225">
        <v>4.6215203745658982E-2</v>
      </c>
      <c r="E225" t="s">
        <v>6</v>
      </c>
      <c r="G225" t="s">
        <v>826</v>
      </c>
      <c r="H225" t="s">
        <v>30</v>
      </c>
      <c r="I225">
        <v>3.394135104166765E-2</v>
      </c>
      <c r="J225" t="s">
        <v>6</v>
      </c>
    </row>
    <row r="226" spans="2:10" x14ac:dyDescent="0.45">
      <c r="B226" t="s">
        <v>825</v>
      </c>
      <c r="C226" t="s">
        <v>31</v>
      </c>
      <c r="D226">
        <v>2.5559420618333911E-3</v>
      </c>
      <c r="E226" t="s">
        <v>6</v>
      </c>
      <c r="G226" t="s">
        <v>826</v>
      </c>
      <c r="H226" t="s">
        <v>31</v>
      </c>
      <c r="I226">
        <v>3.5104599979677929E-2</v>
      </c>
      <c r="J226" t="s">
        <v>6</v>
      </c>
    </row>
    <row r="227" spans="2:10" x14ac:dyDescent="0.45">
      <c r="B227" t="s">
        <v>827</v>
      </c>
      <c r="C227" t="s">
        <v>5</v>
      </c>
      <c r="D227">
        <v>0</v>
      </c>
      <c r="E227" t="s">
        <v>6</v>
      </c>
      <c r="G227" t="s">
        <v>828</v>
      </c>
      <c r="H227" t="s">
        <v>5</v>
      </c>
      <c r="I227">
        <v>0.10662285345528277</v>
      </c>
      <c r="J227" t="s">
        <v>6</v>
      </c>
    </row>
    <row r="228" spans="2:10" x14ac:dyDescent="0.45">
      <c r="B228" t="s">
        <v>827</v>
      </c>
      <c r="C228" t="s">
        <v>9</v>
      </c>
      <c r="D228">
        <v>0</v>
      </c>
      <c r="E228" t="s">
        <v>6</v>
      </c>
      <c r="G228" t="s">
        <v>828</v>
      </c>
      <c r="H228" t="s">
        <v>9</v>
      </c>
      <c r="I228">
        <v>5.2332484001353784E-2</v>
      </c>
      <c r="J228" t="s">
        <v>6</v>
      </c>
    </row>
    <row r="229" spans="2:10" x14ac:dyDescent="0.45">
      <c r="B229" t="s">
        <v>827</v>
      </c>
      <c r="C229" t="s">
        <v>10</v>
      </c>
      <c r="D229">
        <v>2.46763828918279E-2</v>
      </c>
      <c r="E229" t="s">
        <v>6</v>
      </c>
      <c r="G229" t="s">
        <v>828</v>
      </c>
      <c r="H229" t="s">
        <v>10</v>
      </c>
      <c r="I229">
        <v>3.8260238838746213E-2</v>
      </c>
      <c r="J229" t="s">
        <v>6</v>
      </c>
    </row>
    <row r="230" spans="2:10" x14ac:dyDescent="0.45">
      <c r="B230" t="s">
        <v>827</v>
      </c>
      <c r="C230" t="s">
        <v>11</v>
      </c>
      <c r="D230">
        <v>6.553882339466427E-2</v>
      </c>
      <c r="E230" t="s">
        <v>6</v>
      </c>
      <c r="G230" t="s">
        <v>828</v>
      </c>
      <c r="H230" t="s">
        <v>11</v>
      </c>
      <c r="I230">
        <v>3.5277525416039776E-2</v>
      </c>
      <c r="J230" t="s">
        <v>6</v>
      </c>
    </row>
    <row r="231" spans="2:10" x14ac:dyDescent="0.45">
      <c r="B231" t="s">
        <v>827</v>
      </c>
      <c r="C231" t="s">
        <v>12</v>
      </c>
      <c r="D231">
        <v>3.0866026178599671E-2</v>
      </c>
      <c r="E231" t="s">
        <v>6</v>
      </c>
      <c r="G231" t="s">
        <v>828</v>
      </c>
      <c r="H231" t="s">
        <v>12</v>
      </c>
      <c r="I231">
        <v>3.6766760045930193E-2</v>
      </c>
      <c r="J231" t="s">
        <v>6</v>
      </c>
    </row>
    <row r="232" spans="2:10" x14ac:dyDescent="0.45">
      <c r="B232" t="s">
        <v>827</v>
      </c>
      <c r="C232" t="s">
        <v>13</v>
      </c>
      <c r="D232">
        <v>3.2479225993662731E-4</v>
      </c>
      <c r="E232" t="s">
        <v>6</v>
      </c>
      <c r="G232" t="s">
        <v>828</v>
      </c>
      <c r="H232" t="s">
        <v>13</v>
      </c>
      <c r="I232">
        <v>3.9567462564951465E-2</v>
      </c>
      <c r="J232" t="s">
        <v>6</v>
      </c>
    </row>
    <row r="233" spans="2:10" x14ac:dyDescent="0.45">
      <c r="B233" t="s">
        <v>827</v>
      </c>
      <c r="C233" t="s">
        <v>14</v>
      </c>
      <c r="D233">
        <v>1.4696367861723793E-7</v>
      </c>
      <c r="E233" t="s">
        <v>6</v>
      </c>
      <c r="G233" t="s">
        <v>828</v>
      </c>
      <c r="H233" t="s">
        <v>14</v>
      </c>
      <c r="I233">
        <v>8.6906153074644554E-2</v>
      </c>
      <c r="J233" t="s">
        <v>6</v>
      </c>
    </row>
    <row r="234" spans="2:10" x14ac:dyDescent="0.45">
      <c r="B234" t="s">
        <v>827</v>
      </c>
      <c r="C234" t="s">
        <v>15</v>
      </c>
      <c r="D234">
        <v>1.1421792840184452E-2</v>
      </c>
      <c r="E234" t="s">
        <v>6</v>
      </c>
      <c r="G234" t="s">
        <v>828</v>
      </c>
      <c r="H234" t="s">
        <v>15</v>
      </c>
      <c r="I234">
        <v>4.2010613402972893E-2</v>
      </c>
      <c r="J234" t="s">
        <v>6</v>
      </c>
    </row>
    <row r="235" spans="2:10" x14ac:dyDescent="0.45">
      <c r="B235" t="s">
        <v>827</v>
      </c>
      <c r="C235" t="s">
        <v>16</v>
      </c>
      <c r="D235">
        <v>8.727320610568795E-2</v>
      </c>
      <c r="E235" t="s">
        <v>6</v>
      </c>
      <c r="G235" t="s">
        <v>828</v>
      </c>
      <c r="H235" t="s">
        <v>16</v>
      </c>
      <c r="I235">
        <v>3.005704141013632E-2</v>
      </c>
      <c r="J235" t="s">
        <v>6</v>
      </c>
    </row>
    <row r="236" spans="2:10" x14ac:dyDescent="0.45">
      <c r="B236" t="s">
        <v>827</v>
      </c>
      <c r="C236" t="s">
        <v>17</v>
      </c>
      <c r="D236">
        <v>0.12422472058836784</v>
      </c>
      <c r="E236" t="s">
        <v>6</v>
      </c>
      <c r="G236" t="s">
        <v>828</v>
      </c>
      <c r="H236" t="s">
        <v>17</v>
      </c>
      <c r="I236">
        <v>3.0855396264319452E-2</v>
      </c>
      <c r="J236" t="s">
        <v>6</v>
      </c>
    </row>
    <row r="237" spans="2:10" x14ac:dyDescent="0.45">
      <c r="B237" t="s">
        <v>827</v>
      </c>
      <c r="C237" t="s">
        <v>18</v>
      </c>
      <c r="D237">
        <v>8.2690713763239096E-2</v>
      </c>
      <c r="E237" t="s">
        <v>6</v>
      </c>
      <c r="G237" t="s">
        <v>828</v>
      </c>
      <c r="H237" t="s">
        <v>18</v>
      </c>
      <c r="I237">
        <v>3.1735181234578504E-2</v>
      </c>
      <c r="J237" t="s">
        <v>6</v>
      </c>
    </row>
    <row r="238" spans="2:10" x14ac:dyDescent="0.45">
      <c r="B238" t="s">
        <v>827</v>
      </c>
      <c r="C238" t="s">
        <v>19</v>
      </c>
      <c r="D238">
        <v>1.3307191430323915E-2</v>
      </c>
      <c r="E238" t="s">
        <v>6</v>
      </c>
      <c r="G238" t="s">
        <v>828</v>
      </c>
      <c r="H238" t="s">
        <v>19</v>
      </c>
      <c r="I238">
        <v>3.1533947559453511E-2</v>
      </c>
      <c r="J238" t="s">
        <v>6</v>
      </c>
    </row>
    <row r="239" spans="2:10" x14ac:dyDescent="0.45">
      <c r="B239" t="s">
        <v>827</v>
      </c>
      <c r="C239" t="s">
        <v>20</v>
      </c>
      <c r="D239">
        <v>7.6010168642373882E-5</v>
      </c>
      <c r="E239" t="s">
        <v>6</v>
      </c>
      <c r="G239" t="s">
        <v>828</v>
      </c>
      <c r="H239" t="s">
        <v>20</v>
      </c>
      <c r="I239">
        <v>6.7272639807589019E-2</v>
      </c>
      <c r="J239" t="s">
        <v>6</v>
      </c>
    </row>
    <row r="240" spans="2:10" x14ac:dyDescent="0.45">
      <c r="B240" t="s">
        <v>827</v>
      </c>
      <c r="C240" t="s">
        <v>21</v>
      </c>
      <c r="D240">
        <v>1.7696503844502883E-2</v>
      </c>
      <c r="E240" t="s">
        <v>6</v>
      </c>
      <c r="G240" t="s">
        <v>828</v>
      </c>
      <c r="H240" t="s">
        <v>21</v>
      </c>
      <c r="I240">
        <v>2.8153598647363762E-2</v>
      </c>
      <c r="J240" t="s">
        <v>6</v>
      </c>
    </row>
    <row r="241" spans="2:10" x14ac:dyDescent="0.45">
      <c r="B241" t="s">
        <v>827</v>
      </c>
      <c r="C241" t="s">
        <v>22</v>
      </c>
      <c r="D241">
        <v>9.4964891276854424E-2</v>
      </c>
      <c r="E241" t="s">
        <v>6</v>
      </c>
      <c r="G241" t="s">
        <v>828</v>
      </c>
      <c r="H241" t="s">
        <v>22</v>
      </c>
      <c r="I241">
        <v>1.8318777939877743E-2</v>
      </c>
      <c r="J241" t="s">
        <v>6</v>
      </c>
    </row>
    <row r="242" spans="2:10" x14ac:dyDescent="0.45">
      <c r="B242" t="s">
        <v>827</v>
      </c>
      <c r="C242" t="s">
        <v>23</v>
      </c>
      <c r="D242">
        <v>0.1337278552758891</v>
      </c>
      <c r="E242" t="s">
        <v>6</v>
      </c>
      <c r="G242" t="s">
        <v>828</v>
      </c>
      <c r="H242" t="s">
        <v>23</v>
      </c>
      <c r="I242">
        <v>1.8198884701243815E-2</v>
      </c>
      <c r="J242" t="s">
        <v>6</v>
      </c>
    </row>
    <row r="243" spans="2:10" x14ac:dyDescent="0.45">
      <c r="B243" t="s">
        <v>827</v>
      </c>
      <c r="C243" t="s">
        <v>24</v>
      </c>
      <c r="D243">
        <v>9.8111307700413208E-2</v>
      </c>
      <c r="E243" t="s">
        <v>6</v>
      </c>
      <c r="G243" t="s">
        <v>828</v>
      </c>
      <c r="H243" t="s">
        <v>24</v>
      </c>
      <c r="I243">
        <v>2.1183110885000675E-2</v>
      </c>
      <c r="J243" t="s">
        <v>6</v>
      </c>
    </row>
    <row r="244" spans="2:10" x14ac:dyDescent="0.45">
      <c r="B244" t="s">
        <v>827</v>
      </c>
      <c r="C244" t="s">
        <v>25</v>
      </c>
      <c r="D244">
        <v>2.4002165887428772E-2</v>
      </c>
      <c r="E244" t="s">
        <v>6</v>
      </c>
      <c r="G244" t="s">
        <v>828</v>
      </c>
      <c r="H244" t="s">
        <v>25</v>
      </c>
      <c r="I244">
        <v>2.2440223459825423E-2</v>
      </c>
      <c r="J244" t="s">
        <v>6</v>
      </c>
    </row>
    <row r="245" spans="2:10" x14ac:dyDescent="0.45">
      <c r="B245" t="s">
        <v>827</v>
      </c>
      <c r="C245" t="s">
        <v>26</v>
      </c>
      <c r="D245">
        <v>0</v>
      </c>
      <c r="E245" t="s">
        <v>6</v>
      </c>
      <c r="G245" t="s">
        <v>828</v>
      </c>
      <c r="H245" t="s">
        <v>26</v>
      </c>
      <c r="I245">
        <v>8.9677711720853703E-2</v>
      </c>
      <c r="J245" t="s">
        <v>6</v>
      </c>
    </row>
    <row r="246" spans="2:10" x14ac:dyDescent="0.45">
      <c r="B246" t="s">
        <v>827</v>
      </c>
      <c r="C246" t="s">
        <v>27</v>
      </c>
      <c r="D246">
        <v>3.0633900935907823E-3</v>
      </c>
      <c r="E246" t="s">
        <v>6</v>
      </c>
      <c r="G246" t="s">
        <v>828</v>
      </c>
      <c r="H246" t="s">
        <v>27</v>
      </c>
      <c r="I246">
        <v>4.3244499562178157E-2</v>
      </c>
      <c r="J246" t="s">
        <v>6</v>
      </c>
    </row>
    <row r="247" spans="2:10" x14ac:dyDescent="0.45">
      <c r="B247" t="s">
        <v>827</v>
      </c>
      <c r="C247" t="s">
        <v>28</v>
      </c>
      <c r="D247">
        <v>5.4904314213387422E-2</v>
      </c>
      <c r="E247" t="s">
        <v>6</v>
      </c>
      <c r="G247" t="s">
        <v>828</v>
      </c>
      <c r="H247" t="s">
        <v>28</v>
      </c>
      <c r="I247">
        <v>2.927971698271558E-2</v>
      </c>
      <c r="J247" t="s">
        <v>6</v>
      </c>
    </row>
    <row r="248" spans="2:10" x14ac:dyDescent="0.45">
      <c r="B248" t="s">
        <v>827</v>
      </c>
      <c r="C248" t="s">
        <v>29</v>
      </c>
      <c r="D248">
        <v>8.7174343340073346E-2</v>
      </c>
      <c r="E248" t="s">
        <v>6</v>
      </c>
      <c r="G248" t="s">
        <v>828</v>
      </c>
      <c r="H248" t="s">
        <v>29</v>
      </c>
      <c r="I248">
        <v>3.1330192603583829E-2</v>
      </c>
      <c r="J248" t="s">
        <v>6</v>
      </c>
    </row>
    <row r="249" spans="2:10" x14ac:dyDescent="0.45">
      <c r="B249" t="s">
        <v>827</v>
      </c>
      <c r="C249" t="s">
        <v>30</v>
      </c>
      <c r="D249">
        <v>4.3776072238738396E-2</v>
      </c>
      <c r="E249" t="s">
        <v>6</v>
      </c>
      <c r="G249" t="s">
        <v>828</v>
      </c>
      <c r="H249" t="s">
        <v>30</v>
      </c>
      <c r="I249">
        <v>3.3752075572211541E-2</v>
      </c>
      <c r="J249" t="s">
        <v>6</v>
      </c>
    </row>
    <row r="250" spans="2:10" x14ac:dyDescent="0.45">
      <c r="B250" t="s">
        <v>827</v>
      </c>
      <c r="C250" t="s">
        <v>31</v>
      </c>
      <c r="D250">
        <v>2.1793495439689694E-3</v>
      </c>
      <c r="E250" t="s">
        <v>6</v>
      </c>
      <c r="G250" t="s">
        <v>828</v>
      </c>
      <c r="H250" t="s">
        <v>31</v>
      </c>
      <c r="I250">
        <v>3.5222910849147311E-2</v>
      </c>
      <c r="J250" t="s">
        <v>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9F213-121B-40C9-AA34-29FDFBDB76C6}">
  <dimension ref="B9:DH35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other_indexes=ACT; region=NLD")</f>
        <v>~TFM_DINS-TSL: attribute=FLO_EMIS; other_indexes=ACT; region=NLD</v>
      </c>
      <c r="AC9" t="str">
        <f>IF(A11="x","DeActivated","~TFM_INS-TSL: attribute=FLO_SHAR; limtype=FX; region=NLD")</f>
        <v>~TFM_INS-TSL: attribute=FLO_SHAR; limtype=FX; region=NLD</v>
      </c>
      <c r="BD9" t="str">
        <f>IF(A11="x","DeActivated","~TFM_INS-TSL: attribute=FLO_SHAR; limtype=FX; region=NLD")</f>
        <v>~TFM_INS-TSL: attribute=FLO_SHAR; limtype=FX; region=NLD</v>
      </c>
      <c r="CE9" t="str">
        <f>IF(A11="x","DeActivated","~TFM_DINS-TSL: attribute=NCAP_PKCNT; region=NLD")</f>
        <v>~TFM_DINS-TSL: attribute=NCAP_PKCNT; region=NLD</v>
      </c>
      <c r="DE9" t="str">
        <f>IF(A11="x","DeActivated","~TFM_DINS-AT: region=NLD")</f>
        <v>~TFM_DINS-AT: region=NLD</v>
      </c>
    </row>
    <row r="10" spans="2:112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  <c r="V10" t="s">
        <v>26</v>
      </c>
      <c r="W10" t="s">
        <v>27</v>
      </c>
      <c r="X10" t="s">
        <v>28</v>
      </c>
      <c r="Y10" t="s">
        <v>29</v>
      </c>
      <c r="Z10" t="s">
        <v>30</v>
      </c>
      <c r="AA10" t="s">
        <v>31</v>
      </c>
      <c r="AC10" t="s">
        <v>3</v>
      </c>
      <c r="AD10" t="s">
        <v>0</v>
      </c>
      <c r="AE10" t="s">
        <v>5</v>
      </c>
      <c r="AF10" t="s">
        <v>9</v>
      </c>
      <c r="AG10" t="s">
        <v>10</v>
      </c>
      <c r="AH10" t="s">
        <v>11</v>
      </c>
      <c r="AI10" t="s">
        <v>12</v>
      </c>
      <c r="AJ10" t="s">
        <v>13</v>
      </c>
      <c r="AK10" t="s">
        <v>14</v>
      </c>
      <c r="AL10" t="s">
        <v>15</v>
      </c>
      <c r="AM10" t="s">
        <v>16</v>
      </c>
      <c r="AN10" t="s">
        <v>17</v>
      </c>
      <c r="AO10" t="s">
        <v>18</v>
      </c>
      <c r="AP10" t="s">
        <v>19</v>
      </c>
      <c r="AQ10" t="s">
        <v>20</v>
      </c>
      <c r="AR10" t="s">
        <v>21</v>
      </c>
      <c r="AS10" t="s">
        <v>22</v>
      </c>
      <c r="AT10" t="s">
        <v>23</v>
      </c>
      <c r="AU10" t="s">
        <v>24</v>
      </c>
      <c r="AV10" t="s">
        <v>25</v>
      </c>
      <c r="AW10" t="s">
        <v>26</v>
      </c>
      <c r="AX10" t="s">
        <v>27</v>
      </c>
      <c r="AY10" t="s">
        <v>28</v>
      </c>
      <c r="AZ10" t="s">
        <v>29</v>
      </c>
      <c r="BA10" t="s">
        <v>30</v>
      </c>
      <c r="BB10" t="s">
        <v>31</v>
      </c>
      <c r="BD10" t="s">
        <v>3</v>
      </c>
      <c r="BE10" t="s">
        <v>0</v>
      </c>
      <c r="BF10" t="s">
        <v>5</v>
      </c>
      <c r="BG10" t="s">
        <v>9</v>
      </c>
      <c r="BH10" t="s">
        <v>10</v>
      </c>
      <c r="BI10" t="s">
        <v>11</v>
      </c>
      <c r="BJ10" t="s">
        <v>12</v>
      </c>
      <c r="BK10" t="s">
        <v>13</v>
      </c>
      <c r="BL10" t="s">
        <v>14</v>
      </c>
      <c r="BM10" t="s">
        <v>15</v>
      </c>
      <c r="BN10" t="s">
        <v>16</v>
      </c>
      <c r="BO10" t="s">
        <v>17</v>
      </c>
      <c r="BP10" t="s">
        <v>18</v>
      </c>
      <c r="BQ10" t="s">
        <v>19</v>
      </c>
      <c r="BR10" t="s">
        <v>20</v>
      </c>
      <c r="BS10" t="s">
        <v>21</v>
      </c>
      <c r="BT10" t="s">
        <v>22</v>
      </c>
      <c r="BU10" t="s">
        <v>23</v>
      </c>
      <c r="BV10" t="s">
        <v>24</v>
      </c>
      <c r="BW10" t="s">
        <v>25</v>
      </c>
      <c r="BX10" t="s">
        <v>26</v>
      </c>
      <c r="BY10" t="s">
        <v>27</v>
      </c>
      <c r="BZ10" t="s">
        <v>28</v>
      </c>
      <c r="CA10" t="s">
        <v>29</v>
      </c>
      <c r="CB10" t="s">
        <v>30</v>
      </c>
      <c r="CC10" t="s">
        <v>31</v>
      </c>
      <c r="CE10" t="s">
        <v>3</v>
      </c>
      <c r="CF10" t="s">
        <v>5</v>
      </c>
      <c r="CG10" t="s">
        <v>9</v>
      </c>
      <c r="CH10" t="s">
        <v>10</v>
      </c>
      <c r="CI10" t="s">
        <v>11</v>
      </c>
      <c r="CJ10" t="s">
        <v>12</v>
      </c>
      <c r="CK10" t="s">
        <v>13</v>
      </c>
      <c r="CL10" t="s">
        <v>14</v>
      </c>
      <c r="CM10" t="s">
        <v>15</v>
      </c>
      <c r="CN10" t="s">
        <v>16</v>
      </c>
      <c r="CO10" t="s">
        <v>17</v>
      </c>
      <c r="CP10" t="s">
        <v>18</v>
      </c>
      <c r="CQ10" t="s">
        <v>19</v>
      </c>
      <c r="CR10" t="s">
        <v>20</v>
      </c>
      <c r="CS10" t="s">
        <v>21</v>
      </c>
      <c r="CT10" t="s">
        <v>22</v>
      </c>
      <c r="CU10" t="s">
        <v>23</v>
      </c>
      <c r="CV10" t="s">
        <v>24</v>
      </c>
      <c r="CW10" t="s">
        <v>25</v>
      </c>
      <c r="CX10" t="s">
        <v>26</v>
      </c>
      <c r="CY10" t="s">
        <v>27</v>
      </c>
      <c r="CZ10" t="s">
        <v>28</v>
      </c>
      <c r="DA10" t="s">
        <v>29</v>
      </c>
      <c r="DB10" t="s">
        <v>30</v>
      </c>
      <c r="DC10" t="s">
        <v>31</v>
      </c>
      <c r="DE10" t="s">
        <v>3</v>
      </c>
      <c r="DF10" t="s">
        <v>0</v>
      </c>
      <c r="DG10" t="s">
        <v>104</v>
      </c>
      <c r="DH10" t="s">
        <v>105</v>
      </c>
    </row>
    <row r="11" spans="2:112" x14ac:dyDescent="0.45">
      <c r="B11" t="s">
        <v>829</v>
      </c>
      <c r="C11" t="s">
        <v>107</v>
      </c>
      <c r="D11">
        <v>0</v>
      </c>
      <c r="E11">
        <v>0</v>
      </c>
      <c r="F11">
        <v>0.4793064078713124</v>
      </c>
      <c r="G11">
        <v>0.27963717293116758</v>
      </c>
      <c r="H11">
        <v>0.41727770768067318</v>
      </c>
      <c r="I11">
        <v>0.93184953250795965</v>
      </c>
      <c r="J11">
        <v>0.98775840508068224</v>
      </c>
      <c r="K11">
        <v>0.62928868741146904</v>
      </c>
      <c r="L11">
        <v>0.22235634292273621</v>
      </c>
      <c r="M11">
        <v>0.1523834298908377</v>
      </c>
      <c r="N11">
        <v>0.18372852512728785</v>
      </c>
      <c r="O11">
        <v>0.47588391646418288</v>
      </c>
      <c r="P11">
        <v>0.92611729467737769</v>
      </c>
      <c r="Q11">
        <v>0.50271532110304862</v>
      </c>
      <c r="R11">
        <v>0.15986802709628622</v>
      </c>
      <c r="S11">
        <v>0.11836559468925213</v>
      </c>
      <c r="T11">
        <v>0.1450474025427031</v>
      </c>
      <c r="U11">
        <v>0.34337977837475303</v>
      </c>
      <c r="V11">
        <v>0</v>
      </c>
      <c r="W11">
        <v>0.84411344372543218</v>
      </c>
      <c r="X11">
        <v>0.32531110990624917</v>
      </c>
      <c r="Y11">
        <v>0.24472507783702094</v>
      </c>
      <c r="Z11">
        <v>0.3361569739197956</v>
      </c>
      <c r="AA11">
        <v>0.80356702776213873</v>
      </c>
      <c r="AC11" t="s">
        <v>108</v>
      </c>
      <c r="AD11" t="s">
        <v>109</v>
      </c>
      <c r="AE11">
        <v>0</v>
      </c>
      <c r="AF11">
        <v>0</v>
      </c>
      <c r="AG11">
        <v>0.31168131906385943</v>
      </c>
      <c r="AH11">
        <v>0.15375020736067535</v>
      </c>
      <c r="AI11">
        <v>7.5705350641002409E-2</v>
      </c>
      <c r="AJ11">
        <v>0.55555200247570513</v>
      </c>
      <c r="AK11">
        <v>0.97807047800851177</v>
      </c>
      <c r="AL11">
        <v>0.47040897162062806</v>
      </c>
      <c r="AM11">
        <v>0.13677129006581332</v>
      </c>
      <c r="AN11">
        <v>4.4822813576244042E-2</v>
      </c>
      <c r="AO11">
        <v>2.4012177961334497E-2</v>
      </c>
      <c r="AP11">
        <v>0.16460418861020351</v>
      </c>
      <c r="AQ11">
        <v>0.8647641465471525</v>
      </c>
      <c r="AR11">
        <v>0.35137512569197082</v>
      </c>
      <c r="AS11">
        <v>0.10000061732814708</v>
      </c>
      <c r="AT11">
        <v>3.7491125653296542E-2</v>
      </c>
      <c r="AU11">
        <v>1.8413355494128262E-2</v>
      </c>
      <c r="AV11">
        <v>0.15921820223158609</v>
      </c>
      <c r="AW11">
        <v>0</v>
      </c>
      <c r="AX11">
        <v>0.71257327470903209</v>
      </c>
      <c r="AY11">
        <v>0.18888633694015824</v>
      </c>
      <c r="AZ11">
        <v>6.5153663393566624E-2</v>
      </c>
      <c r="BA11">
        <v>2.5527861646239353E-2</v>
      </c>
      <c r="BB11">
        <v>0.30091738390568085</v>
      </c>
      <c r="BD11" t="s">
        <v>108</v>
      </c>
      <c r="BE11" t="s">
        <v>110</v>
      </c>
      <c r="BF11">
        <v>0</v>
      </c>
      <c r="BG11">
        <v>0</v>
      </c>
      <c r="BH11">
        <v>0</v>
      </c>
      <c r="BI11">
        <v>3.0148746088444465E-3</v>
      </c>
      <c r="BJ11">
        <v>0.17855295302070653</v>
      </c>
      <c r="BK11">
        <v>0.28012574133212653</v>
      </c>
      <c r="BL11">
        <v>0</v>
      </c>
      <c r="BM11">
        <v>0</v>
      </c>
      <c r="BN11">
        <v>0</v>
      </c>
      <c r="BO11">
        <v>5.2312584489279133E-2</v>
      </c>
      <c r="BP11">
        <v>9.2107953083686009E-2</v>
      </c>
      <c r="BQ11">
        <v>7.7781436372281201E-2</v>
      </c>
      <c r="BR11">
        <v>0</v>
      </c>
      <c r="BS11">
        <v>0</v>
      </c>
      <c r="BT11">
        <v>0</v>
      </c>
      <c r="BU11">
        <v>3.2858589652161027E-2</v>
      </c>
      <c r="BV11">
        <v>6.4746205986553979E-2</v>
      </c>
      <c r="BW11">
        <v>1.8959635495007517E-2</v>
      </c>
      <c r="BX11">
        <v>0</v>
      </c>
      <c r="BY11">
        <v>0</v>
      </c>
      <c r="BZ11">
        <v>0</v>
      </c>
      <c r="CA11">
        <v>6.3540063108231612E-2</v>
      </c>
      <c r="CB11">
        <v>0.17757648709628224</v>
      </c>
      <c r="CC11">
        <v>5.5797264103849657E-2</v>
      </c>
      <c r="CE11" t="s">
        <v>829</v>
      </c>
      <c r="CF11">
        <v>0</v>
      </c>
      <c r="CG11">
        <v>0</v>
      </c>
      <c r="CH11">
        <v>8.7423028301491401E-2</v>
      </c>
      <c r="CI11">
        <v>0.25148560266829501</v>
      </c>
      <c r="CJ11">
        <v>0.12489573493648862</v>
      </c>
      <c r="CK11">
        <v>1.7806460081621685E-3</v>
      </c>
      <c r="CL11">
        <v>1.1910878680944185E-5</v>
      </c>
      <c r="CM11">
        <v>3.0227823432725811E-2</v>
      </c>
      <c r="CN11">
        <v>0.3326814363476453</v>
      </c>
      <c r="CO11">
        <v>0.51740155295395773</v>
      </c>
      <c r="CP11">
        <v>0.37480193413374346</v>
      </c>
      <c r="CQ11">
        <v>6.2807043495548914E-2</v>
      </c>
      <c r="CR11">
        <v>2.4635333139897406E-4</v>
      </c>
      <c r="CS11">
        <v>4.8568242283299166E-2</v>
      </c>
      <c r="CT11">
        <v>0.36175880820745937</v>
      </c>
      <c r="CU11">
        <v>0.54190473830291741</v>
      </c>
      <c r="CV11">
        <v>0.41459821740191505</v>
      </c>
      <c r="CW11">
        <v>0.1023287830681131</v>
      </c>
      <c r="CX11">
        <v>0</v>
      </c>
      <c r="CY11">
        <v>7.0206688608055838E-3</v>
      </c>
      <c r="CZ11">
        <v>0.19299551368967416</v>
      </c>
      <c r="DA11">
        <v>0.33438648127724258</v>
      </c>
      <c r="DB11">
        <v>0.19187957386289567</v>
      </c>
      <c r="DC11">
        <v>1.0696044931572302E-2</v>
      </c>
      <c r="DE11" t="s">
        <v>829</v>
      </c>
      <c r="DF11" t="s">
        <v>111</v>
      </c>
      <c r="DG11" t="s">
        <v>112</v>
      </c>
      <c r="DH11">
        <v>0.49422667194612169</v>
      </c>
    </row>
    <row r="12" spans="2:112" x14ac:dyDescent="0.45">
      <c r="B12" t="s">
        <v>830</v>
      </c>
      <c r="C12" t="s">
        <v>107</v>
      </c>
      <c r="D12">
        <v>0</v>
      </c>
      <c r="E12">
        <v>0</v>
      </c>
      <c r="F12">
        <v>0.49137066242324956</v>
      </c>
      <c r="G12">
        <v>0.29655710471783708</v>
      </c>
      <c r="H12">
        <v>0.42880127215337099</v>
      </c>
      <c r="I12">
        <v>0.93908956742712779</v>
      </c>
      <c r="J12">
        <v>0.99088359810988158</v>
      </c>
      <c r="K12">
        <v>0.61916122709434462</v>
      </c>
      <c r="L12">
        <v>0.21872474523635491</v>
      </c>
      <c r="M12">
        <v>0.16910156422369674</v>
      </c>
      <c r="N12">
        <v>0.20417914597385611</v>
      </c>
      <c r="O12">
        <v>0.49028471726067485</v>
      </c>
      <c r="P12">
        <v>0.9319812795453406</v>
      </c>
      <c r="Q12">
        <v>0.49210814807648123</v>
      </c>
      <c r="R12">
        <v>0.1594772302874421</v>
      </c>
      <c r="S12">
        <v>0.12780609046159203</v>
      </c>
      <c r="T12">
        <v>0.15882585980866123</v>
      </c>
      <c r="U12">
        <v>0.35428618152799829</v>
      </c>
      <c r="V12">
        <v>0</v>
      </c>
      <c r="W12">
        <v>0.82649093813304075</v>
      </c>
      <c r="X12">
        <v>0.32534140439747572</v>
      </c>
      <c r="Y12">
        <v>0.24854332293331244</v>
      </c>
      <c r="Z12">
        <v>0.34154606369132812</v>
      </c>
      <c r="AA12">
        <v>0.81333731521783892</v>
      </c>
      <c r="AC12" t="s">
        <v>114</v>
      </c>
      <c r="AD12" t="s">
        <v>109</v>
      </c>
      <c r="AE12">
        <v>8.0565913319192196E-3</v>
      </c>
      <c r="AF12">
        <v>5.1094472143948652E-3</v>
      </c>
      <c r="AG12">
        <v>4.4994312944867925E-3</v>
      </c>
      <c r="AH12">
        <v>5.3771816565331585E-3</v>
      </c>
      <c r="AI12">
        <v>1.9668123366751613E-3</v>
      </c>
      <c r="AJ12">
        <v>2.8748262659656835E-3</v>
      </c>
      <c r="AK12">
        <v>1.4660048780264747E-2</v>
      </c>
      <c r="AL12">
        <v>6.6314069502946696E-3</v>
      </c>
      <c r="AM12">
        <v>4.86127553813965E-3</v>
      </c>
      <c r="AN12">
        <v>6.3051080053470165E-3</v>
      </c>
      <c r="AO12">
        <v>8.9402405898723579E-3</v>
      </c>
      <c r="AP12">
        <v>9.0028498486761192E-3</v>
      </c>
      <c r="AQ12">
        <v>2.8473569708442975E-2</v>
      </c>
      <c r="AR12">
        <v>2.4661637953221311E-2</v>
      </c>
      <c r="AS12">
        <v>6.2744067266236403E-3</v>
      </c>
      <c r="AT12">
        <v>1.6653411107336681E-2</v>
      </c>
      <c r="AU12">
        <v>1.7567299565515414E-2</v>
      </c>
      <c r="AV12">
        <v>1.9172746225150715E-2</v>
      </c>
      <c r="AW12">
        <v>1.4498610011788848E-2</v>
      </c>
      <c r="AX12">
        <v>1.2627659289929613E-2</v>
      </c>
      <c r="AY12">
        <v>7.8715160529508194E-3</v>
      </c>
      <c r="AZ12">
        <v>6.7572574155343951E-3</v>
      </c>
      <c r="BA12">
        <v>1.3671209304786141E-2</v>
      </c>
      <c r="BB12">
        <v>1.8926390677478647E-2</v>
      </c>
      <c r="BD12" t="s">
        <v>114</v>
      </c>
      <c r="BE12" t="s">
        <v>110</v>
      </c>
      <c r="BF12">
        <v>1.0778186990247376E-2</v>
      </c>
      <c r="BG12">
        <v>2.1463288954341929E-2</v>
      </c>
      <c r="BH12">
        <v>2.3162163502423498E-2</v>
      </c>
      <c r="BI12">
        <v>1.191464412035542E-2</v>
      </c>
      <c r="BJ12">
        <v>1.4774502499505158E-2</v>
      </c>
      <c r="BK12">
        <v>9.1619037531727229E-3</v>
      </c>
      <c r="BL12">
        <v>2.4229514853200684E-2</v>
      </c>
      <c r="BM12">
        <v>3.4883250112974516E-2</v>
      </c>
      <c r="BN12">
        <v>2.7801406425200133E-2</v>
      </c>
      <c r="BO12">
        <v>1.9059007817356626E-2</v>
      </c>
      <c r="BP12">
        <v>9.308869974775048E-3</v>
      </c>
      <c r="BQ12">
        <v>1.4452708510505886E-2</v>
      </c>
      <c r="BR12">
        <v>2.3088154810264588E-2</v>
      </c>
      <c r="BS12">
        <v>3.7626780809304483E-2</v>
      </c>
      <c r="BT12">
        <v>7.2466746571021604E-2</v>
      </c>
      <c r="BU12">
        <v>2.4271792028186124E-2</v>
      </c>
      <c r="BV12">
        <v>1.997456894422131E-2</v>
      </c>
      <c r="BW12">
        <v>2.1671082983147294E-2</v>
      </c>
      <c r="BX12">
        <v>4.6091624022822776E-2</v>
      </c>
      <c r="BY12">
        <v>1.9913919490925747E-2</v>
      </c>
      <c r="BZ12">
        <v>2.6352412353134604E-2</v>
      </c>
      <c r="CA12">
        <v>2.370414336835194E-2</v>
      </c>
      <c r="CB12">
        <v>1.6724306555535948E-2</v>
      </c>
      <c r="CC12">
        <v>2.3843012292517413E-2</v>
      </c>
      <c r="CE12" t="s">
        <v>830</v>
      </c>
      <c r="CF12">
        <v>0</v>
      </c>
      <c r="CG12">
        <v>0</v>
      </c>
      <c r="CH12">
        <v>8.3052760245772031E-2</v>
      </c>
      <c r="CI12">
        <v>0.21706634922388968</v>
      </c>
      <c r="CJ12">
        <v>0.10245827511278401</v>
      </c>
      <c r="CK12">
        <v>1.0296108934011151E-3</v>
      </c>
      <c r="CL12">
        <v>1.9426753671025987E-6</v>
      </c>
      <c r="CM12">
        <v>3.356452386814561E-2</v>
      </c>
      <c r="CN12">
        <v>0.32320646421379323</v>
      </c>
      <c r="CO12">
        <v>0.46005886629536036</v>
      </c>
      <c r="CP12">
        <v>0.30475201406684505</v>
      </c>
      <c r="CQ12">
        <v>4.9738709340503479E-2</v>
      </c>
      <c r="CR12">
        <v>1.5205618991464927E-4</v>
      </c>
      <c r="CS12">
        <v>5.2027453324541416E-2</v>
      </c>
      <c r="CT12">
        <v>0.35361574240611088</v>
      </c>
      <c r="CU12">
        <v>0.4953745503897462</v>
      </c>
      <c r="CV12">
        <v>0.36995519947253014</v>
      </c>
      <c r="CW12">
        <v>8.8772380343707089E-2</v>
      </c>
      <c r="CX12">
        <v>0</v>
      </c>
      <c r="CY12">
        <v>8.4866247852371339E-3</v>
      </c>
      <c r="CZ12">
        <v>0.19382007241737531</v>
      </c>
      <c r="DA12">
        <v>0.30831748364512235</v>
      </c>
      <c r="DB12">
        <v>0.16570493469310518</v>
      </c>
      <c r="DC12">
        <v>8.1092127942679303E-3</v>
      </c>
      <c r="DE12" t="s">
        <v>830</v>
      </c>
      <c r="DF12" t="s">
        <v>111</v>
      </c>
      <c r="DG12" t="s">
        <v>112</v>
      </c>
      <c r="DH12">
        <v>0.44079236223079088</v>
      </c>
    </row>
    <row r="13" spans="2:112" x14ac:dyDescent="0.45">
      <c r="B13" t="s">
        <v>831</v>
      </c>
      <c r="C13" t="s">
        <v>107</v>
      </c>
      <c r="D13">
        <v>0</v>
      </c>
      <c r="E13">
        <v>0</v>
      </c>
      <c r="F13">
        <v>0.4712655771625367</v>
      </c>
      <c r="G13">
        <v>0.2661809126022448</v>
      </c>
      <c r="H13">
        <v>0.38991084661056125</v>
      </c>
      <c r="I13">
        <v>0.9173722801188392</v>
      </c>
      <c r="J13">
        <v>0.98777173913043448</v>
      </c>
      <c r="K13">
        <v>0.66103783373746539</v>
      </c>
      <c r="L13">
        <v>0.24842253700265127</v>
      </c>
      <c r="M13">
        <v>0.19066575882465076</v>
      </c>
      <c r="N13">
        <v>0.20758028092043879</v>
      </c>
      <c r="O13">
        <v>0.46607141959160026</v>
      </c>
      <c r="P13">
        <v>0.92740293831189835</v>
      </c>
      <c r="Q13">
        <v>0.52646392500941241</v>
      </c>
      <c r="R13">
        <v>0.1892432472837367</v>
      </c>
      <c r="S13">
        <v>0.14176835196580295</v>
      </c>
      <c r="T13">
        <v>0.13985642594598749</v>
      </c>
      <c r="U13">
        <v>0.34418494460055965</v>
      </c>
      <c r="V13">
        <v>0</v>
      </c>
      <c r="W13">
        <v>0.84722318208514213</v>
      </c>
      <c r="X13">
        <v>0.31819672431784379</v>
      </c>
      <c r="Y13">
        <v>0.2410874802820869</v>
      </c>
      <c r="Z13">
        <v>0.35042324472085506</v>
      </c>
      <c r="AA13">
        <v>0.79851572040046004</v>
      </c>
      <c r="AC13" t="s">
        <v>116</v>
      </c>
      <c r="AD13" t="s">
        <v>109</v>
      </c>
      <c r="AE13">
        <v>6.5721833028043472E-3</v>
      </c>
      <c r="AF13">
        <v>3.9905665963186733E-3</v>
      </c>
      <c r="AG13">
        <v>6.8729571924930561E-3</v>
      </c>
      <c r="AH13">
        <v>1.0542676661845959E-2</v>
      </c>
      <c r="AI13">
        <v>6.0176458412577122E-3</v>
      </c>
      <c r="AJ13">
        <v>6.3477034750985418E-3</v>
      </c>
      <c r="AK13">
        <v>4.5800697375037924E-3</v>
      </c>
      <c r="AL13">
        <v>1.0452474202260287E-3</v>
      </c>
      <c r="AM13">
        <v>1.3871353317613414E-2</v>
      </c>
      <c r="AN13">
        <v>9.7151020673630871E-3</v>
      </c>
      <c r="AO13">
        <v>2.8843873139982892E-3</v>
      </c>
      <c r="AP13">
        <v>9.5942135146568699E-3</v>
      </c>
      <c r="AQ13">
        <v>2.0822542640111633E-2</v>
      </c>
      <c r="AR13">
        <v>5.9244022237637684E-3</v>
      </c>
      <c r="AS13">
        <v>1.1903275163513929E-2</v>
      </c>
      <c r="AT13">
        <v>2.2665856549204888E-2</v>
      </c>
      <c r="AU13">
        <v>2.4445282896585742E-2</v>
      </c>
      <c r="AV13">
        <v>1.5521356086805839E-2</v>
      </c>
      <c r="AW13">
        <v>8.0717183621652998E-3</v>
      </c>
      <c r="AX13">
        <v>1.4165756052866386E-2</v>
      </c>
      <c r="AY13">
        <v>1.1066992701769073E-2</v>
      </c>
      <c r="AZ13">
        <v>7.3598970037266793E-3</v>
      </c>
      <c r="BA13">
        <v>6.6296742715320498E-3</v>
      </c>
      <c r="BB13">
        <v>7.6097385438295972E-3</v>
      </c>
      <c r="BD13" t="s">
        <v>116</v>
      </c>
      <c r="BE13" t="s">
        <v>110</v>
      </c>
      <c r="BF13">
        <v>1.3963914057368078E-2</v>
      </c>
      <c r="BG13">
        <v>8.7587836874130041E-3</v>
      </c>
      <c r="BH13">
        <v>8.4246383446326834E-3</v>
      </c>
      <c r="BI13">
        <v>1.3411542186557879E-2</v>
      </c>
      <c r="BJ13">
        <v>1.6610425785059148E-2</v>
      </c>
      <c r="BK13">
        <v>1.6132263458091153E-2</v>
      </c>
      <c r="BL13">
        <v>1.7709715793893157E-2</v>
      </c>
      <c r="BM13">
        <v>6.4146716436099442E-3</v>
      </c>
      <c r="BN13">
        <v>7.787366631718199E-5</v>
      </c>
      <c r="BO13">
        <v>1.3109250576661716E-2</v>
      </c>
      <c r="BP13">
        <v>1.7916153818126942E-2</v>
      </c>
      <c r="BQ13">
        <v>4.8730219356168903E-3</v>
      </c>
      <c r="BR13">
        <v>2.2352523243310815E-2</v>
      </c>
      <c r="BS13">
        <v>3.908213834957526E-2</v>
      </c>
      <c r="BT13">
        <v>1.5740896412419464E-2</v>
      </c>
      <c r="BU13">
        <v>9.6251833294128362E-3</v>
      </c>
      <c r="BV13">
        <v>3.6021564560629639E-2</v>
      </c>
      <c r="BW13">
        <v>4.9791514309428235E-2</v>
      </c>
      <c r="BX13">
        <v>1.3522954467163548E-2</v>
      </c>
      <c r="BY13">
        <v>1.8932698291961269E-2</v>
      </c>
      <c r="BZ13">
        <v>3.1590290595424508E-2</v>
      </c>
      <c r="CA13">
        <v>1.554227216460588E-2</v>
      </c>
      <c r="CB13">
        <v>1.3057444176279166E-2</v>
      </c>
      <c r="CC13">
        <v>1.8373344209344895E-2</v>
      </c>
      <c r="CE13" t="s">
        <v>831</v>
      </c>
      <c r="CF13">
        <v>0</v>
      </c>
      <c r="CG13">
        <v>0</v>
      </c>
      <c r="CH13">
        <v>0.10165390285306738</v>
      </c>
      <c r="CI13">
        <v>0.2720465908554982</v>
      </c>
      <c r="CJ13">
        <v>0.14379948205552023</v>
      </c>
      <c r="CK13">
        <v>2.7457915401338513E-3</v>
      </c>
      <c r="CL13">
        <v>9.5554552695026299E-6</v>
      </c>
      <c r="CM13">
        <v>2.4953322982137136E-2</v>
      </c>
      <c r="CN13">
        <v>0.29789375230746917</v>
      </c>
      <c r="CO13">
        <v>0.45878884926209174</v>
      </c>
      <c r="CP13">
        <v>0.33458649710292765</v>
      </c>
      <c r="CQ13">
        <v>6.0680566697078171E-2</v>
      </c>
      <c r="CR13">
        <v>2.390495313824027E-4</v>
      </c>
      <c r="CS13">
        <v>4.1240417460968258E-2</v>
      </c>
      <c r="CT13">
        <v>0.33458097695471201</v>
      </c>
      <c r="CU13">
        <v>0.50823301843311663</v>
      </c>
      <c r="CV13">
        <v>0.40484283323229148</v>
      </c>
      <c r="CW13">
        <v>0.10465659902568597</v>
      </c>
      <c r="CX13">
        <v>0</v>
      </c>
      <c r="CY13">
        <v>6.252963543593012E-3</v>
      </c>
      <c r="CZ13">
        <v>0.18923077734561325</v>
      </c>
      <c r="DA13">
        <v>0.33242436889400662</v>
      </c>
      <c r="DB13">
        <v>0.18374714068082942</v>
      </c>
      <c r="DC13">
        <v>1.2197389927808864E-2</v>
      </c>
      <c r="DE13" t="s">
        <v>831</v>
      </c>
      <c r="DF13" t="s">
        <v>111</v>
      </c>
      <c r="DG13" t="s">
        <v>112</v>
      </c>
      <c r="DH13">
        <v>0.47668619582096144</v>
      </c>
    </row>
    <row r="14" spans="2:112" x14ac:dyDescent="0.45">
      <c r="B14" t="s">
        <v>832</v>
      </c>
      <c r="C14" t="s">
        <v>107</v>
      </c>
      <c r="D14">
        <v>0</v>
      </c>
      <c r="E14">
        <v>0</v>
      </c>
      <c r="F14">
        <v>0.47550635770385924</v>
      </c>
      <c r="G14">
        <v>0.28208261730745504</v>
      </c>
      <c r="H14">
        <v>0.38358255387972512</v>
      </c>
      <c r="I14">
        <v>0.91368585848955508</v>
      </c>
      <c r="J14">
        <v>0.99456521739130455</v>
      </c>
      <c r="K14">
        <v>0.66497241681340236</v>
      </c>
      <c r="L14">
        <v>0.26883227959613171</v>
      </c>
      <c r="M14">
        <v>0.20388506441501358</v>
      </c>
      <c r="N14">
        <v>0.2147480611082562</v>
      </c>
      <c r="O14">
        <v>0.46640867468113284</v>
      </c>
      <c r="P14">
        <v>0.93029470358076505</v>
      </c>
      <c r="Q14">
        <v>0.52521181913271719</v>
      </c>
      <c r="R14">
        <v>0.19616234144601402</v>
      </c>
      <c r="S14">
        <v>0.14850665821910985</v>
      </c>
      <c r="T14">
        <v>0.15466046511557885</v>
      </c>
      <c r="U14">
        <v>0.34366279496956487</v>
      </c>
      <c r="V14">
        <v>0</v>
      </c>
      <c r="W14">
        <v>0.84987296811340862</v>
      </c>
      <c r="X14">
        <v>0.32430853646244184</v>
      </c>
      <c r="Y14">
        <v>0.25423107764639014</v>
      </c>
      <c r="Z14">
        <v>0.35037066001033806</v>
      </c>
      <c r="AA14">
        <v>0.80210074143943833</v>
      </c>
      <c r="CE14" t="s">
        <v>832</v>
      </c>
      <c r="CF14">
        <v>0</v>
      </c>
      <c r="CG14">
        <v>0</v>
      </c>
      <c r="CH14">
        <v>9.6296638091704759E-2</v>
      </c>
      <c r="CI14">
        <v>0.26378925884642673</v>
      </c>
      <c r="CJ14">
        <v>0.14054366869755472</v>
      </c>
      <c r="CK14">
        <v>2.9937362128058102E-3</v>
      </c>
      <c r="CL14">
        <v>4.9326580388562595E-6</v>
      </c>
      <c r="CM14">
        <v>2.5375819350143582E-2</v>
      </c>
      <c r="CN14">
        <v>0.28181279906530637</v>
      </c>
      <c r="CO14">
        <v>0.43573979749951675</v>
      </c>
      <c r="CP14">
        <v>0.3021189967251342</v>
      </c>
      <c r="CQ14">
        <v>5.6517635368986768E-2</v>
      </c>
      <c r="CR14">
        <v>2.0282559222797991E-4</v>
      </c>
      <c r="CS14">
        <v>4.0556833543316476E-2</v>
      </c>
      <c r="CT14">
        <v>0.32871019187639805</v>
      </c>
      <c r="CU14">
        <v>0.48868599258687184</v>
      </c>
      <c r="CV14">
        <v>0.38136668773233029</v>
      </c>
      <c r="CW14">
        <v>9.944271936842268E-2</v>
      </c>
      <c r="CX14">
        <v>0</v>
      </c>
      <c r="CY14">
        <v>6.6637778401835044E-3</v>
      </c>
      <c r="CZ14">
        <v>0.19815015536295214</v>
      </c>
      <c r="DA14">
        <v>0.33083431211883552</v>
      </c>
      <c r="DB14">
        <v>0.17676687425980259</v>
      </c>
      <c r="DC14">
        <v>1.1924480362732527E-2</v>
      </c>
      <c r="DE14" t="s">
        <v>832</v>
      </c>
      <c r="DF14" t="s">
        <v>111</v>
      </c>
      <c r="DG14" t="s">
        <v>112</v>
      </c>
      <c r="DH14">
        <v>0.43046574019219563</v>
      </c>
    </row>
    <row r="15" spans="2:112" x14ac:dyDescent="0.45">
      <c r="B15" t="s">
        <v>833</v>
      </c>
      <c r="C15" t="s">
        <v>107</v>
      </c>
      <c r="D15">
        <v>0</v>
      </c>
      <c r="E15">
        <v>0</v>
      </c>
      <c r="F15">
        <v>0.48032913568454239</v>
      </c>
      <c r="G15">
        <v>0.30091584526666199</v>
      </c>
      <c r="H15">
        <v>0.41175342136740151</v>
      </c>
      <c r="I15">
        <v>0.92472402082138505</v>
      </c>
      <c r="J15">
        <v>0.99320652173913082</v>
      </c>
      <c r="K15">
        <v>0.64576576671489516</v>
      </c>
      <c r="L15">
        <v>0.24939252291477881</v>
      </c>
      <c r="M15">
        <v>0.2029562800560302</v>
      </c>
      <c r="N15">
        <v>0.22185197515205315</v>
      </c>
      <c r="O15">
        <v>0.47762141034498745</v>
      </c>
      <c r="P15">
        <v>0.93431466001953922</v>
      </c>
      <c r="Q15">
        <v>0.51412180506975624</v>
      </c>
      <c r="R15">
        <v>0.18493084620773897</v>
      </c>
      <c r="S15">
        <v>0.1519662170396637</v>
      </c>
      <c r="T15">
        <v>0.16047720266377755</v>
      </c>
      <c r="U15">
        <v>0.35065232024402065</v>
      </c>
      <c r="V15">
        <v>0</v>
      </c>
      <c r="W15">
        <v>0.84365699917855808</v>
      </c>
      <c r="X15">
        <v>0.32712186033681928</v>
      </c>
      <c r="Y15">
        <v>0.24659147578134843</v>
      </c>
      <c r="Z15">
        <v>0.35258565996229702</v>
      </c>
      <c r="AA15">
        <v>0.80544980558263957</v>
      </c>
      <c r="CE15" t="s">
        <v>833</v>
      </c>
      <c r="CF15">
        <v>0</v>
      </c>
      <c r="CG15">
        <v>0</v>
      </c>
      <c r="CH15">
        <v>9.6575302546342098E-2</v>
      </c>
      <c r="CI15">
        <v>0.25585684938468656</v>
      </c>
      <c r="CJ15">
        <v>0.12361877968193243</v>
      </c>
      <c r="CK15">
        <v>1.77113372777799E-3</v>
      </c>
      <c r="CL15">
        <v>3.0646300186866956E-6</v>
      </c>
      <c r="CM15">
        <v>2.755442301744326E-2</v>
      </c>
      <c r="CN15">
        <v>0.30259137179307866</v>
      </c>
      <c r="CO15">
        <v>0.4323605779420025</v>
      </c>
      <c r="CP15">
        <v>0.29283802159976913</v>
      </c>
      <c r="CQ15">
        <v>5.1278611600732348E-2</v>
      </c>
      <c r="CR15">
        <v>1.6484699870711466E-4</v>
      </c>
      <c r="CS15">
        <v>4.3534086916016179E-2</v>
      </c>
      <c r="CT15">
        <v>0.32452409043797781</v>
      </c>
      <c r="CU15">
        <v>0.47035602150434136</v>
      </c>
      <c r="CV15">
        <v>0.35975968030919914</v>
      </c>
      <c r="CW15">
        <v>9.1262499605922892E-2</v>
      </c>
      <c r="CX15">
        <v>0</v>
      </c>
      <c r="CY15">
        <v>7.6198579035250949E-3</v>
      </c>
      <c r="CZ15">
        <v>0.19462015324893162</v>
      </c>
      <c r="DA15">
        <v>0.31994154284775644</v>
      </c>
      <c r="DB15">
        <v>0.16428029486903301</v>
      </c>
      <c r="DC15">
        <v>9.9732550636854739E-3</v>
      </c>
      <c r="DE15" t="s">
        <v>833</v>
      </c>
      <c r="DF15" t="s">
        <v>111</v>
      </c>
      <c r="DG15" t="s">
        <v>112</v>
      </c>
      <c r="DH15">
        <v>0.41574416505627848</v>
      </c>
    </row>
    <row r="16" spans="2:112" x14ac:dyDescent="0.45">
      <c r="B16" t="s">
        <v>834</v>
      </c>
      <c r="C16" t="s">
        <v>107</v>
      </c>
      <c r="D16">
        <v>0</v>
      </c>
      <c r="E16">
        <v>0</v>
      </c>
      <c r="F16">
        <v>0.46926447875839378</v>
      </c>
      <c r="G16">
        <v>0.2843346560565751</v>
      </c>
      <c r="H16">
        <v>0.40817091109768699</v>
      </c>
      <c r="I16">
        <v>0.92546603183400133</v>
      </c>
      <c r="J16">
        <v>0.98998647627954317</v>
      </c>
      <c r="K16">
        <v>0.63280422256085112</v>
      </c>
      <c r="L16">
        <v>0.2341659715889759</v>
      </c>
      <c r="M16">
        <v>0.18070885387297947</v>
      </c>
      <c r="N16">
        <v>0.20183606137124835</v>
      </c>
      <c r="O16">
        <v>0.47838280867279265</v>
      </c>
      <c r="P16">
        <v>0.92955018443495818</v>
      </c>
      <c r="Q16">
        <v>0.50978054821700836</v>
      </c>
      <c r="R16">
        <v>0.1724313761492296</v>
      </c>
      <c r="S16">
        <v>0.13409104875431258</v>
      </c>
      <c r="T16">
        <v>0.14921295822383909</v>
      </c>
      <c r="U16">
        <v>0.34765049023247852</v>
      </c>
      <c r="V16">
        <v>0</v>
      </c>
      <c r="W16">
        <v>0.84086022423599827</v>
      </c>
      <c r="X16">
        <v>0.32641130186682199</v>
      </c>
      <c r="Y16">
        <v>0.2426329680846121</v>
      </c>
      <c r="Z16">
        <v>0.33702687026208233</v>
      </c>
      <c r="AA16">
        <v>0.80257546955240622</v>
      </c>
      <c r="CE16" t="s">
        <v>834</v>
      </c>
      <c r="CF16">
        <v>0</v>
      </c>
      <c r="CG16">
        <v>0</v>
      </c>
      <c r="CH16">
        <v>9.5877134564726685E-2</v>
      </c>
      <c r="CI16">
        <v>0.25859190724046371</v>
      </c>
      <c r="CJ16">
        <v>0.12317884291947884</v>
      </c>
      <c r="CK16">
        <v>1.6520158963096178E-3</v>
      </c>
      <c r="CL16">
        <v>5.7471839647020443E-6</v>
      </c>
      <c r="CM16">
        <v>2.8402561087301489E-2</v>
      </c>
      <c r="CN16">
        <v>0.30969344476430577</v>
      </c>
      <c r="CO16">
        <v>0.45636645313044405</v>
      </c>
      <c r="CP16">
        <v>0.31317687844351344</v>
      </c>
      <c r="CQ16">
        <v>5.4933248525089275E-2</v>
      </c>
      <c r="CR16">
        <v>2.0001926541183494E-4</v>
      </c>
      <c r="CS16">
        <v>4.5413041530785646E-2</v>
      </c>
      <c r="CT16">
        <v>0.33503260863471335</v>
      </c>
      <c r="CU16">
        <v>0.49431315570598466</v>
      </c>
      <c r="CV16">
        <v>0.38047166799161081</v>
      </c>
      <c r="CW16">
        <v>9.6348256817083283E-2</v>
      </c>
      <c r="CX16">
        <v>0</v>
      </c>
      <c r="CY16">
        <v>7.427875036396696E-3</v>
      </c>
      <c r="CZ16">
        <v>0.19213977357400602</v>
      </c>
      <c r="DA16">
        <v>0.32070095612564459</v>
      </c>
      <c r="DB16">
        <v>0.17392783661780739</v>
      </c>
      <c r="DC16">
        <v>9.9078033069432518E-3</v>
      </c>
      <c r="DE16" t="s">
        <v>834</v>
      </c>
      <c r="DF16" t="s">
        <v>111</v>
      </c>
      <c r="DG16" t="s">
        <v>112</v>
      </c>
      <c r="DH16">
        <v>0.44970959491065504</v>
      </c>
    </row>
    <row r="17" spans="2:112" x14ac:dyDescent="0.45">
      <c r="B17" t="s">
        <v>835</v>
      </c>
      <c r="C17" t="s">
        <v>107</v>
      </c>
      <c r="D17">
        <v>0</v>
      </c>
      <c r="E17">
        <v>0</v>
      </c>
      <c r="F17">
        <v>0.49306398112297156</v>
      </c>
      <c r="G17">
        <v>0.31856369577174887</v>
      </c>
      <c r="H17">
        <v>0.43893151219275089</v>
      </c>
      <c r="I17">
        <v>0.94104968323766003</v>
      </c>
      <c r="J17">
        <v>0.99864130434782605</v>
      </c>
      <c r="K17">
        <v>0.61844274411080746</v>
      </c>
      <c r="L17">
        <v>0.22865898690579209</v>
      </c>
      <c r="M17">
        <v>0.19122074758491109</v>
      </c>
      <c r="N17">
        <v>0.21859710809048494</v>
      </c>
      <c r="O17">
        <v>0.49162460426075349</v>
      </c>
      <c r="P17">
        <v>0.93800537574677245</v>
      </c>
      <c r="Q17">
        <v>0.49235461102526623</v>
      </c>
      <c r="R17">
        <v>0.16938452387116065</v>
      </c>
      <c r="S17">
        <v>0.13465867963874351</v>
      </c>
      <c r="T17">
        <v>0.16202432229123831</v>
      </c>
      <c r="U17">
        <v>0.35490955193710128</v>
      </c>
      <c r="V17">
        <v>0</v>
      </c>
      <c r="W17">
        <v>0.82114935189065874</v>
      </c>
      <c r="X17">
        <v>0.33357909789877055</v>
      </c>
      <c r="Y17">
        <v>0.26465593490215167</v>
      </c>
      <c r="Z17">
        <v>0.35579262045931243</v>
      </c>
      <c r="AA17">
        <v>0.81557320034253145</v>
      </c>
      <c r="CE17" t="s">
        <v>835</v>
      </c>
      <c r="CF17">
        <v>0</v>
      </c>
      <c r="CG17">
        <v>0</v>
      </c>
      <c r="CH17">
        <v>8.5126400906888763E-2</v>
      </c>
      <c r="CI17">
        <v>0.21706925638589705</v>
      </c>
      <c r="CJ17">
        <v>0.10255480504558416</v>
      </c>
      <c r="CK17">
        <v>9.1560340861392467E-4</v>
      </c>
      <c r="CL17">
        <v>1.439719141717306E-8</v>
      </c>
      <c r="CM17">
        <v>3.2890292232715376E-2</v>
      </c>
      <c r="CN17">
        <v>0.3131631562654445</v>
      </c>
      <c r="CO17">
        <v>0.44451452853952206</v>
      </c>
      <c r="CP17">
        <v>0.29438866345779419</v>
      </c>
      <c r="CQ17">
        <v>4.5362931698804232E-2</v>
      </c>
      <c r="CR17">
        <v>9.6808374232296938E-5</v>
      </c>
      <c r="CS17">
        <v>5.1317985992336161E-2</v>
      </c>
      <c r="CT17">
        <v>0.34440843832104684</v>
      </c>
      <c r="CU17">
        <v>0.47381135730169488</v>
      </c>
      <c r="CV17">
        <v>0.35183645331907815</v>
      </c>
      <c r="CW17">
        <v>8.3252538159971218E-2</v>
      </c>
      <c r="CX17">
        <v>0</v>
      </c>
      <c r="CY17">
        <v>8.7603477628122473E-3</v>
      </c>
      <c r="CZ17">
        <v>0.195088227511304</v>
      </c>
      <c r="DA17">
        <v>0.3039098029945409</v>
      </c>
      <c r="DB17">
        <v>0.15706708769724692</v>
      </c>
      <c r="DC17">
        <v>7.0359499608562727E-3</v>
      </c>
      <c r="DE17" t="s">
        <v>835</v>
      </c>
      <c r="DF17" t="s">
        <v>111</v>
      </c>
      <c r="DG17" t="s">
        <v>112</v>
      </c>
      <c r="DH17">
        <v>0.42660324339071143</v>
      </c>
    </row>
    <row r="18" spans="2:112" x14ac:dyDescent="0.45">
      <c r="B18" t="s">
        <v>836</v>
      </c>
      <c r="C18" t="s">
        <v>107</v>
      </c>
      <c r="D18">
        <v>0</v>
      </c>
      <c r="E18">
        <v>0</v>
      </c>
      <c r="F18">
        <v>0.47925401955581454</v>
      </c>
      <c r="G18">
        <v>0.30643669666667683</v>
      </c>
      <c r="H18">
        <v>0.42520365627060058</v>
      </c>
      <c r="I18">
        <v>0.93578522513352191</v>
      </c>
      <c r="J18">
        <v>0.99456521739130443</v>
      </c>
      <c r="K18">
        <v>0.62277127300663171</v>
      </c>
      <c r="L18">
        <v>0.23302596330524478</v>
      </c>
      <c r="M18">
        <v>0.18798995742246638</v>
      </c>
      <c r="N18">
        <v>0.2112394243242485</v>
      </c>
      <c r="O18">
        <v>0.49147802513851002</v>
      </c>
      <c r="P18">
        <v>0.93603047765764724</v>
      </c>
      <c r="Q18">
        <v>0.50124493713228546</v>
      </c>
      <c r="R18">
        <v>0.17394664995518772</v>
      </c>
      <c r="S18">
        <v>0.13721296173069478</v>
      </c>
      <c r="T18">
        <v>0.16115869916996611</v>
      </c>
      <c r="U18">
        <v>0.35019398087233261</v>
      </c>
      <c r="V18">
        <v>0</v>
      </c>
      <c r="W18">
        <v>0.83222604794829413</v>
      </c>
      <c r="X18">
        <v>0.33405685940298291</v>
      </c>
      <c r="Y18">
        <v>0.25803474339028448</v>
      </c>
      <c r="Z18">
        <v>0.34969681376632139</v>
      </c>
      <c r="AA18">
        <v>0.80985085936580348</v>
      </c>
      <c r="CE18" t="s">
        <v>836</v>
      </c>
      <c r="CF18">
        <v>0</v>
      </c>
      <c r="CG18">
        <v>0</v>
      </c>
      <c r="CH18">
        <v>8.9426411335340683E-2</v>
      </c>
      <c r="CI18">
        <v>0.23198164064193871</v>
      </c>
      <c r="CJ18">
        <v>0.11058607632660707</v>
      </c>
      <c r="CK18">
        <v>1.2252636917437873E-3</v>
      </c>
      <c r="CL18">
        <v>9.9720590915269664E-7</v>
      </c>
      <c r="CM18">
        <v>3.0627221245363632E-2</v>
      </c>
      <c r="CN18">
        <v>0.3093317180421517</v>
      </c>
      <c r="CO18">
        <v>0.44089433265243011</v>
      </c>
      <c r="CP18">
        <v>0.29601601349348355</v>
      </c>
      <c r="CQ18">
        <v>4.847195534704829E-2</v>
      </c>
      <c r="CR18">
        <v>1.3549980644027179E-4</v>
      </c>
      <c r="CS18">
        <v>4.8372543216781312E-2</v>
      </c>
      <c r="CT18">
        <v>0.33581509836697404</v>
      </c>
      <c r="CU18">
        <v>0.4775322400376778</v>
      </c>
      <c r="CV18">
        <v>0.35619562074861683</v>
      </c>
      <c r="CW18">
        <v>8.7274264589998152E-2</v>
      </c>
      <c r="CX18">
        <v>0</v>
      </c>
      <c r="CY18">
        <v>8.2678589771162225E-3</v>
      </c>
      <c r="CZ18">
        <v>0.19590799915245277</v>
      </c>
      <c r="DA18">
        <v>0.3118343077485029</v>
      </c>
      <c r="DB18">
        <v>0.16206716090279458</v>
      </c>
      <c r="DC18">
        <v>7.8843455742733711E-3</v>
      </c>
      <c r="DE18" t="s">
        <v>836</v>
      </c>
      <c r="DF18" t="s">
        <v>111</v>
      </c>
      <c r="DG18" t="s">
        <v>112</v>
      </c>
      <c r="DH18">
        <v>0.4206242965567496</v>
      </c>
    </row>
    <row r="19" spans="2:112" x14ac:dyDescent="0.45">
      <c r="B19" t="s">
        <v>837</v>
      </c>
      <c r="C19" t="s">
        <v>107</v>
      </c>
      <c r="D19">
        <v>0</v>
      </c>
      <c r="E19">
        <v>0</v>
      </c>
      <c r="F19">
        <v>0.47506221456083769</v>
      </c>
      <c r="G19">
        <v>0.28330075721520226</v>
      </c>
      <c r="H19">
        <v>0.40029364274738849</v>
      </c>
      <c r="I19">
        <v>0.9269835033613667</v>
      </c>
      <c r="J19">
        <v>0</v>
      </c>
      <c r="K19">
        <v>0.64454583862422488</v>
      </c>
      <c r="L19">
        <v>0.25805275096367108</v>
      </c>
      <c r="M19">
        <v>0.20936606608914285</v>
      </c>
      <c r="N19">
        <v>0.21646572874378506</v>
      </c>
      <c r="O19">
        <v>0.48183253381551561</v>
      </c>
      <c r="P19">
        <v>0.94317434019755397</v>
      </c>
      <c r="Q19">
        <v>0.5136306935360696</v>
      </c>
      <c r="R19">
        <v>0.18707660135907297</v>
      </c>
      <c r="S19">
        <v>0.14132066213048003</v>
      </c>
      <c r="T19">
        <v>0.15462581684536494</v>
      </c>
      <c r="U19">
        <v>0.35839536597391064</v>
      </c>
      <c r="V19">
        <v>0</v>
      </c>
      <c r="W19">
        <v>0.84018629771668774</v>
      </c>
      <c r="X19">
        <v>0.33874687564301753</v>
      </c>
      <c r="Y19">
        <v>0.25133945644606692</v>
      </c>
      <c r="Z19">
        <v>0.35730404341936162</v>
      </c>
      <c r="AA19">
        <v>0.80717216639453482</v>
      </c>
      <c r="CE19" t="s">
        <v>837</v>
      </c>
      <c r="CF19">
        <v>0</v>
      </c>
      <c r="CG19">
        <v>0</v>
      </c>
      <c r="CH19">
        <v>8.8235216446132636E-2</v>
      </c>
      <c r="CI19">
        <v>0.24289961068840385</v>
      </c>
      <c r="CJ19">
        <v>0.11574948880652654</v>
      </c>
      <c r="CK19">
        <v>1.6010179577846874E-3</v>
      </c>
      <c r="CL19">
        <v>0</v>
      </c>
      <c r="CM19">
        <v>2.8888241530250703E-2</v>
      </c>
      <c r="CN19">
        <v>0.30130021551778718</v>
      </c>
      <c r="CO19">
        <v>0.43774305299388805</v>
      </c>
      <c r="CP19">
        <v>0.29097269381497703</v>
      </c>
      <c r="CQ19">
        <v>4.9213632920942441E-2</v>
      </c>
      <c r="CR19">
        <v>9.4867691974304935E-5</v>
      </c>
      <c r="CS19">
        <v>4.5633343975014277E-2</v>
      </c>
      <c r="CT19">
        <v>0.33230923541189977</v>
      </c>
      <c r="CU19">
        <v>0.48607302449499573</v>
      </c>
      <c r="CV19">
        <v>0.35943621575501405</v>
      </c>
      <c r="CW19">
        <v>8.6535083816530994E-2</v>
      </c>
      <c r="CX19">
        <v>0</v>
      </c>
      <c r="CY19">
        <v>8.4296679422540041E-3</v>
      </c>
      <c r="CZ19">
        <v>0.19731403571011813</v>
      </c>
      <c r="DA19">
        <v>0.3181937246384014</v>
      </c>
      <c r="DB19">
        <v>0.16714854005519558</v>
      </c>
      <c r="DC19">
        <v>9.2441869660965636E-3</v>
      </c>
      <c r="DE19" t="s">
        <v>837</v>
      </c>
      <c r="DF19" t="s">
        <v>111</v>
      </c>
      <c r="DG19" t="s">
        <v>112</v>
      </c>
      <c r="DH19">
        <v>0.40447088449967872</v>
      </c>
    </row>
    <row r="20" spans="2:112" x14ac:dyDescent="0.45">
      <c r="B20" t="s">
        <v>838</v>
      </c>
      <c r="C20" t="s">
        <v>107</v>
      </c>
      <c r="D20">
        <v>0</v>
      </c>
      <c r="E20">
        <v>0</v>
      </c>
      <c r="F20">
        <v>0.48938345366625075</v>
      </c>
      <c r="G20">
        <v>0.31265252212402134</v>
      </c>
      <c r="H20">
        <v>0.42111291179496435</v>
      </c>
      <c r="I20">
        <v>0.93302206677618305</v>
      </c>
      <c r="J20">
        <v>0.99864130434782594</v>
      </c>
      <c r="K20">
        <v>0.63555462731115664</v>
      </c>
      <c r="L20">
        <v>0.25211444103987318</v>
      </c>
      <c r="M20">
        <v>0.20641841386651713</v>
      </c>
      <c r="N20">
        <v>0.2218932568226093</v>
      </c>
      <c r="O20">
        <v>0.48777310012536568</v>
      </c>
      <c r="P20">
        <v>0.93991476767979243</v>
      </c>
      <c r="Q20">
        <v>0.50373014141861461</v>
      </c>
      <c r="R20">
        <v>0.17997700833657709</v>
      </c>
      <c r="S20">
        <v>0.14565325335139429</v>
      </c>
      <c r="T20">
        <v>0.1654333350153479</v>
      </c>
      <c r="U20">
        <v>0.3550463182487501</v>
      </c>
      <c r="V20">
        <v>0</v>
      </c>
      <c r="W20">
        <v>0.83264817417455572</v>
      </c>
      <c r="X20">
        <v>0.34203511228108729</v>
      </c>
      <c r="Y20">
        <v>0.26165016445922562</v>
      </c>
      <c r="Z20">
        <v>0.36618708440132153</v>
      </c>
      <c r="AA20">
        <v>0.8138363141912317</v>
      </c>
      <c r="CE20" t="s">
        <v>838</v>
      </c>
      <c r="CF20">
        <v>0</v>
      </c>
      <c r="CG20">
        <v>0</v>
      </c>
      <c r="CH20">
        <v>8.9568476579749284E-2</v>
      </c>
      <c r="CI20">
        <v>0.23788788632524235</v>
      </c>
      <c r="CJ20">
        <v>0.11203517772466545</v>
      </c>
      <c r="CK20">
        <v>1.1789064894535976E-3</v>
      </c>
      <c r="CL20">
        <v>1.9569045869739848E-7</v>
      </c>
      <c r="CM20">
        <v>3.0417527664964007E-2</v>
      </c>
      <c r="CN20">
        <v>0.30989124016681063</v>
      </c>
      <c r="CO20">
        <v>0.44109932979757804</v>
      </c>
      <c r="CP20">
        <v>0.29361964549963782</v>
      </c>
      <c r="CQ20">
        <v>4.7251410134816506E-2</v>
      </c>
      <c r="CR20">
        <v>1.0121184300260211E-4</v>
      </c>
      <c r="CS20">
        <v>4.712779357803653E-2</v>
      </c>
      <c r="CT20">
        <v>0.33720301159158134</v>
      </c>
      <c r="CU20">
        <v>0.47484322812786139</v>
      </c>
      <c r="CV20">
        <v>0.34837536254654761</v>
      </c>
      <c r="CW20">
        <v>8.5227314148827296E-2</v>
      </c>
      <c r="CX20">
        <v>0</v>
      </c>
      <c r="CY20">
        <v>8.2478047497716034E-3</v>
      </c>
      <c r="CZ20">
        <v>0.19709757260953489</v>
      </c>
      <c r="DA20">
        <v>0.31294173713527867</v>
      </c>
      <c r="DB20">
        <v>0.15714899093541843</v>
      </c>
      <c r="DC20">
        <v>7.8235109779268321E-3</v>
      </c>
      <c r="DE20" t="s">
        <v>838</v>
      </c>
      <c r="DF20" t="s">
        <v>111</v>
      </c>
      <c r="DG20" t="s">
        <v>112</v>
      </c>
      <c r="DH20">
        <v>0.4231750237607006</v>
      </c>
    </row>
    <row r="21" spans="2:112" x14ac:dyDescent="0.45">
      <c r="B21" t="s">
        <v>839</v>
      </c>
      <c r="C21" t="s">
        <v>107</v>
      </c>
      <c r="D21">
        <v>0.24567507773459252</v>
      </c>
      <c r="E21">
        <v>0.2390437271674872</v>
      </c>
      <c r="F21">
        <v>0.26026839164095594</v>
      </c>
      <c r="G21">
        <v>0.28028124402072296</v>
      </c>
      <c r="H21">
        <v>0.26069898094303412</v>
      </c>
      <c r="I21">
        <v>0.2385721695755075</v>
      </c>
      <c r="J21">
        <v>0.26588117775919617</v>
      </c>
      <c r="K21">
        <v>0.27820090646542323</v>
      </c>
      <c r="L21">
        <v>0.28519040409996033</v>
      </c>
      <c r="M21">
        <v>0.29464269737973797</v>
      </c>
      <c r="N21">
        <v>0.26543300636731282</v>
      </c>
      <c r="O21">
        <v>0.24448635132554467</v>
      </c>
      <c r="P21">
        <v>0.33286357385674586</v>
      </c>
      <c r="Q21">
        <v>0.32529867610395163</v>
      </c>
      <c r="R21">
        <v>0.34545215939389801</v>
      </c>
      <c r="S21">
        <v>0.35762791166422508</v>
      </c>
      <c r="T21">
        <v>0.36314547361942662</v>
      </c>
      <c r="U21">
        <v>0.36845511020760785</v>
      </c>
      <c r="V21">
        <v>0.27928468637349646</v>
      </c>
      <c r="W21">
        <v>0.28065387242251016</v>
      </c>
      <c r="X21">
        <v>0.28652435999822373</v>
      </c>
      <c r="Y21">
        <v>0.27945936621816247</v>
      </c>
      <c r="Z21">
        <v>0.29702894117722983</v>
      </c>
      <c r="AA21">
        <v>0.29414422420662462</v>
      </c>
      <c r="CE21" t="s">
        <v>839</v>
      </c>
      <c r="CF21">
        <v>0.63844353103324669</v>
      </c>
      <c r="CG21">
        <v>0.63253746163035329</v>
      </c>
      <c r="CH21">
        <v>0.60807365953353132</v>
      </c>
      <c r="CI21">
        <v>0.58651975044566729</v>
      </c>
      <c r="CJ21">
        <v>0.61322002618797811</v>
      </c>
      <c r="CK21">
        <v>0.65260261034386025</v>
      </c>
      <c r="CL21">
        <v>0.56667323364419409</v>
      </c>
      <c r="CM21">
        <v>0.55499061814866169</v>
      </c>
      <c r="CN21">
        <v>0.5416037337428492</v>
      </c>
      <c r="CO21">
        <v>0.54259035211272433</v>
      </c>
      <c r="CP21">
        <v>0.57356699493011809</v>
      </c>
      <c r="CQ21">
        <v>0.60158045329423482</v>
      </c>
      <c r="CR21">
        <v>0.4254590639605379</v>
      </c>
      <c r="CS21">
        <v>0.39830651128684857</v>
      </c>
      <c r="CT21">
        <v>0.35884989414109336</v>
      </c>
      <c r="CU21">
        <v>0.35668859224381816</v>
      </c>
      <c r="CV21">
        <v>0.38796044248105632</v>
      </c>
      <c r="CW21">
        <v>0.40899367180342477</v>
      </c>
      <c r="CX21">
        <v>0.58210546733615764</v>
      </c>
      <c r="CY21">
        <v>0.57386879800053847</v>
      </c>
      <c r="CZ21">
        <v>0.57068164793359999</v>
      </c>
      <c r="DA21">
        <v>0.57583281828257704</v>
      </c>
      <c r="DB21">
        <v>0.57923418156045314</v>
      </c>
      <c r="DC21">
        <v>0.59509578493897952</v>
      </c>
      <c r="DE21" t="s">
        <v>840</v>
      </c>
      <c r="DF21" t="s">
        <v>111</v>
      </c>
      <c r="DG21" t="s">
        <v>112</v>
      </c>
      <c r="DH21">
        <v>0.42651700198492354</v>
      </c>
    </row>
    <row r="22" spans="2:112" x14ac:dyDescent="0.45">
      <c r="B22" t="s">
        <v>841</v>
      </c>
      <c r="C22" t="s">
        <v>107</v>
      </c>
      <c r="D22">
        <v>0.23772520048378865</v>
      </c>
      <c r="E22">
        <v>0.24952191250819933</v>
      </c>
      <c r="F22">
        <v>0.25282206960552989</v>
      </c>
      <c r="G22">
        <v>0.2565983804674094</v>
      </c>
      <c r="H22">
        <v>0.25129031120323181</v>
      </c>
      <c r="I22">
        <v>0.22779333385447539</v>
      </c>
      <c r="J22">
        <v>0.2881246260302649</v>
      </c>
      <c r="K22">
        <v>0.28083625628399472</v>
      </c>
      <c r="L22">
        <v>0.2713540344162696</v>
      </c>
      <c r="M22">
        <v>0.26410081880034969</v>
      </c>
      <c r="N22">
        <v>0.25072170741116978</v>
      </c>
      <c r="O22">
        <v>0.25046651185776514</v>
      </c>
      <c r="P22">
        <v>0.32753044636712697</v>
      </c>
      <c r="Q22">
        <v>0.33564351516125829</v>
      </c>
      <c r="R22">
        <v>0.35208892012809123</v>
      </c>
      <c r="S22">
        <v>0.35222211570930245</v>
      </c>
      <c r="T22">
        <v>0.34713279407394887</v>
      </c>
      <c r="U22">
        <v>0.33248743344062254</v>
      </c>
      <c r="V22">
        <v>0.25535293918700142</v>
      </c>
      <c r="W22">
        <v>0.25119483798684739</v>
      </c>
      <c r="X22">
        <v>0.2577537412875483</v>
      </c>
      <c r="Y22">
        <v>0.25298463236170415</v>
      </c>
      <c r="Z22">
        <v>0.24966353502861258</v>
      </c>
      <c r="AA22">
        <v>0.26242698702135298</v>
      </c>
      <c r="CE22" t="s">
        <v>841</v>
      </c>
      <c r="CF22">
        <v>0.65491200639614056</v>
      </c>
      <c r="CG22">
        <v>0.64615901462707881</v>
      </c>
      <c r="CH22">
        <v>0.64357070779488246</v>
      </c>
      <c r="CI22">
        <v>0.64084379088383647</v>
      </c>
      <c r="CJ22">
        <v>0.64286104027457813</v>
      </c>
      <c r="CK22">
        <v>0.66443082525705299</v>
      </c>
      <c r="CL22">
        <v>0.58235228862711508</v>
      </c>
      <c r="CM22">
        <v>0.57394153437021689</v>
      </c>
      <c r="CN22">
        <v>0.57897278769920324</v>
      </c>
      <c r="CO22">
        <v>0.5914594849008068</v>
      </c>
      <c r="CP22">
        <v>0.60805193787487899</v>
      </c>
      <c r="CQ22">
        <v>0.61106724289171666</v>
      </c>
      <c r="CR22">
        <v>0.40999341754223162</v>
      </c>
      <c r="CS22">
        <v>0.4117697147056511</v>
      </c>
      <c r="CT22">
        <v>0.38032532589631562</v>
      </c>
      <c r="CU22">
        <v>0.37053559201708791</v>
      </c>
      <c r="CV22">
        <v>0.37439958884320018</v>
      </c>
      <c r="CW22">
        <v>0.37405138694009732</v>
      </c>
      <c r="CX22">
        <v>0.6181432965274255</v>
      </c>
      <c r="CY22">
        <v>0.62608580333487751</v>
      </c>
      <c r="CZ22">
        <v>0.61730231035964722</v>
      </c>
      <c r="DA22">
        <v>0.62248180760411831</v>
      </c>
      <c r="DB22">
        <v>0.63141576933585819</v>
      </c>
      <c r="DC22">
        <v>0.62777356127440764</v>
      </c>
      <c r="DE22" t="s">
        <v>842</v>
      </c>
      <c r="DF22" t="s">
        <v>111</v>
      </c>
      <c r="DG22" t="s">
        <v>112</v>
      </c>
      <c r="DH22">
        <v>0.4088209625628379</v>
      </c>
    </row>
    <row r="23" spans="2:112" x14ac:dyDescent="0.45">
      <c r="B23" t="s">
        <v>843</v>
      </c>
      <c r="C23" t="s">
        <v>107</v>
      </c>
      <c r="D23">
        <v>0.23890369732197358</v>
      </c>
      <c r="E23">
        <v>0.24421870551883865</v>
      </c>
      <c r="F23">
        <v>0.25477861255818524</v>
      </c>
      <c r="G23">
        <v>0.25478468955919814</v>
      </c>
      <c r="H23">
        <v>0.24554009889016373</v>
      </c>
      <c r="I23">
        <v>0.23191615683485803</v>
      </c>
      <c r="J23">
        <v>0.28497331115487295</v>
      </c>
      <c r="K23">
        <v>0.27076066190277037</v>
      </c>
      <c r="L23">
        <v>0.27370666586758874</v>
      </c>
      <c r="M23">
        <v>0.26831108971678064</v>
      </c>
      <c r="N23">
        <v>0.24503769102322831</v>
      </c>
      <c r="O23">
        <v>0.24844372736656345</v>
      </c>
      <c r="P23">
        <v>0.3364463092492973</v>
      </c>
      <c r="Q23">
        <v>0.34355545417528488</v>
      </c>
      <c r="R23">
        <v>0.35965775926423976</v>
      </c>
      <c r="S23">
        <v>0.35667998326783967</v>
      </c>
      <c r="T23">
        <v>0.35162657538107206</v>
      </c>
      <c r="U23">
        <v>0.34191568437259123</v>
      </c>
      <c r="V23">
        <v>0.24668200824185949</v>
      </c>
      <c r="W23">
        <v>0.25455741731970988</v>
      </c>
      <c r="X23">
        <v>0.25590902496455609</v>
      </c>
      <c r="Y23">
        <v>0.24453454915961326</v>
      </c>
      <c r="Z23">
        <v>0.2394596812214691</v>
      </c>
      <c r="AA23">
        <v>0.25705548990887633</v>
      </c>
      <c r="CE23" t="s">
        <v>843</v>
      </c>
      <c r="CF23">
        <v>0.65716571743186147</v>
      </c>
      <c r="CG23">
        <v>0.65439448235815179</v>
      </c>
      <c r="CH23">
        <v>0.64478843881213965</v>
      </c>
      <c r="CI23">
        <v>0.649542732257396</v>
      </c>
      <c r="CJ23">
        <v>0.64949972712934978</v>
      </c>
      <c r="CK23">
        <v>0.65922237352847501</v>
      </c>
      <c r="CL23">
        <v>0.58447811879539036</v>
      </c>
      <c r="CM23">
        <v>0.58336255492790567</v>
      </c>
      <c r="CN23">
        <v>0.58341565876659274</v>
      </c>
      <c r="CO23">
        <v>0.5940811514020965</v>
      </c>
      <c r="CP23">
        <v>0.61463536933381646</v>
      </c>
      <c r="CQ23">
        <v>0.61371241858316772</v>
      </c>
      <c r="CR23">
        <v>0.41117252934181242</v>
      </c>
      <c r="CS23">
        <v>0.41473090400667506</v>
      </c>
      <c r="CT23">
        <v>0.37947483343979937</v>
      </c>
      <c r="CU23">
        <v>0.37361605731142766</v>
      </c>
      <c r="CV23">
        <v>0.3834203894003767</v>
      </c>
      <c r="CW23">
        <v>0.37742368818599853</v>
      </c>
      <c r="CX23">
        <v>0.62881693825193496</v>
      </c>
      <c r="CY23">
        <v>0.63213961768849336</v>
      </c>
      <c r="CZ23">
        <v>0.63158290891911517</v>
      </c>
      <c r="DA23">
        <v>0.63929219073496568</v>
      </c>
      <c r="DB23">
        <v>0.64343794377097663</v>
      </c>
      <c r="DC23">
        <v>0.63001561995029398</v>
      </c>
      <c r="DE23" t="s">
        <v>844</v>
      </c>
      <c r="DF23" t="s">
        <v>111</v>
      </c>
      <c r="DG23" t="s">
        <v>112</v>
      </c>
      <c r="DH23">
        <v>0.43739546246331656</v>
      </c>
    </row>
    <row r="24" spans="2:112" x14ac:dyDescent="0.45">
      <c r="B24" t="s">
        <v>845</v>
      </c>
      <c r="C24" t="s">
        <v>107</v>
      </c>
      <c r="D24">
        <v>0.24317305561407243</v>
      </c>
      <c r="E24">
        <v>0.24632720280895876</v>
      </c>
      <c r="F24">
        <v>0.24916362457967581</v>
      </c>
      <c r="G24">
        <v>0.2536308353661817</v>
      </c>
      <c r="H24">
        <v>0.24356906146738069</v>
      </c>
      <c r="I24">
        <v>0.23098597826133702</v>
      </c>
      <c r="J24">
        <v>0.28268248822370795</v>
      </c>
      <c r="K24">
        <v>0.28645200312462998</v>
      </c>
      <c r="L24">
        <v>0.29378376440442044</v>
      </c>
      <c r="M24">
        <v>0.27613719137096376</v>
      </c>
      <c r="N24">
        <v>0.25780276582936024</v>
      </c>
      <c r="O24">
        <v>0.26003428404648082</v>
      </c>
      <c r="P24">
        <v>0.32297445955939136</v>
      </c>
      <c r="Q24">
        <v>0.31996705038366496</v>
      </c>
      <c r="R24">
        <v>0.32650312038991808</v>
      </c>
      <c r="S24">
        <v>0.33223415925309802</v>
      </c>
      <c r="T24">
        <v>0.31614145565375251</v>
      </c>
      <c r="U24">
        <v>0.31146890869058119</v>
      </c>
      <c r="V24">
        <v>0.24503605596712014</v>
      </c>
      <c r="W24">
        <v>0.25125478994961592</v>
      </c>
      <c r="X24">
        <v>0.27219299088107035</v>
      </c>
      <c r="Y24">
        <v>0.25532742505873113</v>
      </c>
      <c r="Z24">
        <v>0.24889430774062685</v>
      </c>
      <c r="AA24">
        <v>0.25661542408386234</v>
      </c>
      <c r="CE24" t="s">
        <v>845</v>
      </c>
      <c r="CF24">
        <v>0.65238286188040451</v>
      </c>
      <c r="CG24">
        <v>0.65164542142366477</v>
      </c>
      <c r="CH24">
        <v>0.64587608662313201</v>
      </c>
      <c r="CI24">
        <v>0.65027800915758471</v>
      </c>
      <c r="CJ24">
        <v>0.65801900710772587</v>
      </c>
      <c r="CK24">
        <v>0.65380821692308899</v>
      </c>
      <c r="CL24">
        <v>0.5913230732137732</v>
      </c>
      <c r="CM24">
        <v>0.55496943086631212</v>
      </c>
      <c r="CN24">
        <v>0.55324156163682137</v>
      </c>
      <c r="CO24">
        <v>0.58070368586830201</v>
      </c>
      <c r="CP24">
        <v>0.609465351935638</v>
      </c>
      <c r="CQ24">
        <v>0.61314748660020157</v>
      </c>
      <c r="CR24">
        <v>0.41602167633233045</v>
      </c>
      <c r="CS24">
        <v>0.44514497400877706</v>
      </c>
      <c r="CT24">
        <v>0.41387620698694355</v>
      </c>
      <c r="CU24">
        <v>0.40779929450777208</v>
      </c>
      <c r="CV24">
        <v>0.42577714975366532</v>
      </c>
      <c r="CW24">
        <v>0.40924809207174712</v>
      </c>
      <c r="CX24">
        <v>0.62406508457350574</v>
      </c>
      <c r="CY24">
        <v>0.62127806942341957</v>
      </c>
      <c r="CZ24">
        <v>0.61261626510051903</v>
      </c>
      <c r="DA24">
        <v>0.624276465077922</v>
      </c>
      <c r="DB24">
        <v>0.63370855766665801</v>
      </c>
      <c r="DC24">
        <v>0.62795534017137611</v>
      </c>
      <c r="DE24" t="s">
        <v>846</v>
      </c>
      <c r="DF24" t="s">
        <v>111</v>
      </c>
      <c r="DG24" t="s">
        <v>112</v>
      </c>
      <c r="DH24">
        <v>0.44120458719391736</v>
      </c>
    </row>
    <row r="25" spans="2:112" x14ac:dyDescent="0.45">
      <c r="B25" t="s">
        <v>847</v>
      </c>
      <c r="C25" t="s">
        <v>107</v>
      </c>
      <c r="D25">
        <v>0.24472106017708634</v>
      </c>
      <c r="E25">
        <v>0.25090596715194197</v>
      </c>
      <c r="F25">
        <v>0.25158605675905721</v>
      </c>
      <c r="G25">
        <v>0.25709949027801404</v>
      </c>
      <c r="H25">
        <v>0.24803020234914022</v>
      </c>
      <c r="I25">
        <v>0.23912201486497678</v>
      </c>
      <c r="J25">
        <v>0.28069521638674144</v>
      </c>
      <c r="K25">
        <v>0.29224760317075998</v>
      </c>
      <c r="L25">
        <v>0.29020243675678703</v>
      </c>
      <c r="M25">
        <v>0.2778936777891598</v>
      </c>
      <c r="N25">
        <v>0.25847314144894362</v>
      </c>
      <c r="O25">
        <v>0.24779676856553043</v>
      </c>
      <c r="P25">
        <v>0.33204298120246689</v>
      </c>
      <c r="Q25">
        <v>0.3275445906111924</v>
      </c>
      <c r="R25">
        <v>0.33189174979992347</v>
      </c>
      <c r="S25">
        <v>0.32685202933814655</v>
      </c>
      <c r="T25">
        <v>0.31292304005516203</v>
      </c>
      <c r="U25">
        <v>0.31778942182731046</v>
      </c>
      <c r="V25">
        <v>0.25517003736042432</v>
      </c>
      <c r="W25">
        <v>0.25371546033697157</v>
      </c>
      <c r="X25">
        <v>0.26923476077403402</v>
      </c>
      <c r="Y25">
        <v>0.25838878179395625</v>
      </c>
      <c r="Z25">
        <v>0.2470897997639441</v>
      </c>
      <c r="AA25">
        <v>0.25294499848487495</v>
      </c>
      <c r="CE25" t="s">
        <v>847</v>
      </c>
      <c r="CF25">
        <v>0.65300021798919061</v>
      </c>
      <c r="CG25">
        <v>0.64810507913870319</v>
      </c>
      <c r="CH25">
        <v>0.65294502204514748</v>
      </c>
      <c r="CI25">
        <v>0.65510263359250931</v>
      </c>
      <c r="CJ25">
        <v>0.65891349929001153</v>
      </c>
      <c r="CK25">
        <v>0.65667347380960428</v>
      </c>
      <c r="CL25">
        <v>0.59391842356063018</v>
      </c>
      <c r="CM25">
        <v>0.56368155406570342</v>
      </c>
      <c r="CN25">
        <v>0.5674816021523641</v>
      </c>
      <c r="CO25">
        <v>0.58827807896001183</v>
      </c>
      <c r="CP25">
        <v>0.61337353922156757</v>
      </c>
      <c r="CQ25">
        <v>0.61637500494269759</v>
      </c>
      <c r="CR25">
        <v>0.41678420563719398</v>
      </c>
      <c r="CS25">
        <v>0.44065293700765801</v>
      </c>
      <c r="CT25">
        <v>0.41737257161783392</v>
      </c>
      <c r="CU25">
        <v>0.4183778193487408</v>
      </c>
      <c r="CV25">
        <v>0.43600531045408192</v>
      </c>
      <c r="CW25">
        <v>0.41273365016989544</v>
      </c>
      <c r="CX25">
        <v>0.62771441077155954</v>
      </c>
      <c r="CY25">
        <v>0.62864035184195799</v>
      </c>
      <c r="CZ25">
        <v>0.62147580281338366</v>
      </c>
      <c r="DA25">
        <v>0.62889565287103311</v>
      </c>
      <c r="DB25">
        <v>0.63830347649749686</v>
      </c>
      <c r="DC25">
        <v>0.63660480306166545</v>
      </c>
      <c r="DE25" t="s">
        <v>848</v>
      </c>
      <c r="DF25" t="s">
        <v>111</v>
      </c>
      <c r="DG25" t="s">
        <v>112</v>
      </c>
      <c r="DH25">
        <v>0.57994714065573671</v>
      </c>
    </row>
    <row r="26" spans="2:112" x14ac:dyDescent="0.45">
      <c r="B26" t="s">
        <v>840</v>
      </c>
      <c r="C26" t="s">
        <v>107</v>
      </c>
      <c r="D26">
        <v>0.28264159590641735</v>
      </c>
      <c r="E26">
        <v>0.30201727802840045</v>
      </c>
      <c r="F26">
        <v>0.32715657331026721</v>
      </c>
      <c r="G26">
        <v>0.36884218705398747</v>
      </c>
      <c r="H26">
        <v>0.35043805190401511</v>
      </c>
      <c r="I26">
        <v>0.30456895995681105</v>
      </c>
      <c r="J26">
        <v>0.30860384763735499</v>
      </c>
      <c r="K26">
        <v>0.32840442771498535</v>
      </c>
      <c r="L26">
        <v>0.37490783183771131</v>
      </c>
      <c r="M26">
        <v>0.36196259924374619</v>
      </c>
      <c r="N26">
        <v>0.34069677631170064</v>
      </c>
      <c r="O26">
        <v>0.32184556552497262</v>
      </c>
      <c r="P26">
        <v>0.30368942790271553</v>
      </c>
      <c r="Q26">
        <v>0.36246668967832524</v>
      </c>
      <c r="R26">
        <v>0.43032321975878873</v>
      </c>
      <c r="S26">
        <v>0.38924466635591015</v>
      </c>
      <c r="T26">
        <v>0.39087567301340176</v>
      </c>
      <c r="U26">
        <v>0.36413996689220862</v>
      </c>
      <c r="V26">
        <v>0.32710208326337603</v>
      </c>
      <c r="W26">
        <v>0.34940365404326973</v>
      </c>
      <c r="X26">
        <v>0.39699531718971631</v>
      </c>
      <c r="Y26">
        <v>0.38411336735512724</v>
      </c>
      <c r="Z26">
        <v>0.3487593616439158</v>
      </c>
      <c r="AA26">
        <v>0.32485075656798068</v>
      </c>
      <c r="CE26" t="s">
        <v>840</v>
      </c>
      <c r="CF26">
        <v>0.42979610748853597</v>
      </c>
      <c r="CG26">
        <v>0.43481945113505188</v>
      </c>
      <c r="CH26">
        <v>0.40946574505244576</v>
      </c>
      <c r="CI26">
        <v>0.37121769037976921</v>
      </c>
      <c r="CJ26">
        <v>0.38416355549861131</v>
      </c>
      <c r="CK26">
        <v>0.42002904969482668</v>
      </c>
      <c r="CL26">
        <v>0.31612024793774485</v>
      </c>
      <c r="CM26">
        <v>0.29572962493424798</v>
      </c>
      <c r="CN26">
        <v>0.27795794506728921</v>
      </c>
      <c r="CO26">
        <v>0.28475363374981039</v>
      </c>
      <c r="CP26">
        <v>0.29359509530956129</v>
      </c>
      <c r="CQ26">
        <v>0.29620481574904656</v>
      </c>
      <c r="CR26">
        <v>0.23080010975504428</v>
      </c>
      <c r="CS26">
        <v>0.18907132994795631</v>
      </c>
      <c r="CT26">
        <v>0.15914115220906128</v>
      </c>
      <c r="CU26">
        <v>0.176029816865162</v>
      </c>
      <c r="CV26">
        <v>0.18815417643905635</v>
      </c>
      <c r="CW26">
        <v>0.19444061255180362</v>
      </c>
      <c r="CX26">
        <v>0.35971818230830183</v>
      </c>
      <c r="CY26">
        <v>0.3386682186431903</v>
      </c>
      <c r="CZ26">
        <v>0.30065307017116194</v>
      </c>
      <c r="DA26">
        <v>0.30964994695777381</v>
      </c>
      <c r="DB26">
        <v>0.3245753137876447</v>
      </c>
      <c r="DC26">
        <v>0.34361554688636664</v>
      </c>
      <c r="DE26" t="s">
        <v>849</v>
      </c>
      <c r="DF26" t="s">
        <v>111</v>
      </c>
      <c r="DG26" t="s">
        <v>112</v>
      </c>
      <c r="DH26">
        <v>0.66462193018989368</v>
      </c>
    </row>
    <row r="27" spans="2:112" x14ac:dyDescent="0.45">
      <c r="B27" t="s">
        <v>842</v>
      </c>
      <c r="C27" t="s">
        <v>107</v>
      </c>
      <c r="D27">
        <v>0.31739909590440352</v>
      </c>
      <c r="E27">
        <v>0.32320168068547239</v>
      </c>
      <c r="F27">
        <v>0.34857515745689521</v>
      </c>
      <c r="G27">
        <v>0.37091311355928314</v>
      </c>
      <c r="H27">
        <v>0.35434460680829849</v>
      </c>
      <c r="I27">
        <v>0.31730262879981364</v>
      </c>
      <c r="J27">
        <v>0.32529841815577787</v>
      </c>
      <c r="K27">
        <v>0.33319111591152023</v>
      </c>
      <c r="L27">
        <v>0.41661784217276238</v>
      </c>
      <c r="M27">
        <v>0.40518032184803981</v>
      </c>
      <c r="N27">
        <v>0.38271045661391268</v>
      </c>
      <c r="O27">
        <v>0.34582891953519684</v>
      </c>
      <c r="P27">
        <v>0.33546449626815433</v>
      </c>
      <c r="Q27">
        <v>0.35507531194783548</v>
      </c>
      <c r="R27">
        <v>0.43759390572235274</v>
      </c>
      <c r="S27">
        <v>0.40394200584591805</v>
      </c>
      <c r="T27">
        <v>0.42461996832744864</v>
      </c>
      <c r="U27">
        <v>0.39406774692218299</v>
      </c>
      <c r="V27">
        <v>0.33683701904597868</v>
      </c>
      <c r="W27">
        <v>0.3705040142020749</v>
      </c>
      <c r="X27">
        <v>0.40935923831624665</v>
      </c>
      <c r="Y27">
        <v>0.38975731946712294</v>
      </c>
      <c r="Z27">
        <v>0.35931971239062255</v>
      </c>
      <c r="AA27">
        <v>0.34362055281685427</v>
      </c>
      <c r="CE27" t="s">
        <v>842</v>
      </c>
      <c r="CF27">
        <v>0.41115271343499626</v>
      </c>
      <c r="CG27">
        <v>0.40881086926544835</v>
      </c>
      <c r="CH27">
        <v>0.38377526233001796</v>
      </c>
      <c r="CI27">
        <v>0.35458627314644786</v>
      </c>
      <c r="CJ27">
        <v>0.36664488117630345</v>
      </c>
      <c r="CK27">
        <v>0.39275673858584109</v>
      </c>
      <c r="CL27">
        <v>0.28754374255610143</v>
      </c>
      <c r="CM27">
        <v>0.27779104555772649</v>
      </c>
      <c r="CN27">
        <v>0.24566886793365711</v>
      </c>
      <c r="CO27">
        <v>0.2463253419347175</v>
      </c>
      <c r="CP27">
        <v>0.26823614664897194</v>
      </c>
      <c r="CQ27">
        <v>0.26701584973410036</v>
      </c>
      <c r="CR27">
        <v>0.21109026755374427</v>
      </c>
      <c r="CS27">
        <v>0.18121365845339651</v>
      </c>
      <c r="CT27">
        <v>0.14351714054603593</v>
      </c>
      <c r="CU27">
        <v>0.14898324895640788</v>
      </c>
      <c r="CV27">
        <v>0.16954409712064775</v>
      </c>
      <c r="CW27">
        <v>0.15874202172420745</v>
      </c>
      <c r="CX27">
        <v>0.34921890890943402</v>
      </c>
      <c r="CY27">
        <v>0.32609256715836965</v>
      </c>
      <c r="CZ27">
        <v>0.29304633391989138</v>
      </c>
      <c r="DA27">
        <v>0.2896790184474145</v>
      </c>
      <c r="DB27">
        <v>0.29409980309731998</v>
      </c>
      <c r="DC27">
        <v>0.33338198860828622</v>
      </c>
      <c r="DE27" t="s">
        <v>850</v>
      </c>
      <c r="DF27" t="s">
        <v>111</v>
      </c>
      <c r="DG27" t="s">
        <v>112</v>
      </c>
      <c r="DH27">
        <v>0.59502704946374463</v>
      </c>
    </row>
    <row r="28" spans="2:112" x14ac:dyDescent="0.45">
      <c r="B28" t="s">
        <v>844</v>
      </c>
      <c r="C28" t="s">
        <v>107</v>
      </c>
      <c r="D28">
        <v>0.29017180084998451</v>
      </c>
      <c r="E28">
        <v>0.30706065797192839</v>
      </c>
      <c r="F28">
        <v>0.32910131589732711</v>
      </c>
      <c r="G28">
        <v>0.36482034953603104</v>
      </c>
      <c r="H28">
        <v>0.3469489830695624</v>
      </c>
      <c r="I28">
        <v>0.29500760490851974</v>
      </c>
      <c r="J28">
        <v>0.31864724760109331</v>
      </c>
      <c r="K28">
        <v>0.33091046802751539</v>
      </c>
      <c r="L28">
        <v>0.39031320115070517</v>
      </c>
      <c r="M28">
        <v>0.37375495014516535</v>
      </c>
      <c r="N28">
        <v>0.35436430745044456</v>
      </c>
      <c r="O28">
        <v>0.33286467656157581</v>
      </c>
      <c r="P28">
        <v>0.31850885840355436</v>
      </c>
      <c r="Q28">
        <v>0.35291619088325699</v>
      </c>
      <c r="R28">
        <v>0.4241501399460077</v>
      </c>
      <c r="S28">
        <v>0.39235033930940866</v>
      </c>
      <c r="T28">
        <v>0.3913872656401759</v>
      </c>
      <c r="U28">
        <v>0.36191942275175487</v>
      </c>
      <c r="V28">
        <v>0.33510593498102453</v>
      </c>
      <c r="W28">
        <v>0.35616137942054232</v>
      </c>
      <c r="X28">
        <v>0.39979251762530449</v>
      </c>
      <c r="Y28">
        <v>0.37590152181416164</v>
      </c>
      <c r="Z28">
        <v>0.34413641816792961</v>
      </c>
      <c r="AA28">
        <v>0.32879030605706305</v>
      </c>
      <c r="CE28" t="s">
        <v>844</v>
      </c>
      <c r="CF28">
        <v>0.44022572590881626</v>
      </c>
      <c r="CG28">
        <v>0.43985966404330173</v>
      </c>
      <c r="CH28">
        <v>0.42116788200819005</v>
      </c>
      <c r="CI28">
        <v>0.38003704508499375</v>
      </c>
      <c r="CJ28">
        <v>0.39178212286912506</v>
      </c>
      <c r="CK28">
        <v>0.42563572402639865</v>
      </c>
      <c r="CL28">
        <v>0.32685573927571443</v>
      </c>
      <c r="CM28">
        <v>0.3051755229298877</v>
      </c>
      <c r="CN28">
        <v>0.29480787233592692</v>
      </c>
      <c r="CO28">
        <v>0.30802555819579908</v>
      </c>
      <c r="CP28">
        <v>0.31790130031336777</v>
      </c>
      <c r="CQ28">
        <v>0.30848654599781861</v>
      </c>
      <c r="CR28">
        <v>0.24394845363463594</v>
      </c>
      <c r="CS28">
        <v>0.19847830604105871</v>
      </c>
      <c r="CT28">
        <v>0.15944301545666739</v>
      </c>
      <c r="CU28">
        <v>0.17299302197929539</v>
      </c>
      <c r="CV28">
        <v>0.19227275033424959</v>
      </c>
      <c r="CW28">
        <v>0.20321439973164612</v>
      </c>
      <c r="CX28">
        <v>0.36491100179307584</v>
      </c>
      <c r="CY28">
        <v>0.34340381017852439</v>
      </c>
      <c r="CZ28">
        <v>0.30537888043648487</v>
      </c>
      <c r="DA28">
        <v>0.31611027467908737</v>
      </c>
      <c r="DB28">
        <v>0.33333296272273671</v>
      </c>
      <c r="DC28">
        <v>0.36524193014434719</v>
      </c>
      <c r="DE28" t="s">
        <v>851</v>
      </c>
      <c r="DF28" t="s">
        <v>111</v>
      </c>
      <c r="DG28" t="s">
        <v>112</v>
      </c>
      <c r="DH28">
        <v>0.46278793791925477</v>
      </c>
    </row>
    <row r="29" spans="2:112" x14ac:dyDescent="0.45">
      <c r="B29" t="s">
        <v>846</v>
      </c>
      <c r="C29" t="s">
        <v>107</v>
      </c>
      <c r="D29">
        <v>0.2999483628206035</v>
      </c>
      <c r="E29">
        <v>0.30399697994770286</v>
      </c>
      <c r="F29">
        <v>0.32479764616203194</v>
      </c>
      <c r="G29">
        <v>0.36705257779248479</v>
      </c>
      <c r="H29">
        <v>0.34170821149480002</v>
      </c>
      <c r="I29">
        <v>0.29649158001482318</v>
      </c>
      <c r="J29">
        <v>0.3268719887577809</v>
      </c>
      <c r="K29">
        <v>0.31777752879067733</v>
      </c>
      <c r="L29">
        <v>0.37688988340809559</v>
      </c>
      <c r="M29">
        <v>0.3760659568427791</v>
      </c>
      <c r="N29">
        <v>0.34600304265055104</v>
      </c>
      <c r="O29">
        <v>0.34624817125002189</v>
      </c>
      <c r="P29">
        <v>0.31467291269164438</v>
      </c>
      <c r="Q29">
        <v>0.33556527835868749</v>
      </c>
      <c r="R29">
        <v>0.40631243868528477</v>
      </c>
      <c r="S29">
        <v>0.39380385015338809</v>
      </c>
      <c r="T29">
        <v>0.37500571192208371</v>
      </c>
      <c r="U29">
        <v>0.36747380579582734</v>
      </c>
      <c r="V29">
        <v>0.33217196878383715</v>
      </c>
      <c r="W29">
        <v>0.36022917940500715</v>
      </c>
      <c r="X29">
        <v>0.38860295497312447</v>
      </c>
      <c r="Y29">
        <v>0.37684705773859312</v>
      </c>
      <c r="Z29">
        <v>0.34877065540237184</v>
      </c>
      <c r="AA29">
        <v>0.34142209305442522</v>
      </c>
      <c r="CE29" t="s">
        <v>846</v>
      </c>
      <c r="CF29">
        <v>0.44219902340393874</v>
      </c>
      <c r="CG29">
        <v>0.43694299805987008</v>
      </c>
      <c r="CH29">
        <v>0.42267334158273623</v>
      </c>
      <c r="CI29">
        <v>0.38453033060973718</v>
      </c>
      <c r="CJ29">
        <v>0.39646865014349009</v>
      </c>
      <c r="CK29">
        <v>0.42238367741358362</v>
      </c>
      <c r="CL29">
        <v>0.3396228696953546</v>
      </c>
      <c r="CM29">
        <v>0.33252039615257195</v>
      </c>
      <c r="CN29">
        <v>0.30704252934083343</v>
      </c>
      <c r="CO29">
        <v>0.31926815651746915</v>
      </c>
      <c r="CP29">
        <v>0.33396826309415145</v>
      </c>
      <c r="CQ29">
        <v>0.31265873028947366</v>
      </c>
      <c r="CR29">
        <v>0.25833330055605114</v>
      </c>
      <c r="CS29">
        <v>0.20803456712936799</v>
      </c>
      <c r="CT29">
        <v>0.17165210111694329</v>
      </c>
      <c r="CU29">
        <v>0.17971037957392147</v>
      </c>
      <c r="CV29">
        <v>0.2040475895864538</v>
      </c>
      <c r="CW29">
        <v>0.21422830279798422</v>
      </c>
      <c r="CX29">
        <v>0.36858856980113192</v>
      </c>
      <c r="CY29">
        <v>0.34992437531140502</v>
      </c>
      <c r="CZ29">
        <v>0.31283514478692492</v>
      </c>
      <c r="DA29">
        <v>0.32740307494574961</v>
      </c>
      <c r="DB29">
        <v>0.35148081349272065</v>
      </c>
      <c r="DC29">
        <v>0.38426197943236717</v>
      </c>
      <c r="DE29" t="s">
        <v>852</v>
      </c>
      <c r="DF29" t="s">
        <v>111</v>
      </c>
      <c r="DG29" t="s">
        <v>112</v>
      </c>
      <c r="DH29">
        <v>0.50652486183226908</v>
      </c>
    </row>
    <row r="30" spans="2:112" x14ac:dyDescent="0.45">
      <c r="B30" t="s">
        <v>848</v>
      </c>
      <c r="C30" t="s">
        <v>107</v>
      </c>
      <c r="D30">
        <v>0.251666053161963</v>
      </c>
      <c r="E30">
        <v>0.25343932669319569</v>
      </c>
      <c r="F30">
        <v>0.27079257897341308</v>
      </c>
      <c r="G30">
        <v>0.28492596165028578</v>
      </c>
      <c r="H30">
        <v>0.28188281796598513</v>
      </c>
      <c r="I30">
        <v>0.26034801994194712</v>
      </c>
      <c r="J30">
        <v>0.28474435856210573</v>
      </c>
      <c r="K30">
        <v>0.29652597933320662</v>
      </c>
      <c r="L30">
        <v>0.31606602314511328</v>
      </c>
      <c r="M30">
        <v>0.30262881606884823</v>
      </c>
      <c r="N30">
        <v>0.28406688455268692</v>
      </c>
      <c r="O30">
        <v>0.27615735165490546</v>
      </c>
      <c r="P30">
        <v>0.30175431808880859</v>
      </c>
      <c r="Q30">
        <v>0.31930856591046164</v>
      </c>
      <c r="R30">
        <v>0.34432171226974967</v>
      </c>
      <c r="S30">
        <v>0.330365930338062</v>
      </c>
      <c r="T30">
        <v>0.3149224764525913</v>
      </c>
      <c r="U30">
        <v>0.32156775633307227</v>
      </c>
      <c r="V30">
        <v>0.25498508307289125</v>
      </c>
      <c r="W30">
        <v>0.28075321821925059</v>
      </c>
      <c r="X30">
        <v>0.28990810440159881</v>
      </c>
      <c r="Y30">
        <v>0.28661528725012764</v>
      </c>
      <c r="Z30">
        <v>0.27766788289493827</v>
      </c>
      <c r="AA30">
        <v>0.27309498450232178</v>
      </c>
      <c r="CE30" t="s">
        <v>848</v>
      </c>
      <c r="CF30">
        <v>0.58544681697939904</v>
      </c>
      <c r="CG30">
        <v>0.58470233755787049</v>
      </c>
      <c r="CH30">
        <v>0.57662160581336641</v>
      </c>
      <c r="CI30">
        <v>0.56361046066112253</v>
      </c>
      <c r="CJ30">
        <v>0.56979807743851352</v>
      </c>
      <c r="CK30">
        <v>0.58782255983230947</v>
      </c>
      <c r="CL30">
        <v>0.50206042233549852</v>
      </c>
      <c r="CM30">
        <v>0.47134690550278607</v>
      </c>
      <c r="CN30">
        <v>0.44635529806813462</v>
      </c>
      <c r="CO30">
        <v>0.45381107978228274</v>
      </c>
      <c r="CP30">
        <v>0.48791606914621899</v>
      </c>
      <c r="CQ30">
        <v>0.50810296618989481</v>
      </c>
      <c r="CR30">
        <v>0.3655966728228775</v>
      </c>
      <c r="CS30">
        <v>0.35027567251447328</v>
      </c>
      <c r="CT30">
        <v>0.33379376724789839</v>
      </c>
      <c r="CU30">
        <v>0.34919494938946904</v>
      </c>
      <c r="CV30">
        <v>0.37813607408641897</v>
      </c>
      <c r="CW30">
        <v>0.36214976348057376</v>
      </c>
      <c r="CX30">
        <v>0.53490328624849981</v>
      </c>
      <c r="CY30">
        <v>0.515911809399904</v>
      </c>
      <c r="CZ30">
        <v>0.50852105835815564</v>
      </c>
      <c r="DA30">
        <v>0.50705161519418973</v>
      </c>
      <c r="DB30">
        <v>0.53225956012350684</v>
      </c>
      <c r="DC30">
        <v>0.52904903025382821</v>
      </c>
      <c r="DE30" t="s">
        <v>853</v>
      </c>
      <c r="DF30" t="s">
        <v>111</v>
      </c>
      <c r="DG30" t="s">
        <v>112</v>
      </c>
      <c r="DH30">
        <v>0.5271869827579293</v>
      </c>
    </row>
    <row r="31" spans="2:112" x14ac:dyDescent="0.45">
      <c r="B31" t="s">
        <v>849</v>
      </c>
      <c r="C31" t="s">
        <v>107</v>
      </c>
      <c r="D31">
        <v>0.2192357381485297</v>
      </c>
      <c r="E31">
        <v>0.23703875523230691</v>
      </c>
      <c r="F31">
        <v>0.24029574119848104</v>
      </c>
      <c r="G31">
        <v>0.25749930872962551</v>
      </c>
      <c r="H31">
        <v>0.24763434982351945</v>
      </c>
      <c r="I31">
        <v>0.22015262583481746</v>
      </c>
      <c r="J31">
        <v>0.25602399631787537</v>
      </c>
      <c r="K31">
        <v>0.27591125438445518</v>
      </c>
      <c r="L31">
        <v>0.27984151937787827</v>
      </c>
      <c r="M31">
        <v>0.26061167484167685</v>
      </c>
      <c r="N31">
        <v>0.243595511799019</v>
      </c>
      <c r="O31">
        <v>0.23511174987125805</v>
      </c>
      <c r="P31">
        <v>0.2900501083073454</v>
      </c>
      <c r="Q31">
        <v>0.29535796228993105</v>
      </c>
      <c r="R31">
        <v>0.29688803313760981</v>
      </c>
      <c r="S31">
        <v>0.32240719815476043</v>
      </c>
      <c r="T31">
        <v>0.31636601694012845</v>
      </c>
      <c r="U31">
        <v>0.30603003474404677</v>
      </c>
      <c r="V31">
        <v>0.24970030121001111</v>
      </c>
      <c r="W31">
        <v>0.26095568404764863</v>
      </c>
      <c r="X31">
        <v>0.2545222667705801</v>
      </c>
      <c r="Y31">
        <v>0.2579520335440173</v>
      </c>
      <c r="Z31">
        <v>0.2447929999081136</v>
      </c>
      <c r="AA31">
        <v>0.24229744361173869</v>
      </c>
      <c r="CE31" t="s">
        <v>849</v>
      </c>
      <c r="CF31">
        <v>0.66639837638474897</v>
      </c>
      <c r="CG31">
        <v>0.65477565588335551</v>
      </c>
      <c r="CH31">
        <v>0.64731037583082141</v>
      </c>
      <c r="CI31">
        <v>0.6329597751185011</v>
      </c>
      <c r="CJ31">
        <v>0.64965372807738075</v>
      </c>
      <c r="CK31">
        <v>0.6712387358925439</v>
      </c>
      <c r="CL31">
        <v>0.60542352120381193</v>
      </c>
      <c r="CM31">
        <v>0.56287130539815267</v>
      </c>
      <c r="CN31">
        <v>0.55325605415701906</v>
      </c>
      <c r="CO31">
        <v>0.55646307926045502</v>
      </c>
      <c r="CP31">
        <v>0.59834689260428897</v>
      </c>
      <c r="CQ31">
        <v>0.63267733690317252</v>
      </c>
      <c r="CR31">
        <v>0.4471056331067208</v>
      </c>
      <c r="CS31">
        <v>0.44814936985055204</v>
      </c>
      <c r="CT31">
        <v>0.42782371055455559</v>
      </c>
      <c r="CU31">
        <v>0.41281070604726516</v>
      </c>
      <c r="CV31">
        <v>0.43591467101743581</v>
      </c>
      <c r="CW31">
        <v>0.44014445892419723</v>
      </c>
      <c r="CX31">
        <v>0.61898285228144712</v>
      </c>
      <c r="CY31">
        <v>0.59229172307397038</v>
      </c>
      <c r="CZ31">
        <v>0.59757197911313997</v>
      </c>
      <c r="DA31">
        <v>0.60264425665674259</v>
      </c>
      <c r="DB31">
        <v>0.62777169994313875</v>
      </c>
      <c r="DC31">
        <v>0.62885349001463353</v>
      </c>
      <c r="DE31" t="s">
        <v>839</v>
      </c>
      <c r="DF31" t="s">
        <v>111</v>
      </c>
      <c r="DG31" t="s">
        <v>112</v>
      </c>
      <c r="DH31">
        <v>0.64746462616862521</v>
      </c>
    </row>
    <row r="32" spans="2:112" x14ac:dyDescent="0.45">
      <c r="B32" t="s">
        <v>850</v>
      </c>
      <c r="C32" t="s">
        <v>107</v>
      </c>
      <c r="D32">
        <v>0.23856794244716192</v>
      </c>
      <c r="E32">
        <v>0.24898869918842154</v>
      </c>
      <c r="F32">
        <v>0.26980823151820432</v>
      </c>
      <c r="G32">
        <v>0.29443534567112251</v>
      </c>
      <c r="H32">
        <v>0.27861344822972489</v>
      </c>
      <c r="I32">
        <v>0.24081873877342488</v>
      </c>
      <c r="J32">
        <v>0.27179598472951888</v>
      </c>
      <c r="K32">
        <v>0.28916110865882222</v>
      </c>
      <c r="L32">
        <v>0.30270328969565391</v>
      </c>
      <c r="M32">
        <v>0.28656725862043153</v>
      </c>
      <c r="N32">
        <v>0.26237350581547081</v>
      </c>
      <c r="O32">
        <v>0.24918336999736782</v>
      </c>
      <c r="P32">
        <v>0.30743494445808156</v>
      </c>
      <c r="Q32">
        <v>0.32300244483473334</v>
      </c>
      <c r="R32">
        <v>0.34366059372049412</v>
      </c>
      <c r="S32">
        <v>0.34551044391131169</v>
      </c>
      <c r="T32">
        <v>0.33382956577292416</v>
      </c>
      <c r="U32">
        <v>0.3264330859001856</v>
      </c>
      <c r="V32">
        <v>0.28797835099656099</v>
      </c>
      <c r="W32">
        <v>0.30128766790887929</v>
      </c>
      <c r="X32">
        <v>0.29482017265743993</v>
      </c>
      <c r="Y32">
        <v>0.30029306605985329</v>
      </c>
      <c r="Z32">
        <v>0.28683487734367896</v>
      </c>
      <c r="AA32">
        <v>0.27977454262678408</v>
      </c>
      <c r="CE32" t="s">
        <v>850</v>
      </c>
      <c r="CF32">
        <v>0.59877811725749375</v>
      </c>
      <c r="CG32">
        <v>0.58739645115578487</v>
      </c>
      <c r="CH32">
        <v>0.57270060735775274</v>
      </c>
      <c r="CI32">
        <v>0.54247319342555433</v>
      </c>
      <c r="CJ32">
        <v>0.56240595129564297</v>
      </c>
      <c r="CK32">
        <v>0.6001946143014244</v>
      </c>
      <c r="CL32">
        <v>0.51191033388347174</v>
      </c>
      <c r="CM32">
        <v>0.48075231470633367</v>
      </c>
      <c r="CN32">
        <v>0.45732855822330831</v>
      </c>
      <c r="CO32">
        <v>0.44803029082573281</v>
      </c>
      <c r="CP32">
        <v>0.48836745651891594</v>
      </c>
      <c r="CQ32">
        <v>0.52434326361841499</v>
      </c>
      <c r="CR32">
        <v>0.37078758497079922</v>
      </c>
      <c r="CS32">
        <v>0.33913840969544062</v>
      </c>
      <c r="CT32">
        <v>0.32306844520645539</v>
      </c>
      <c r="CU32">
        <v>0.32209671011357666</v>
      </c>
      <c r="CV32">
        <v>0.34782269192510901</v>
      </c>
      <c r="CW32">
        <v>0.35113540852090502</v>
      </c>
      <c r="CX32">
        <v>0.5193957949367336</v>
      </c>
      <c r="CY32">
        <v>0.49578345693327613</v>
      </c>
      <c r="CZ32">
        <v>0.49308740326424583</v>
      </c>
      <c r="DA32">
        <v>0.50027506084081641</v>
      </c>
      <c r="DB32">
        <v>0.5286068992657017</v>
      </c>
      <c r="DC32">
        <v>0.53259483572944821</v>
      </c>
      <c r="DE32" t="s">
        <v>841</v>
      </c>
      <c r="DF32" t="s">
        <v>111</v>
      </c>
      <c r="DG32" t="s">
        <v>112</v>
      </c>
      <c r="DH32">
        <v>0.65708628318582973</v>
      </c>
    </row>
    <row r="33" spans="2:112" x14ac:dyDescent="0.45">
      <c r="B33" t="s">
        <v>851</v>
      </c>
      <c r="C33" t="s">
        <v>107</v>
      </c>
      <c r="D33">
        <v>0.28573075896951466</v>
      </c>
      <c r="E33">
        <v>0.28718027119195122</v>
      </c>
      <c r="F33">
        <v>0.31689731575894314</v>
      </c>
      <c r="G33">
        <v>0.35094823693033994</v>
      </c>
      <c r="H33">
        <v>0.33452169775057805</v>
      </c>
      <c r="I33">
        <v>0.29901511526239755</v>
      </c>
      <c r="J33">
        <v>0.30732373485875913</v>
      </c>
      <c r="K33">
        <v>0.32449260381317008</v>
      </c>
      <c r="L33">
        <v>0.37026480073668694</v>
      </c>
      <c r="M33">
        <v>0.34638940964760428</v>
      </c>
      <c r="N33">
        <v>0.32930098567484989</v>
      </c>
      <c r="O33">
        <v>0.29752505520082773</v>
      </c>
      <c r="P33">
        <v>0.29563870090512867</v>
      </c>
      <c r="Q33">
        <v>0.35023656225292799</v>
      </c>
      <c r="R33">
        <v>0.4150382761375806</v>
      </c>
      <c r="S33">
        <v>0.37280440435049927</v>
      </c>
      <c r="T33">
        <v>0.35200739272622883</v>
      </c>
      <c r="U33">
        <v>0.33455873382790274</v>
      </c>
      <c r="V33">
        <v>0.30676246082113728</v>
      </c>
      <c r="W33">
        <v>0.32987076794492987</v>
      </c>
      <c r="X33">
        <v>0.3517282079565241</v>
      </c>
      <c r="Y33">
        <v>0.34593825825517777</v>
      </c>
      <c r="Z33">
        <v>0.32879994718177896</v>
      </c>
      <c r="AA33">
        <v>0.31528974997748332</v>
      </c>
      <c r="CE33" t="s">
        <v>851</v>
      </c>
      <c r="CF33">
        <v>0.46829923615310398</v>
      </c>
      <c r="CG33">
        <v>0.46953610728881789</v>
      </c>
      <c r="CH33">
        <v>0.45498725914784544</v>
      </c>
      <c r="CI33">
        <v>0.43148799548922584</v>
      </c>
      <c r="CJ33">
        <v>0.43347011682189035</v>
      </c>
      <c r="CK33">
        <v>0.46585996162885956</v>
      </c>
      <c r="CL33">
        <v>0.36016190845956686</v>
      </c>
      <c r="CM33">
        <v>0.34512630656130766</v>
      </c>
      <c r="CN33">
        <v>0.32014926570796121</v>
      </c>
      <c r="CO33">
        <v>0.31947666909871364</v>
      </c>
      <c r="CP33">
        <v>0.33283237722236592</v>
      </c>
      <c r="CQ33">
        <v>0.34087313363235189</v>
      </c>
      <c r="CR33">
        <v>0.25416837773574852</v>
      </c>
      <c r="CS33">
        <v>0.21790832273822627</v>
      </c>
      <c r="CT33">
        <v>0.19759566547627747</v>
      </c>
      <c r="CU33">
        <v>0.2287806859591188</v>
      </c>
      <c r="CV33">
        <v>0.24422716143864143</v>
      </c>
      <c r="CW33">
        <v>0.22934707360850001</v>
      </c>
      <c r="CX33">
        <v>0.39330570315183894</v>
      </c>
      <c r="CY33">
        <v>0.3835487340905816</v>
      </c>
      <c r="CZ33">
        <v>0.3560940700471692</v>
      </c>
      <c r="DA33">
        <v>0.36082542307646293</v>
      </c>
      <c r="DB33">
        <v>0.37812670669029846</v>
      </c>
      <c r="DC33">
        <v>0.38268305169213468</v>
      </c>
      <c r="DE33" t="s">
        <v>843</v>
      </c>
      <c r="DF33" t="s">
        <v>111</v>
      </c>
      <c r="DG33" t="s">
        <v>112</v>
      </c>
      <c r="DH33">
        <v>0.65677527084394738</v>
      </c>
    </row>
    <row r="34" spans="2:112" x14ac:dyDescent="0.45">
      <c r="B34" t="s">
        <v>852</v>
      </c>
      <c r="C34" t="s">
        <v>107</v>
      </c>
      <c r="D34">
        <v>0.26386335164611402</v>
      </c>
      <c r="E34">
        <v>0.28234811471188226</v>
      </c>
      <c r="F34">
        <v>0.30403850766230417</v>
      </c>
      <c r="G34">
        <v>0.34562569457848863</v>
      </c>
      <c r="H34">
        <v>0.31709339347931487</v>
      </c>
      <c r="I34">
        <v>0.27581093877345603</v>
      </c>
      <c r="J34">
        <v>0.29645324264954331</v>
      </c>
      <c r="K34">
        <v>0.31335793689407243</v>
      </c>
      <c r="L34">
        <v>0.33085124219724821</v>
      </c>
      <c r="M34">
        <v>0.33026270132364421</v>
      </c>
      <c r="N34">
        <v>0.30382607462001199</v>
      </c>
      <c r="O34">
        <v>0.28619105069896322</v>
      </c>
      <c r="P34">
        <v>0.31740048422260986</v>
      </c>
      <c r="Q34">
        <v>0.35005694930863501</v>
      </c>
      <c r="R34">
        <v>0.40894674447232182</v>
      </c>
      <c r="S34">
        <v>0.36999225771965788</v>
      </c>
      <c r="T34">
        <v>0.3563360795686597</v>
      </c>
      <c r="U34">
        <v>0.3425286133510278</v>
      </c>
      <c r="V34">
        <v>0.32674888730875562</v>
      </c>
      <c r="W34">
        <v>0.34046517787873865</v>
      </c>
      <c r="X34">
        <v>0.35514555393805247</v>
      </c>
      <c r="Y34">
        <v>0.35053286896402597</v>
      </c>
      <c r="Z34">
        <v>0.32442203645214945</v>
      </c>
      <c r="AA34">
        <v>0.30904482760831981</v>
      </c>
      <c r="CE34" t="s">
        <v>852</v>
      </c>
      <c r="CF34">
        <v>0.50997793495113031</v>
      </c>
      <c r="CG34">
        <v>0.5032195936934184</v>
      </c>
      <c r="CH34">
        <v>0.48325633176119709</v>
      </c>
      <c r="CI34">
        <v>0.4431287056604386</v>
      </c>
      <c r="CJ34">
        <v>0.46595454739021525</v>
      </c>
      <c r="CK34">
        <v>0.50062818719458346</v>
      </c>
      <c r="CL34">
        <v>0.40046219209951994</v>
      </c>
      <c r="CM34">
        <v>0.3744224286006837</v>
      </c>
      <c r="CN34">
        <v>0.35108297919027837</v>
      </c>
      <c r="CO34">
        <v>0.35984649368563593</v>
      </c>
      <c r="CP34">
        <v>0.37887754697431936</v>
      </c>
      <c r="CQ34">
        <v>0.38721573449804431</v>
      </c>
      <c r="CR34">
        <v>0.28598527117719852</v>
      </c>
      <c r="CS34">
        <v>0.23954800629609577</v>
      </c>
      <c r="CT34">
        <v>0.22193791579821814</v>
      </c>
      <c r="CU34">
        <v>0.2295115825533372</v>
      </c>
      <c r="CV34">
        <v>0.25214220881751015</v>
      </c>
      <c r="CW34">
        <v>0.25672007014713638</v>
      </c>
      <c r="CX34">
        <v>0.41896625341953703</v>
      </c>
      <c r="CY34">
        <v>0.39921318737975986</v>
      </c>
      <c r="CZ34">
        <v>0.37200260740624813</v>
      </c>
      <c r="DA34">
        <v>0.3869177318902885</v>
      </c>
      <c r="DB34">
        <v>0.41678028506069514</v>
      </c>
      <c r="DC34">
        <v>0.43106431351275326</v>
      </c>
      <c r="DE34" t="s">
        <v>845</v>
      </c>
      <c r="DF34" t="s">
        <v>111</v>
      </c>
      <c r="DG34" t="s">
        <v>112</v>
      </c>
      <c r="DH34">
        <v>0.649986323758451</v>
      </c>
    </row>
    <row r="35" spans="2:112" x14ac:dyDescent="0.45">
      <c r="B35" t="s">
        <v>853</v>
      </c>
      <c r="C35" t="s">
        <v>107</v>
      </c>
      <c r="D35">
        <v>0.26529071537961751</v>
      </c>
      <c r="E35">
        <v>0.27949681307191659</v>
      </c>
      <c r="F35">
        <v>0.28727842780792423</v>
      </c>
      <c r="G35">
        <v>0.3256624644730477</v>
      </c>
      <c r="H35">
        <v>0.30706206624999383</v>
      </c>
      <c r="I35">
        <v>0.26826135004405216</v>
      </c>
      <c r="J35">
        <v>0.30818544180907459</v>
      </c>
      <c r="K35">
        <v>0.30091461898495625</v>
      </c>
      <c r="L35">
        <v>0.33747034011636484</v>
      </c>
      <c r="M35">
        <v>0.34601277405383946</v>
      </c>
      <c r="N35">
        <v>0.31615489505077782</v>
      </c>
      <c r="O35">
        <v>0.31322486636874075</v>
      </c>
      <c r="P35">
        <v>0.33292227110135925</v>
      </c>
      <c r="Q35">
        <v>0.34713280846070832</v>
      </c>
      <c r="R35">
        <v>0.39722363204606009</v>
      </c>
      <c r="S35">
        <v>0.38215901240837097</v>
      </c>
      <c r="T35">
        <v>0.35337789797448471</v>
      </c>
      <c r="U35">
        <v>0.36454645751328768</v>
      </c>
      <c r="V35">
        <v>0.3232210226439321</v>
      </c>
      <c r="W35">
        <v>0.32608720053645929</v>
      </c>
      <c r="X35">
        <v>0.34406256263521073</v>
      </c>
      <c r="Y35">
        <v>0.33632065916893233</v>
      </c>
      <c r="Z35">
        <v>0.31771186132528456</v>
      </c>
      <c r="AA35">
        <v>0.32014752035226707</v>
      </c>
      <c r="CE35" t="s">
        <v>853</v>
      </c>
      <c r="CF35">
        <v>0.52909569903794262</v>
      </c>
      <c r="CG35">
        <v>0.51938006361273836</v>
      </c>
      <c r="CH35">
        <v>0.50629115385624268</v>
      </c>
      <c r="CI35">
        <v>0.46682142062302401</v>
      </c>
      <c r="CJ35">
        <v>0.48652820610096331</v>
      </c>
      <c r="CK35">
        <v>0.52358942037982936</v>
      </c>
      <c r="CL35">
        <v>0.42188019540734112</v>
      </c>
      <c r="CM35">
        <v>0.40787551087218477</v>
      </c>
      <c r="CN35">
        <v>0.38909314027768088</v>
      </c>
      <c r="CO35">
        <v>0.39942796974513761</v>
      </c>
      <c r="CP35">
        <v>0.41081692490463512</v>
      </c>
      <c r="CQ35">
        <v>0.40821192325075978</v>
      </c>
      <c r="CR35">
        <v>0.32657059855378262</v>
      </c>
      <c r="CS35">
        <v>0.27333958019216487</v>
      </c>
      <c r="CT35">
        <v>0.23713946883251175</v>
      </c>
      <c r="CU35">
        <v>0.23558743195431103</v>
      </c>
      <c r="CV35">
        <v>0.27421871043886803</v>
      </c>
      <c r="CW35">
        <v>0.29049223093434062</v>
      </c>
      <c r="CX35">
        <v>0.44011844037795328</v>
      </c>
      <c r="CY35">
        <v>0.42446894188101947</v>
      </c>
      <c r="CZ35">
        <v>0.38319572391271617</v>
      </c>
      <c r="DA35">
        <v>0.41003114347526931</v>
      </c>
      <c r="DB35">
        <v>0.44172732407506898</v>
      </c>
      <c r="DC35">
        <v>0.46097675155534412</v>
      </c>
      <c r="DE35" t="s">
        <v>847</v>
      </c>
      <c r="DF35" t="s">
        <v>111</v>
      </c>
      <c r="DG35" t="s">
        <v>112</v>
      </c>
      <c r="DH35">
        <v>0.65821558646706835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7944-B28A-4388-BD87-04B57CFCD205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region=NLD")</f>
        <v>~TFM_DINS-AT: region=NLD</v>
      </c>
      <c r="H9" t="str">
        <f>IF(A11="x","DeActivated","~TFM_DINS-AT: region=NLD")</f>
        <v>~TFM_DINS-AT: region=NLD</v>
      </c>
      <c r="L9" t="str">
        <f>IF(A11="x","DeActivated","~TFM_DINS-AT: region=NLD")</f>
        <v>~TFM_DINS-AT: region=NLD</v>
      </c>
      <c r="P9" t="str">
        <f>IF(A11="x","DeActivated","~TFM_INS-AT: region=NLD")</f>
        <v>~TFM_INS-AT: region=NLD</v>
      </c>
    </row>
    <row r="10" spans="1:19" x14ac:dyDescent="0.45">
      <c r="A10" t="s">
        <v>189</v>
      </c>
      <c r="C10" t="s">
        <v>190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191</v>
      </c>
      <c r="P10" t="s">
        <v>192</v>
      </c>
      <c r="Q10" t="s">
        <v>1</v>
      </c>
      <c r="R10" t="s">
        <v>193</v>
      </c>
      <c r="S10" t="s">
        <v>194</v>
      </c>
    </row>
    <row r="11" spans="1:19" x14ac:dyDescent="0.45">
      <c r="C11">
        <v>8.2191780821917804E-2</v>
      </c>
      <c r="D11">
        <v>2.291226412748925E-2</v>
      </c>
      <c r="E11" t="s">
        <v>5</v>
      </c>
      <c r="F11" t="s">
        <v>195</v>
      </c>
      <c r="H11" t="s">
        <v>196</v>
      </c>
      <c r="I11" t="s">
        <v>5</v>
      </c>
      <c r="L11" t="s">
        <v>197</v>
      </c>
      <c r="M11" t="s">
        <v>5</v>
      </c>
      <c r="N11">
        <v>0.22054894572138517</v>
      </c>
      <c r="P11">
        <v>2020</v>
      </c>
      <c r="Q11" t="s">
        <v>198</v>
      </c>
      <c r="R11">
        <v>0.224</v>
      </c>
      <c r="S11" t="s">
        <v>199</v>
      </c>
    </row>
    <row r="12" spans="1:19" x14ac:dyDescent="0.45">
      <c r="C12">
        <v>4.1095890410958902E-2</v>
      </c>
      <c r="D12">
        <v>5.0687417646620103E-2</v>
      </c>
      <c r="E12" t="s">
        <v>9</v>
      </c>
      <c r="F12" t="s">
        <v>195</v>
      </c>
      <c r="H12" t="s">
        <v>196</v>
      </c>
      <c r="I12" t="s">
        <v>9</v>
      </c>
      <c r="L12" t="s">
        <v>197</v>
      </c>
      <c r="M12" t="s">
        <v>9</v>
      </c>
      <c r="N12">
        <v>0.23886128417027774</v>
      </c>
      <c r="P12">
        <v>2020</v>
      </c>
      <c r="Q12" t="s">
        <v>200</v>
      </c>
      <c r="R12">
        <v>0.22773333333333334</v>
      </c>
      <c r="S12" t="s">
        <v>199</v>
      </c>
    </row>
    <row r="13" spans="1:19" x14ac:dyDescent="0.45">
      <c r="C13">
        <v>3.0821917808219176E-2</v>
      </c>
      <c r="D13">
        <v>3.8336275265395424E-2</v>
      </c>
      <c r="E13" t="s">
        <v>10</v>
      </c>
      <c r="F13" t="s">
        <v>195</v>
      </c>
      <c r="H13" t="s">
        <v>196</v>
      </c>
      <c r="I13" t="s">
        <v>10</v>
      </c>
      <c r="L13" t="s">
        <v>197</v>
      </c>
      <c r="M13" t="s">
        <v>10</v>
      </c>
      <c r="N13">
        <v>8.92902756753291E-2</v>
      </c>
      <c r="P13">
        <v>2020</v>
      </c>
      <c r="Q13" t="s">
        <v>201</v>
      </c>
      <c r="R13">
        <v>0</v>
      </c>
      <c r="S13" t="s">
        <v>199</v>
      </c>
    </row>
    <row r="14" spans="1:19" x14ac:dyDescent="0.45">
      <c r="C14">
        <v>3.0821917808219176E-2</v>
      </c>
      <c r="D14">
        <v>3.9768291773363502E-2</v>
      </c>
      <c r="E14" t="s">
        <v>11</v>
      </c>
      <c r="F14" t="s">
        <v>195</v>
      </c>
      <c r="H14" t="s">
        <v>196</v>
      </c>
      <c r="I14" t="s">
        <v>11</v>
      </c>
      <c r="L14" t="s">
        <v>197</v>
      </c>
      <c r="M14" t="s">
        <v>11</v>
      </c>
      <c r="N14">
        <v>8.3353129865099795E-2</v>
      </c>
      <c r="P14">
        <v>2020</v>
      </c>
      <c r="Q14" t="s">
        <v>202</v>
      </c>
      <c r="R14">
        <v>0</v>
      </c>
      <c r="S14" t="s">
        <v>199</v>
      </c>
    </row>
    <row r="15" spans="1:19" x14ac:dyDescent="0.45">
      <c r="C15">
        <v>3.0821917808219176E-2</v>
      </c>
      <c r="D15">
        <v>5.5490639683763034E-2</v>
      </c>
      <c r="E15" t="s">
        <v>12</v>
      </c>
      <c r="F15" t="s">
        <v>195</v>
      </c>
      <c r="H15" t="s">
        <v>196</v>
      </c>
      <c r="I15" t="s">
        <v>12</v>
      </c>
      <c r="L15" t="s">
        <v>197</v>
      </c>
      <c r="M15" t="s">
        <v>12</v>
      </c>
      <c r="N15">
        <v>8.3301226784744609E-2</v>
      </c>
      <c r="P15">
        <v>2021</v>
      </c>
      <c r="Q15" t="s">
        <v>198</v>
      </c>
      <c r="R15">
        <v>0.112</v>
      </c>
      <c r="S15" t="s">
        <v>199</v>
      </c>
    </row>
    <row r="16" spans="1:19" x14ac:dyDescent="0.45">
      <c r="C16">
        <v>3.0821917808219176E-2</v>
      </c>
      <c r="D16">
        <v>3.9380453969122146E-2</v>
      </c>
      <c r="E16" t="s">
        <v>13</v>
      </c>
      <c r="F16" t="s">
        <v>195</v>
      </c>
      <c r="H16" t="s">
        <v>196</v>
      </c>
      <c r="I16" t="s">
        <v>13</v>
      </c>
      <c r="L16" t="s">
        <v>197</v>
      </c>
      <c r="M16" t="s">
        <v>13</v>
      </c>
      <c r="N16">
        <v>8.2924333402841555E-2</v>
      </c>
      <c r="P16">
        <v>2021</v>
      </c>
      <c r="Q16" t="s">
        <v>200</v>
      </c>
      <c r="R16">
        <v>0.33973333333333339</v>
      </c>
      <c r="S16" t="s">
        <v>199</v>
      </c>
    </row>
    <row r="17" spans="3:19" x14ac:dyDescent="0.45">
      <c r="C17">
        <v>8.4018264840182655E-2</v>
      </c>
      <c r="D17">
        <v>2.3421425552544572E-2</v>
      </c>
      <c r="E17" t="s">
        <v>14</v>
      </c>
      <c r="F17" t="s">
        <v>195</v>
      </c>
      <c r="H17" t="s">
        <v>196</v>
      </c>
      <c r="I17" t="s">
        <v>14</v>
      </c>
      <c r="L17" t="s">
        <v>197</v>
      </c>
      <c r="M17" t="s">
        <v>14</v>
      </c>
      <c r="N17">
        <v>0.2486820319910823</v>
      </c>
      <c r="P17">
        <v>2021</v>
      </c>
      <c r="Q17" t="s">
        <v>201</v>
      </c>
      <c r="R17">
        <v>0.33973333333333339</v>
      </c>
      <c r="S17" t="s">
        <v>199</v>
      </c>
    </row>
    <row r="18" spans="3:19" x14ac:dyDescent="0.45">
      <c r="C18">
        <v>4.2009132420091327E-2</v>
      </c>
      <c r="D18">
        <v>5.1813804705433876E-2</v>
      </c>
      <c r="E18" t="s">
        <v>15</v>
      </c>
      <c r="F18" t="s">
        <v>195</v>
      </c>
      <c r="H18" t="s">
        <v>196</v>
      </c>
      <c r="I18" t="s">
        <v>15</v>
      </c>
      <c r="L18" t="s">
        <v>197</v>
      </c>
      <c r="M18" t="s">
        <v>15</v>
      </c>
      <c r="N18">
        <v>0.23028791660736991</v>
      </c>
      <c r="P18">
        <v>2021</v>
      </c>
      <c r="Q18" t="s">
        <v>202</v>
      </c>
      <c r="R18">
        <v>0</v>
      </c>
      <c r="S18" t="s">
        <v>199</v>
      </c>
    </row>
    <row r="19" spans="3:19" x14ac:dyDescent="0.45">
      <c r="C19">
        <v>3.1506849315068496E-2</v>
      </c>
      <c r="D19">
        <v>3.9188192493515323E-2</v>
      </c>
      <c r="E19" t="s">
        <v>16</v>
      </c>
      <c r="F19" t="s">
        <v>195</v>
      </c>
      <c r="H19" t="s">
        <v>196</v>
      </c>
      <c r="I19" t="s">
        <v>16</v>
      </c>
      <c r="L19" t="s">
        <v>197</v>
      </c>
      <c r="M19" t="s">
        <v>16</v>
      </c>
      <c r="N19">
        <v>0.10881721825453838</v>
      </c>
      <c r="P19">
        <v>2022</v>
      </c>
      <c r="Q19" t="s">
        <v>198</v>
      </c>
      <c r="R19">
        <v>0.23599999999999999</v>
      </c>
      <c r="S19" t="s">
        <v>199</v>
      </c>
    </row>
    <row r="20" spans="3:19" x14ac:dyDescent="0.45">
      <c r="C20">
        <v>3.1506849315068496E-2</v>
      </c>
      <c r="D20">
        <v>4.0652031590549358E-2</v>
      </c>
      <c r="E20" t="s">
        <v>17</v>
      </c>
      <c r="F20" t="s">
        <v>195</v>
      </c>
      <c r="H20" t="s">
        <v>196</v>
      </c>
      <c r="I20" t="s">
        <v>17</v>
      </c>
      <c r="L20" t="s">
        <v>197</v>
      </c>
      <c r="M20" t="s">
        <v>17</v>
      </c>
      <c r="N20">
        <v>0.11899715656169163</v>
      </c>
      <c r="P20">
        <v>2022</v>
      </c>
      <c r="Q20" t="s">
        <v>200</v>
      </c>
      <c r="R20">
        <v>0.22773333333333334</v>
      </c>
      <c r="S20" t="s">
        <v>199</v>
      </c>
    </row>
    <row r="21" spans="3:19" x14ac:dyDescent="0.45">
      <c r="C21">
        <v>3.1506849315068496E-2</v>
      </c>
      <c r="D21">
        <v>5.6723765010068872E-2</v>
      </c>
      <c r="E21" t="s">
        <v>18</v>
      </c>
      <c r="F21" t="s">
        <v>195</v>
      </c>
      <c r="H21" t="s">
        <v>196</v>
      </c>
      <c r="I21" t="s">
        <v>18</v>
      </c>
      <c r="L21" t="s">
        <v>197</v>
      </c>
      <c r="M21" t="s">
        <v>18</v>
      </c>
      <c r="N21">
        <v>0.12758003867376244</v>
      </c>
      <c r="P21">
        <v>2022</v>
      </c>
      <c r="Q21" t="s">
        <v>201</v>
      </c>
      <c r="R21">
        <v>0</v>
      </c>
      <c r="S21" t="s">
        <v>199</v>
      </c>
    </row>
    <row r="22" spans="3:19" x14ac:dyDescent="0.45">
      <c r="C22">
        <v>3.1506849315068496E-2</v>
      </c>
      <c r="D22">
        <v>4.0255575168435975E-2</v>
      </c>
      <c r="E22" t="s">
        <v>19</v>
      </c>
      <c r="F22" t="s">
        <v>195</v>
      </c>
      <c r="H22" t="s">
        <v>196</v>
      </c>
      <c r="I22" t="s">
        <v>19</v>
      </c>
      <c r="L22" t="s">
        <v>197</v>
      </c>
      <c r="M22" t="s">
        <v>19</v>
      </c>
      <c r="N22">
        <v>0.13152840277410127</v>
      </c>
      <c r="P22">
        <v>2022</v>
      </c>
      <c r="Q22" t="s">
        <v>202</v>
      </c>
      <c r="R22">
        <v>0</v>
      </c>
      <c r="S22" t="s">
        <v>199</v>
      </c>
    </row>
    <row r="23" spans="3:19" x14ac:dyDescent="0.45">
      <c r="C23">
        <v>8.4018264840182655E-2</v>
      </c>
      <c r="D23">
        <v>2.3421425552544572E-2</v>
      </c>
      <c r="E23" t="s">
        <v>20</v>
      </c>
      <c r="F23" t="s">
        <v>195</v>
      </c>
      <c r="H23" t="s">
        <v>196</v>
      </c>
      <c r="I23" t="s">
        <v>20</v>
      </c>
      <c r="L23" t="s">
        <v>197</v>
      </c>
      <c r="M23" t="s">
        <v>20</v>
      </c>
      <c r="N23">
        <v>0.24721687961283711</v>
      </c>
      <c r="P23">
        <v>2025</v>
      </c>
      <c r="Q23" t="s">
        <v>198</v>
      </c>
      <c r="R23">
        <v>0.37153333333333333</v>
      </c>
      <c r="S23" t="s">
        <v>199</v>
      </c>
    </row>
    <row r="24" spans="3:19" x14ac:dyDescent="0.45">
      <c r="C24">
        <v>4.2009132420091327E-2</v>
      </c>
      <c r="D24">
        <v>5.1813804705433876E-2</v>
      </c>
      <c r="E24" t="s">
        <v>21</v>
      </c>
      <c r="F24" t="s">
        <v>195</v>
      </c>
      <c r="H24" t="s">
        <v>196</v>
      </c>
      <c r="I24" t="s">
        <v>21</v>
      </c>
      <c r="L24" t="s">
        <v>197</v>
      </c>
      <c r="M24" t="s">
        <v>21</v>
      </c>
      <c r="N24">
        <v>0.21296037774360199</v>
      </c>
      <c r="P24">
        <v>2025</v>
      </c>
      <c r="Q24" t="s">
        <v>200</v>
      </c>
      <c r="R24">
        <v>0.44846666666666674</v>
      </c>
      <c r="S24" t="s">
        <v>199</v>
      </c>
    </row>
    <row r="25" spans="3:19" x14ac:dyDescent="0.45">
      <c r="C25">
        <v>3.1506849315068496E-2</v>
      </c>
      <c r="D25">
        <v>3.9188192493515323E-2</v>
      </c>
      <c r="E25" t="s">
        <v>22</v>
      </c>
      <c r="F25" t="s">
        <v>195</v>
      </c>
      <c r="H25" t="s">
        <v>196</v>
      </c>
      <c r="I25" t="s">
        <v>22</v>
      </c>
      <c r="L25" t="s">
        <v>197</v>
      </c>
      <c r="M25" t="s">
        <v>22</v>
      </c>
      <c r="N25">
        <v>9.7450741850927614E-2</v>
      </c>
      <c r="P25">
        <v>2025</v>
      </c>
      <c r="Q25" t="s">
        <v>201</v>
      </c>
      <c r="R25">
        <v>0.16653333333333334</v>
      </c>
      <c r="S25" t="s">
        <v>199</v>
      </c>
    </row>
    <row r="26" spans="3:19" x14ac:dyDescent="0.45">
      <c r="C26">
        <v>3.1506849315068496E-2</v>
      </c>
      <c r="D26">
        <v>4.0652031590549358E-2</v>
      </c>
      <c r="E26" t="s">
        <v>23</v>
      </c>
      <c r="F26" t="s">
        <v>195</v>
      </c>
      <c r="H26" t="s">
        <v>196</v>
      </c>
      <c r="I26" t="s">
        <v>23</v>
      </c>
      <c r="L26" t="s">
        <v>197</v>
      </c>
      <c r="M26" t="s">
        <v>23</v>
      </c>
      <c r="N26">
        <v>9.8972573431046262E-2</v>
      </c>
      <c r="P26">
        <v>2025</v>
      </c>
      <c r="Q26" t="s">
        <v>202</v>
      </c>
      <c r="R26">
        <v>6.8699999999999997E-2</v>
      </c>
      <c r="S26" t="s">
        <v>199</v>
      </c>
    </row>
    <row r="27" spans="3:19" x14ac:dyDescent="0.45">
      <c r="C27">
        <v>3.1506849315068496E-2</v>
      </c>
      <c r="D27">
        <v>5.6723765010068872E-2</v>
      </c>
      <c r="E27" t="s">
        <v>24</v>
      </c>
      <c r="F27" t="s">
        <v>195</v>
      </c>
      <c r="H27" t="s">
        <v>196</v>
      </c>
      <c r="I27" t="s">
        <v>24</v>
      </c>
      <c r="L27" t="s">
        <v>197</v>
      </c>
      <c r="M27" t="s">
        <v>24</v>
      </c>
      <c r="N27">
        <v>8.9589689465405797E-2</v>
      </c>
      <c r="P27">
        <v>2026</v>
      </c>
      <c r="Q27" t="s">
        <v>198</v>
      </c>
      <c r="R27">
        <v>0.32669999999999999</v>
      </c>
      <c r="S27" t="s">
        <v>199</v>
      </c>
    </row>
    <row r="28" spans="3:19" x14ac:dyDescent="0.45">
      <c r="C28">
        <v>3.1506849315068496E-2</v>
      </c>
      <c r="D28">
        <v>4.0255575168435975E-2</v>
      </c>
      <c r="E28" t="s">
        <v>25</v>
      </c>
      <c r="F28" t="s">
        <v>195</v>
      </c>
      <c r="H28" t="s">
        <v>196</v>
      </c>
      <c r="I28" t="s">
        <v>25</v>
      </c>
      <c r="L28" t="s">
        <v>197</v>
      </c>
      <c r="M28" t="s">
        <v>25</v>
      </c>
      <c r="N28">
        <v>8.9042112906246196E-2</v>
      </c>
      <c r="P28">
        <v>2026</v>
      </c>
      <c r="Q28" t="s">
        <v>200</v>
      </c>
      <c r="R28">
        <v>0.41173333333333328</v>
      </c>
      <c r="S28" t="s">
        <v>199</v>
      </c>
    </row>
    <row r="29" spans="3:19" x14ac:dyDescent="0.45">
      <c r="C29">
        <v>8.3105022831050229E-2</v>
      </c>
      <c r="D29">
        <v>2.3166844840016909E-2</v>
      </c>
      <c r="E29" t="s">
        <v>26</v>
      </c>
      <c r="F29" t="s">
        <v>195</v>
      </c>
      <c r="H29" t="s">
        <v>196</v>
      </c>
      <c r="I29" t="s">
        <v>26</v>
      </c>
      <c r="L29" t="s">
        <v>197</v>
      </c>
      <c r="M29" t="s">
        <v>26</v>
      </c>
      <c r="N29">
        <v>0.26848797121793089</v>
      </c>
      <c r="P29">
        <v>2026</v>
      </c>
      <c r="Q29" t="s">
        <v>201</v>
      </c>
      <c r="R29">
        <v>0.11769999999999999</v>
      </c>
      <c r="S29" t="s">
        <v>199</v>
      </c>
    </row>
    <row r="30" spans="3:19" x14ac:dyDescent="0.45">
      <c r="C30">
        <v>4.1552511415525115E-2</v>
      </c>
      <c r="D30">
        <v>5.1250611176026986E-2</v>
      </c>
      <c r="E30" t="s">
        <v>27</v>
      </c>
      <c r="F30" t="s">
        <v>195</v>
      </c>
      <c r="H30" t="s">
        <v>196</v>
      </c>
      <c r="I30" t="s">
        <v>27</v>
      </c>
      <c r="L30" t="s">
        <v>197</v>
      </c>
      <c r="M30" t="s">
        <v>27</v>
      </c>
      <c r="N30">
        <v>0.31034980335800633</v>
      </c>
      <c r="P30">
        <v>2026</v>
      </c>
      <c r="Q30" t="s">
        <v>202</v>
      </c>
      <c r="R30">
        <v>0.11230000000000001</v>
      </c>
      <c r="S30" t="s">
        <v>199</v>
      </c>
    </row>
    <row r="31" spans="3:19" x14ac:dyDescent="0.45">
      <c r="C31">
        <v>3.1164383561643836E-2</v>
      </c>
      <c r="D31">
        <v>3.8762233879455377E-2</v>
      </c>
      <c r="E31" t="s">
        <v>28</v>
      </c>
      <c r="F31" t="s">
        <v>195</v>
      </c>
      <c r="H31" t="s">
        <v>196</v>
      </c>
      <c r="I31" t="s">
        <v>28</v>
      </c>
      <c r="L31" t="s">
        <v>197</v>
      </c>
      <c r="M31" t="s">
        <v>28</v>
      </c>
      <c r="N31">
        <v>0.15427093598203889</v>
      </c>
      <c r="P31">
        <v>2027</v>
      </c>
      <c r="Q31" t="s">
        <v>198</v>
      </c>
      <c r="R31">
        <v>0.31303333333333333</v>
      </c>
      <c r="S31" t="s">
        <v>199</v>
      </c>
    </row>
    <row r="32" spans="3:19" x14ac:dyDescent="0.45">
      <c r="C32">
        <v>3.1164383561643836E-2</v>
      </c>
      <c r="D32">
        <v>4.021016168195643E-2</v>
      </c>
      <c r="E32" t="s">
        <v>29</v>
      </c>
      <c r="F32" t="s">
        <v>195</v>
      </c>
      <c r="H32" t="s">
        <v>196</v>
      </c>
      <c r="I32" t="s">
        <v>29</v>
      </c>
      <c r="L32" t="s">
        <v>197</v>
      </c>
      <c r="M32" t="s">
        <v>29</v>
      </c>
      <c r="N32">
        <v>0.14037321329021912</v>
      </c>
      <c r="P32">
        <v>2027</v>
      </c>
      <c r="Q32" t="s">
        <v>200</v>
      </c>
      <c r="R32">
        <v>0.4456</v>
      </c>
      <c r="S32" t="s">
        <v>199</v>
      </c>
    </row>
    <row r="33" spans="3:19" x14ac:dyDescent="0.45">
      <c r="C33">
        <v>3.1164383561643836E-2</v>
      </c>
      <c r="D33">
        <v>5.6107202346915949E-2</v>
      </c>
      <c r="E33" t="s">
        <v>30</v>
      </c>
      <c r="F33" t="s">
        <v>195</v>
      </c>
      <c r="H33" t="s">
        <v>196</v>
      </c>
      <c r="I33" t="s">
        <v>30</v>
      </c>
      <c r="L33" t="s">
        <v>197</v>
      </c>
      <c r="M33" t="s">
        <v>30</v>
      </c>
      <c r="N33">
        <v>0.14880882972136833</v>
      </c>
      <c r="P33">
        <v>2027</v>
      </c>
      <c r="Q33" t="s">
        <v>201</v>
      </c>
      <c r="R33">
        <v>8.3799999999999999E-2</v>
      </c>
      <c r="S33" t="s">
        <v>199</v>
      </c>
    </row>
    <row r="34" spans="3:19" x14ac:dyDescent="0.45">
      <c r="C34">
        <v>3.1164383561643836E-2</v>
      </c>
      <c r="D34">
        <v>3.9818014568779057E-2</v>
      </c>
      <c r="E34" t="s">
        <v>31</v>
      </c>
      <c r="F34" t="s">
        <v>195</v>
      </c>
      <c r="H34" t="s">
        <v>196</v>
      </c>
      <c r="I34" t="s">
        <v>31</v>
      </c>
      <c r="L34" t="s">
        <v>197</v>
      </c>
      <c r="M34" t="s">
        <v>31</v>
      </c>
      <c r="N34">
        <v>0.14592854351777906</v>
      </c>
      <c r="P34">
        <v>2027</v>
      </c>
      <c r="Q34" t="s">
        <v>202</v>
      </c>
      <c r="R34">
        <v>8.3966666666666676E-2</v>
      </c>
      <c r="S34" t="s">
        <v>199</v>
      </c>
    </row>
    <row r="35" spans="3:19" x14ac:dyDescent="0.45">
      <c r="H35" t="s">
        <v>203</v>
      </c>
      <c r="I35" t="s">
        <v>5</v>
      </c>
      <c r="P35">
        <v>2028</v>
      </c>
      <c r="Q35" t="s">
        <v>198</v>
      </c>
      <c r="R35">
        <v>0.4291666666666667</v>
      </c>
      <c r="S35" t="s">
        <v>199</v>
      </c>
    </row>
    <row r="36" spans="3:19" x14ac:dyDescent="0.45">
      <c r="H36" t="s">
        <v>203</v>
      </c>
      <c r="I36" t="s">
        <v>9</v>
      </c>
      <c r="P36">
        <v>2028</v>
      </c>
      <c r="Q36" t="s">
        <v>200</v>
      </c>
      <c r="R36">
        <v>0.53203333333333325</v>
      </c>
      <c r="S36" t="s">
        <v>199</v>
      </c>
    </row>
    <row r="37" spans="3:19" x14ac:dyDescent="0.45">
      <c r="H37" t="s">
        <v>203</v>
      </c>
      <c r="I37" t="s">
        <v>10</v>
      </c>
      <c r="P37">
        <v>2028</v>
      </c>
      <c r="Q37" t="s">
        <v>201</v>
      </c>
      <c r="R37">
        <v>0.18000000000000002</v>
      </c>
      <c r="S37" t="s">
        <v>199</v>
      </c>
    </row>
    <row r="38" spans="3:19" x14ac:dyDescent="0.45">
      <c r="H38" t="s">
        <v>203</v>
      </c>
      <c r="I38" t="s">
        <v>11</v>
      </c>
      <c r="P38">
        <v>2028</v>
      </c>
      <c r="Q38" t="s">
        <v>202</v>
      </c>
      <c r="R38">
        <v>0.111</v>
      </c>
      <c r="S38" t="s">
        <v>199</v>
      </c>
    </row>
    <row r="39" spans="3:19" x14ac:dyDescent="0.45">
      <c r="H39" t="s">
        <v>203</v>
      </c>
      <c r="I39" t="s">
        <v>12</v>
      </c>
      <c r="P39">
        <v>2029</v>
      </c>
      <c r="Q39" t="s">
        <v>198</v>
      </c>
      <c r="R39">
        <v>0.44100000000000006</v>
      </c>
      <c r="S39" t="s">
        <v>199</v>
      </c>
    </row>
    <row r="40" spans="3:19" x14ac:dyDescent="0.45">
      <c r="H40" t="s">
        <v>203</v>
      </c>
      <c r="I40" t="s">
        <v>13</v>
      </c>
      <c r="P40">
        <v>2029</v>
      </c>
      <c r="Q40" t="s">
        <v>200</v>
      </c>
      <c r="R40">
        <v>0.55983333333333329</v>
      </c>
      <c r="S40" t="s">
        <v>199</v>
      </c>
    </row>
    <row r="41" spans="3:19" x14ac:dyDescent="0.45">
      <c r="H41" t="s">
        <v>203</v>
      </c>
      <c r="I41" t="s">
        <v>14</v>
      </c>
      <c r="P41">
        <v>2029</v>
      </c>
      <c r="Q41" t="s">
        <v>201</v>
      </c>
      <c r="R41">
        <v>0.11813333333333333</v>
      </c>
      <c r="S41" t="s">
        <v>199</v>
      </c>
    </row>
    <row r="42" spans="3:19" x14ac:dyDescent="0.45">
      <c r="H42" t="s">
        <v>203</v>
      </c>
      <c r="I42" t="s">
        <v>15</v>
      </c>
      <c r="P42">
        <v>2029</v>
      </c>
      <c r="Q42" t="s">
        <v>202</v>
      </c>
      <c r="R42">
        <v>0.13226666666666667</v>
      </c>
      <c r="S42" t="s">
        <v>199</v>
      </c>
    </row>
    <row r="43" spans="3:19" x14ac:dyDescent="0.45">
      <c r="H43" t="s">
        <v>203</v>
      </c>
      <c r="I43" t="s">
        <v>16</v>
      </c>
      <c r="P43">
        <v>2030</v>
      </c>
      <c r="Q43" t="s">
        <v>198</v>
      </c>
      <c r="R43">
        <v>0.37813333333333338</v>
      </c>
      <c r="S43" t="s">
        <v>199</v>
      </c>
    </row>
    <row r="44" spans="3:19" x14ac:dyDescent="0.45">
      <c r="H44" t="s">
        <v>203</v>
      </c>
      <c r="I44" t="s">
        <v>17</v>
      </c>
      <c r="P44">
        <v>2030</v>
      </c>
      <c r="Q44" t="s">
        <v>200</v>
      </c>
      <c r="R44">
        <v>0.58243333333333336</v>
      </c>
      <c r="S44" t="s">
        <v>199</v>
      </c>
    </row>
    <row r="45" spans="3:19" x14ac:dyDescent="0.45">
      <c r="H45" t="s">
        <v>203</v>
      </c>
      <c r="I45" t="s">
        <v>18</v>
      </c>
      <c r="P45">
        <v>2030</v>
      </c>
      <c r="Q45" t="s">
        <v>201</v>
      </c>
      <c r="R45">
        <v>0.13123333333333334</v>
      </c>
      <c r="S45" t="s">
        <v>199</v>
      </c>
    </row>
    <row r="46" spans="3:19" x14ac:dyDescent="0.45">
      <c r="H46" t="s">
        <v>203</v>
      </c>
      <c r="I46" t="s">
        <v>19</v>
      </c>
      <c r="P46">
        <v>2030</v>
      </c>
      <c r="Q46" t="s">
        <v>202</v>
      </c>
      <c r="R46">
        <v>7.1900000000000006E-2</v>
      </c>
      <c r="S46" t="s">
        <v>199</v>
      </c>
    </row>
    <row r="47" spans="3:19" x14ac:dyDescent="0.45">
      <c r="H47" t="s">
        <v>203</v>
      </c>
      <c r="I47" t="s">
        <v>20</v>
      </c>
      <c r="P47">
        <v>2031</v>
      </c>
      <c r="Q47" t="s">
        <v>198</v>
      </c>
      <c r="R47">
        <v>0.41473333333333334</v>
      </c>
      <c r="S47" t="s">
        <v>199</v>
      </c>
    </row>
    <row r="48" spans="3:19" x14ac:dyDescent="0.45">
      <c r="H48" t="s">
        <v>203</v>
      </c>
      <c r="I48" t="s">
        <v>21</v>
      </c>
      <c r="P48">
        <v>2031</v>
      </c>
      <c r="Q48" t="s">
        <v>200</v>
      </c>
      <c r="R48">
        <v>0.50856666666666672</v>
      </c>
      <c r="S48" t="s">
        <v>199</v>
      </c>
    </row>
    <row r="49" spans="8:19" x14ac:dyDescent="0.45">
      <c r="H49" t="s">
        <v>203</v>
      </c>
      <c r="I49" t="s">
        <v>22</v>
      </c>
      <c r="P49">
        <v>2031</v>
      </c>
      <c r="Q49" t="s">
        <v>201</v>
      </c>
      <c r="R49">
        <v>0.13770000000000002</v>
      </c>
      <c r="S49" t="s">
        <v>199</v>
      </c>
    </row>
    <row r="50" spans="8:19" x14ac:dyDescent="0.45">
      <c r="H50" t="s">
        <v>203</v>
      </c>
      <c r="I50" t="s">
        <v>23</v>
      </c>
      <c r="P50">
        <v>2031</v>
      </c>
      <c r="Q50" t="s">
        <v>202</v>
      </c>
      <c r="R50">
        <v>7.640000000000001E-2</v>
      </c>
      <c r="S50" t="s">
        <v>199</v>
      </c>
    </row>
    <row r="51" spans="8:19" x14ac:dyDescent="0.45">
      <c r="H51" t="s">
        <v>203</v>
      </c>
      <c r="I51" t="s">
        <v>24</v>
      </c>
      <c r="P51">
        <v>2032</v>
      </c>
      <c r="Q51" t="s">
        <v>198</v>
      </c>
      <c r="R51">
        <v>0.36906666666666671</v>
      </c>
      <c r="S51" t="s">
        <v>199</v>
      </c>
    </row>
    <row r="52" spans="8:19" x14ac:dyDescent="0.45">
      <c r="H52" t="s">
        <v>203</v>
      </c>
      <c r="I52" t="s">
        <v>25</v>
      </c>
      <c r="P52">
        <v>2032</v>
      </c>
      <c r="Q52" t="s">
        <v>200</v>
      </c>
      <c r="R52">
        <v>0.54470000000000007</v>
      </c>
      <c r="S52" t="s">
        <v>199</v>
      </c>
    </row>
    <row r="53" spans="8:19" x14ac:dyDescent="0.45">
      <c r="H53" t="s">
        <v>203</v>
      </c>
      <c r="I53" t="s">
        <v>26</v>
      </c>
      <c r="P53">
        <v>2032</v>
      </c>
      <c r="Q53" t="s">
        <v>201</v>
      </c>
      <c r="R53">
        <v>0.1870333333333333</v>
      </c>
      <c r="S53" t="s">
        <v>199</v>
      </c>
    </row>
    <row r="54" spans="8:19" x14ac:dyDescent="0.45">
      <c r="H54" t="s">
        <v>203</v>
      </c>
      <c r="I54" t="s">
        <v>27</v>
      </c>
      <c r="P54">
        <v>2032</v>
      </c>
      <c r="Q54" t="s">
        <v>202</v>
      </c>
      <c r="R54">
        <v>0.13753333333333331</v>
      </c>
      <c r="S54" t="s">
        <v>199</v>
      </c>
    </row>
    <row r="55" spans="8:19" x14ac:dyDescent="0.45">
      <c r="H55" t="s">
        <v>203</v>
      </c>
      <c r="I55" t="s">
        <v>28</v>
      </c>
      <c r="P55">
        <v>2033</v>
      </c>
      <c r="Q55" t="s">
        <v>198</v>
      </c>
      <c r="R55">
        <v>0.42533333333333334</v>
      </c>
      <c r="S55" t="s">
        <v>199</v>
      </c>
    </row>
    <row r="56" spans="8:19" x14ac:dyDescent="0.45">
      <c r="H56" t="s">
        <v>203</v>
      </c>
      <c r="I56" t="s">
        <v>29</v>
      </c>
      <c r="P56">
        <v>2033</v>
      </c>
      <c r="Q56" t="s">
        <v>200</v>
      </c>
      <c r="R56">
        <v>0.55076666666666663</v>
      </c>
      <c r="S56" t="s">
        <v>199</v>
      </c>
    </row>
    <row r="57" spans="8:19" x14ac:dyDescent="0.45">
      <c r="H57" t="s">
        <v>203</v>
      </c>
      <c r="I57" t="s">
        <v>30</v>
      </c>
      <c r="P57">
        <v>2033</v>
      </c>
      <c r="Q57" t="s">
        <v>201</v>
      </c>
      <c r="R57">
        <v>0.12659999999999999</v>
      </c>
      <c r="S57" t="s">
        <v>199</v>
      </c>
    </row>
    <row r="58" spans="8:19" x14ac:dyDescent="0.45">
      <c r="H58" t="s">
        <v>203</v>
      </c>
      <c r="I58" t="s">
        <v>31</v>
      </c>
      <c r="P58">
        <v>2033</v>
      </c>
      <c r="Q58" t="s">
        <v>202</v>
      </c>
      <c r="R58">
        <v>0.12563333333333332</v>
      </c>
      <c r="S58" t="s">
        <v>199</v>
      </c>
    </row>
    <row r="59" spans="8:19" x14ac:dyDescent="0.45">
      <c r="P59">
        <v>2034</v>
      </c>
      <c r="Q59" t="s">
        <v>198</v>
      </c>
      <c r="R59">
        <v>0.36053333333333332</v>
      </c>
      <c r="S59" t="s">
        <v>199</v>
      </c>
    </row>
    <row r="60" spans="8:19" x14ac:dyDescent="0.45">
      <c r="P60">
        <v>2034</v>
      </c>
      <c r="Q60" t="s">
        <v>200</v>
      </c>
      <c r="R60">
        <v>0.42663333333333336</v>
      </c>
      <c r="S60" t="s">
        <v>199</v>
      </c>
    </row>
    <row r="61" spans="8:19" x14ac:dyDescent="0.45">
      <c r="P61">
        <v>2034</v>
      </c>
      <c r="Q61" t="s">
        <v>201</v>
      </c>
      <c r="R61">
        <v>0.18853333333333333</v>
      </c>
      <c r="S61" t="s">
        <v>199</v>
      </c>
    </row>
    <row r="62" spans="8:19" x14ac:dyDescent="0.45">
      <c r="P62">
        <v>2034</v>
      </c>
      <c r="Q62" t="s">
        <v>202</v>
      </c>
      <c r="R62">
        <v>7.7100000000000002E-2</v>
      </c>
      <c r="S62" t="s">
        <v>199</v>
      </c>
    </row>
    <row r="63" spans="8:19" x14ac:dyDescent="0.45">
      <c r="P63">
        <v>2035</v>
      </c>
      <c r="Q63" t="s">
        <v>198</v>
      </c>
      <c r="R63">
        <v>0.37273333333333336</v>
      </c>
      <c r="S63" t="s">
        <v>199</v>
      </c>
    </row>
    <row r="64" spans="8:19" x14ac:dyDescent="0.45">
      <c r="P64">
        <v>2035</v>
      </c>
      <c r="Q64" t="s">
        <v>200</v>
      </c>
      <c r="R64">
        <v>0.47283333333333327</v>
      </c>
      <c r="S64" t="s">
        <v>199</v>
      </c>
    </row>
    <row r="65" spans="16:19" x14ac:dyDescent="0.45">
      <c r="P65">
        <v>2035</v>
      </c>
      <c r="Q65" t="s">
        <v>201</v>
      </c>
      <c r="R65">
        <v>0.1394</v>
      </c>
      <c r="S65" t="s">
        <v>199</v>
      </c>
    </row>
    <row r="66" spans="16:19" x14ac:dyDescent="0.45">
      <c r="P66">
        <v>2035</v>
      </c>
      <c r="Q66" t="s">
        <v>202</v>
      </c>
      <c r="R66">
        <v>9.4433333333333327E-2</v>
      </c>
      <c r="S66" t="s">
        <v>199</v>
      </c>
    </row>
    <row r="67" spans="16:19" x14ac:dyDescent="0.45">
      <c r="P67">
        <v>2036</v>
      </c>
      <c r="Q67" t="s">
        <v>198</v>
      </c>
      <c r="R67">
        <v>0.35660000000000003</v>
      </c>
      <c r="S67" t="s">
        <v>199</v>
      </c>
    </row>
    <row r="68" spans="16:19" x14ac:dyDescent="0.45">
      <c r="P68">
        <v>2036</v>
      </c>
      <c r="Q68" t="s">
        <v>200</v>
      </c>
      <c r="R68">
        <v>0.47696666666666671</v>
      </c>
      <c r="S68" t="s">
        <v>199</v>
      </c>
    </row>
    <row r="69" spans="16:19" x14ac:dyDescent="0.45">
      <c r="P69">
        <v>2036</v>
      </c>
      <c r="Q69" t="s">
        <v>201</v>
      </c>
      <c r="R69">
        <v>0.14306666666666668</v>
      </c>
      <c r="S69" t="s">
        <v>199</v>
      </c>
    </row>
    <row r="70" spans="16:19" x14ac:dyDescent="0.45">
      <c r="P70">
        <v>2036</v>
      </c>
      <c r="Q70" t="s">
        <v>202</v>
      </c>
      <c r="R70">
        <v>7.1533333333333338E-2</v>
      </c>
      <c r="S70" t="s">
        <v>199</v>
      </c>
    </row>
    <row r="71" spans="16:19" x14ac:dyDescent="0.45">
      <c r="P71">
        <v>2037</v>
      </c>
      <c r="Q71" t="s">
        <v>198</v>
      </c>
      <c r="R71">
        <v>0.35949999999999999</v>
      </c>
      <c r="S71" t="s">
        <v>199</v>
      </c>
    </row>
    <row r="72" spans="16:19" x14ac:dyDescent="0.45">
      <c r="P72">
        <v>2037</v>
      </c>
      <c r="Q72" t="s">
        <v>200</v>
      </c>
      <c r="R72">
        <v>0.57290000000000008</v>
      </c>
      <c r="S72" t="s">
        <v>199</v>
      </c>
    </row>
    <row r="73" spans="16:19" x14ac:dyDescent="0.45">
      <c r="P73">
        <v>2037</v>
      </c>
      <c r="Q73" t="s">
        <v>201</v>
      </c>
      <c r="R73">
        <v>0.15173333333333336</v>
      </c>
      <c r="S73" t="s">
        <v>199</v>
      </c>
    </row>
    <row r="74" spans="16:19" x14ac:dyDescent="0.45">
      <c r="P74">
        <v>2037</v>
      </c>
      <c r="Q74" t="s">
        <v>202</v>
      </c>
      <c r="R74">
        <v>9.3533333333333343E-2</v>
      </c>
      <c r="S74" t="s">
        <v>199</v>
      </c>
    </row>
    <row r="75" spans="16:19" x14ac:dyDescent="0.45">
      <c r="P75">
        <v>2038</v>
      </c>
      <c r="Q75" t="s">
        <v>198</v>
      </c>
      <c r="R75">
        <v>0.34949999999999998</v>
      </c>
      <c r="S75" t="s">
        <v>199</v>
      </c>
    </row>
    <row r="76" spans="16:19" x14ac:dyDescent="0.45">
      <c r="P76">
        <v>2038</v>
      </c>
      <c r="Q76" t="s">
        <v>200</v>
      </c>
      <c r="R76">
        <v>0.51013333333333333</v>
      </c>
      <c r="S76" t="s">
        <v>199</v>
      </c>
    </row>
    <row r="77" spans="16:19" x14ac:dyDescent="0.45">
      <c r="P77">
        <v>2038</v>
      </c>
      <c r="Q77" t="s">
        <v>201</v>
      </c>
      <c r="R77">
        <v>6.6333333333333341E-2</v>
      </c>
      <c r="S77" t="s">
        <v>199</v>
      </c>
    </row>
    <row r="78" spans="16:19" x14ac:dyDescent="0.45">
      <c r="P78">
        <v>2038</v>
      </c>
      <c r="Q78" t="s">
        <v>202</v>
      </c>
      <c r="R78">
        <v>5.9533333333333327E-2</v>
      </c>
      <c r="S78" t="s">
        <v>199</v>
      </c>
    </row>
    <row r="79" spans="16:19" x14ac:dyDescent="0.45">
      <c r="P79">
        <v>2039</v>
      </c>
      <c r="Q79" t="s">
        <v>198</v>
      </c>
      <c r="R79">
        <v>0.29620000000000002</v>
      </c>
      <c r="S79" t="s">
        <v>199</v>
      </c>
    </row>
    <row r="80" spans="16:19" x14ac:dyDescent="0.45">
      <c r="P80">
        <v>2039</v>
      </c>
      <c r="Q80" t="s">
        <v>200</v>
      </c>
      <c r="R80">
        <v>0.4201333333333333</v>
      </c>
      <c r="S80" t="s">
        <v>199</v>
      </c>
    </row>
    <row r="81" spans="16:19" x14ac:dyDescent="0.45">
      <c r="P81">
        <v>2039</v>
      </c>
      <c r="Q81" t="s">
        <v>201</v>
      </c>
      <c r="R81">
        <v>0.12473333333333332</v>
      </c>
      <c r="S81" t="s">
        <v>199</v>
      </c>
    </row>
    <row r="82" spans="16:19" x14ac:dyDescent="0.45">
      <c r="P82">
        <v>2039</v>
      </c>
      <c r="Q82" t="s">
        <v>202</v>
      </c>
      <c r="R82">
        <v>0.13643333333333332</v>
      </c>
      <c r="S82" t="s">
        <v>199</v>
      </c>
    </row>
    <row r="83" spans="16:19" x14ac:dyDescent="0.45">
      <c r="P83">
        <v>2040</v>
      </c>
      <c r="Q83" t="s">
        <v>198</v>
      </c>
      <c r="R83">
        <v>0.31906666666666667</v>
      </c>
      <c r="S83" t="s">
        <v>199</v>
      </c>
    </row>
    <row r="84" spans="16:19" x14ac:dyDescent="0.45">
      <c r="P84">
        <v>2040</v>
      </c>
      <c r="Q84" t="s">
        <v>200</v>
      </c>
      <c r="R84">
        <v>0.49083333333333329</v>
      </c>
      <c r="S84" t="s">
        <v>199</v>
      </c>
    </row>
    <row r="85" spans="16:19" x14ac:dyDescent="0.45">
      <c r="P85">
        <v>2040</v>
      </c>
      <c r="Q85" t="s">
        <v>201</v>
      </c>
      <c r="R85">
        <v>9.693333333333333E-2</v>
      </c>
      <c r="S85" t="s">
        <v>199</v>
      </c>
    </row>
    <row r="86" spans="16:19" x14ac:dyDescent="0.45">
      <c r="P86">
        <v>2040</v>
      </c>
      <c r="Q86" t="s">
        <v>202</v>
      </c>
      <c r="R86">
        <v>0.10993333333333333</v>
      </c>
      <c r="S86" t="s">
        <v>199</v>
      </c>
    </row>
    <row r="87" spans="16:19" x14ac:dyDescent="0.45">
      <c r="P87">
        <v>2041</v>
      </c>
      <c r="Q87" t="s">
        <v>198</v>
      </c>
      <c r="R87">
        <v>0.31129999999999997</v>
      </c>
      <c r="S87" t="s">
        <v>199</v>
      </c>
    </row>
    <row r="88" spans="16:19" x14ac:dyDescent="0.45">
      <c r="P88">
        <v>2041</v>
      </c>
      <c r="Q88" t="s">
        <v>200</v>
      </c>
      <c r="R88">
        <v>0.46950000000000003</v>
      </c>
      <c r="S88" t="s">
        <v>199</v>
      </c>
    </row>
    <row r="89" spans="16:19" x14ac:dyDescent="0.45">
      <c r="P89">
        <v>2041</v>
      </c>
      <c r="Q89" t="s">
        <v>201</v>
      </c>
      <c r="R89">
        <v>0.12170000000000002</v>
      </c>
      <c r="S89" t="s">
        <v>199</v>
      </c>
    </row>
    <row r="90" spans="16:19" x14ac:dyDescent="0.45">
      <c r="P90">
        <v>2041</v>
      </c>
      <c r="Q90" t="s">
        <v>202</v>
      </c>
      <c r="R90">
        <v>5.5766666666666666E-2</v>
      </c>
      <c r="S90" t="s">
        <v>199</v>
      </c>
    </row>
    <row r="91" spans="16:19" x14ac:dyDescent="0.45">
      <c r="P91">
        <v>2042</v>
      </c>
      <c r="Q91" t="s">
        <v>198</v>
      </c>
      <c r="R91">
        <v>0.2484666666666667</v>
      </c>
      <c r="S91" t="s">
        <v>199</v>
      </c>
    </row>
    <row r="92" spans="16:19" x14ac:dyDescent="0.45">
      <c r="P92">
        <v>2042</v>
      </c>
      <c r="Q92" t="s">
        <v>200</v>
      </c>
      <c r="R92">
        <v>0.54406666666666659</v>
      </c>
      <c r="S92" t="s">
        <v>199</v>
      </c>
    </row>
    <row r="93" spans="16:19" x14ac:dyDescent="0.45">
      <c r="P93">
        <v>2042</v>
      </c>
      <c r="Q93" t="s">
        <v>201</v>
      </c>
      <c r="R93">
        <v>0.12173333333333332</v>
      </c>
      <c r="S93" t="s">
        <v>199</v>
      </c>
    </row>
    <row r="94" spans="16:19" x14ac:dyDescent="0.45">
      <c r="P94">
        <v>2042</v>
      </c>
      <c r="Q94" t="s">
        <v>202</v>
      </c>
      <c r="R94">
        <v>0.1321</v>
      </c>
      <c r="S94" t="s">
        <v>199</v>
      </c>
    </row>
    <row r="95" spans="16:19" x14ac:dyDescent="0.45">
      <c r="P95">
        <v>2043</v>
      </c>
      <c r="Q95" t="s">
        <v>198</v>
      </c>
      <c r="R95">
        <v>0.43206666666666665</v>
      </c>
      <c r="S95" t="s">
        <v>199</v>
      </c>
    </row>
    <row r="96" spans="16:19" x14ac:dyDescent="0.45">
      <c r="P96">
        <v>2043</v>
      </c>
      <c r="Q96" t="s">
        <v>200</v>
      </c>
      <c r="R96">
        <v>0.52539999999999998</v>
      </c>
      <c r="S96" t="s">
        <v>199</v>
      </c>
    </row>
    <row r="97" spans="16:19" x14ac:dyDescent="0.45">
      <c r="P97">
        <v>2043</v>
      </c>
      <c r="Q97" t="s">
        <v>201</v>
      </c>
      <c r="R97">
        <v>0.10453333333333333</v>
      </c>
      <c r="S97" t="s">
        <v>199</v>
      </c>
    </row>
    <row r="98" spans="16:19" x14ac:dyDescent="0.45">
      <c r="P98">
        <v>2043</v>
      </c>
      <c r="Q98" t="s">
        <v>202</v>
      </c>
      <c r="R98">
        <v>8.0266666666666667E-2</v>
      </c>
      <c r="S98" t="s">
        <v>199</v>
      </c>
    </row>
    <row r="99" spans="16:19" x14ac:dyDescent="0.45">
      <c r="P99">
        <v>2044</v>
      </c>
      <c r="Q99" t="s">
        <v>198</v>
      </c>
      <c r="R99">
        <v>0.30886666666666662</v>
      </c>
      <c r="S99" t="s">
        <v>199</v>
      </c>
    </row>
    <row r="100" spans="16:19" x14ac:dyDescent="0.45">
      <c r="P100">
        <v>2044</v>
      </c>
      <c r="Q100" t="s">
        <v>200</v>
      </c>
      <c r="R100">
        <v>0.43483333333333335</v>
      </c>
      <c r="S100" t="s">
        <v>199</v>
      </c>
    </row>
    <row r="101" spans="16:19" x14ac:dyDescent="0.45">
      <c r="P101">
        <v>2044</v>
      </c>
      <c r="Q101" t="s">
        <v>201</v>
      </c>
      <c r="R101">
        <v>0.16993333333333335</v>
      </c>
      <c r="S101" t="s">
        <v>199</v>
      </c>
    </row>
    <row r="102" spans="16:19" x14ac:dyDescent="0.45">
      <c r="P102">
        <v>2044</v>
      </c>
      <c r="Q102" t="s">
        <v>202</v>
      </c>
      <c r="R102">
        <v>8.1866666666666685E-2</v>
      </c>
      <c r="S102" t="s">
        <v>199</v>
      </c>
    </row>
    <row r="103" spans="16:19" x14ac:dyDescent="0.45">
      <c r="P103">
        <v>2045</v>
      </c>
      <c r="Q103" t="s">
        <v>198</v>
      </c>
      <c r="R103">
        <v>0.36143333333333333</v>
      </c>
      <c r="S103" t="s">
        <v>199</v>
      </c>
    </row>
    <row r="104" spans="16:19" x14ac:dyDescent="0.45">
      <c r="P104">
        <v>2045</v>
      </c>
      <c r="Q104" t="s">
        <v>200</v>
      </c>
      <c r="R104">
        <v>0.47136666666666666</v>
      </c>
      <c r="S104" t="s">
        <v>199</v>
      </c>
    </row>
    <row r="105" spans="16:19" x14ac:dyDescent="0.45">
      <c r="P105">
        <v>2045</v>
      </c>
      <c r="Q105" t="s">
        <v>201</v>
      </c>
      <c r="R105">
        <v>0.15036666666666668</v>
      </c>
      <c r="S105" t="s">
        <v>199</v>
      </c>
    </row>
    <row r="106" spans="16:19" x14ac:dyDescent="0.45">
      <c r="P106">
        <v>2045</v>
      </c>
      <c r="Q106" t="s">
        <v>202</v>
      </c>
      <c r="R106">
        <v>9.2399999999999996E-2</v>
      </c>
      <c r="S106" t="s">
        <v>199</v>
      </c>
    </row>
    <row r="107" spans="16:19" x14ac:dyDescent="0.45">
      <c r="P107">
        <v>2046</v>
      </c>
      <c r="Q107" t="s">
        <v>198</v>
      </c>
      <c r="R107">
        <v>0.35603333333333337</v>
      </c>
      <c r="S107" t="s">
        <v>199</v>
      </c>
    </row>
    <row r="108" spans="16:19" x14ac:dyDescent="0.45">
      <c r="P108">
        <v>2046</v>
      </c>
      <c r="Q108" t="s">
        <v>200</v>
      </c>
      <c r="R108">
        <v>0.53710000000000002</v>
      </c>
      <c r="S108" t="s">
        <v>199</v>
      </c>
    </row>
    <row r="109" spans="16:19" x14ac:dyDescent="0.45">
      <c r="P109">
        <v>2046</v>
      </c>
      <c r="Q109" t="s">
        <v>201</v>
      </c>
      <c r="R109">
        <v>0.15909999999999999</v>
      </c>
      <c r="S109" t="s">
        <v>199</v>
      </c>
    </row>
    <row r="110" spans="16:19" x14ac:dyDescent="0.45">
      <c r="P110">
        <v>2046</v>
      </c>
      <c r="Q110" t="s">
        <v>202</v>
      </c>
      <c r="R110">
        <v>0.12123333333333335</v>
      </c>
      <c r="S110" t="s">
        <v>199</v>
      </c>
    </row>
    <row r="111" spans="16:19" x14ac:dyDescent="0.45">
      <c r="P111">
        <v>2047</v>
      </c>
      <c r="Q111" t="s">
        <v>198</v>
      </c>
      <c r="R111">
        <v>0.24523333333333333</v>
      </c>
      <c r="S111" t="s">
        <v>199</v>
      </c>
    </row>
    <row r="112" spans="16:19" x14ac:dyDescent="0.45">
      <c r="P112">
        <v>2047</v>
      </c>
      <c r="Q112" t="s">
        <v>200</v>
      </c>
      <c r="R112">
        <v>0.51663333333333339</v>
      </c>
      <c r="S112" t="s">
        <v>199</v>
      </c>
    </row>
    <row r="113" spans="16:19" x14ac:dyDescent="0.45">
      <c r="P113">
        <v>2047</v>
      </c>
      <c r="Q113" t="s">
        <v>201</v>
      </c>
      <c r="R113">
        <v>0.16643333333333332</v>
      </c>
      <c r="S113" t="s">
        <v>199</v>
      </c>
    </row>
    <row r="114" spans="16:19" x14ac:dyDescent="0.45">
      <c r="P114">
        <v>2047</v>
      </c>
      <c r="Q114" t="s">
        <v>202</v>
      </c>
      <c r="R114">
        <v>0.12833333333333333</v>
      </c>
      <c r="S114" t="s">
        <v>199</v>
      </c>
    </row>
    <row r="115" spans="16:19" x14ac:dyDescent="0.45">
      <c r="P115">
        <v>2048</v>
      </c>
      <c r="Q115" t="s">
        <v>198</v>
      </c>
      <c r="R115">
        <v>0.3948666666666667</v>
      </c>
      <c r="S115" t="s">
        <v>199</v>
      </c>
    </row>
    <row r="116" spans="16:19" x14ac:dyDescent="0.45">
      <c r="P116">
        <v>2048</v>
      </c>
      <c r="Q116" t="s">
        <v>200</v>
      </c>
      <c r="R116">
        <v>0.50356666666666661</v>
      </c>
      <c r="S116" t="s">
        <v>199</v>
      </c>
    </row>
    <row r="117" spans="16:19" x14ac:dyDescent="0.45">
      <c r="P117">
        <v>2048</v>
      </c>
      <c r="Q117" t="s">
        <v>201</v>
      </c>
      <c r="R117">
        <v>0.11</v>
      </c>
      <c r="S117" t="s">
        <v>199</v>
      </c>
    </row>
    <row r="118" spans="16:19" x14ac:dyDescent="0.45">
      <c r="P118">
        <v>2048</v>
      </c>
      <c r="Q118" t="s">
        <v>202</v>
      </c>
      <c r="R118">
        <v>0.10013333333333334</v>
      </c>
      <c r="S118" t="s">
        <v>199</v>
      </c>
    </row>
    <row r="119" spans="16:19" x14ac:dyDescent="0.45">
      <c r="P119">
        <v>2049</v>
      </c>
      <c r="Q119" t="s">
        <v>198</v>
      </c>
      <c r="R119">
        <v>0.44046666666666662</v>
      </c>
      <c r="S119" t="s">
        <v>199</v>
      </c>
    </row>
    <row r="120" spans="16:19" x14ac:dyDescent="0.45">
      <c r="P120">
        <v>2049</v>
      </c>
      <c r="Q120" t="s">
        <v>200</v>
      </c>
      <c r="R120">
        <v>0.44623333333333326</v>
      </c>
      <c r="S120" t="s">
        <v>199</v>
      </c>
    </row>
    <row r="121" spans="16:19" x14ac:dyDescent="0.45">
      <c r="P121">
        <v>2049</v>
      </c>
      <c r="Q121" t="s">
        <v>201</v>
      </c>
      <c r="R121">
        <v>0.15939999999999999</v>
      </c>
      <c r="S121" t="s">
        <v>199</v>
      </c>
    </row>
    <row r="122" spans="16:19" x14ac:dyDescent="0.45">
      <c r="P122">
        <v>2049</v>
      </c>
      <c r="Q122" t="s">
        <v>202</v>
      </c>
      <c r="R122">
        <v>0.10663333333333334</v>
      </c>
      <c r="S122" t="s">
        <v>199</v>
      </c>
    </row>
    <row r="123" spans="16:19" x14ac:dyDescent="0.45">
      <c r="P123">
        <v>2050</v>
      </c>
      <c r="Q123" t="s">
        <v>198</v>
      </c>
      <c r="R123">
        <v>0.3523</v>
      </c>
      <c r="S123" t="s">
        <v>199</v>
      </c>
    </row>
    <row r="124" spans="16:19" x14ac:dyDescent="0.45">
      <c r="P124">
        <v>2050</v>
      </c>
      <c r="Q124" t="s">
        <v>200</v>
      </c>
      <c r="R124">
        <v>0.44573333333333331</v>
      </c>
      <c r="S124" t="s">
        <v>199</v>
      </c>
    </row>
    <row r="125" spans="16:19" x14ac:dyDescent="0.45">
      <c r="P125">
        <v>2050</v>
      </c>
      <c r="Q125" t="s">
        <v>201</v>
      </c>
      <c r="R125">
        <v>0.11106666666666666</v>
      </c>
      <c r="S125" t="s">
        <v>199</v>
      </c>
    </row>
    <row r="126" spans="16:19" x14ac:dyDescent="0.45">
      <c r="P126">
        <v>2050</v>
      </c>
      <c r="Q126" t="s">
        <v>202</v>
      </c>
      <c r="R126">
        <v>0.11996666666666667</v>
      </c>
      <c r="S126" t="s">
        <v>199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FA30-65C6-49C8-A952-A466329D1FBB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">
        <v>189</v>
      </c>
      <c r="B10" s="1"/>
      <c r="C10" s="1" t="s">
        <v>854</v>
      </c>
      <c r="D10" t="s">
        <v>189</v>
      </c>
    </row>
    <row r="11" spans="1:4" x14ac:dyDescent="0.45">
      <c r="B11" s="1"/>
      <c r="C11" s="1" t="s">
        <v>855</v>
      </c>
      <c r="D11" t="s">
        <v>856</v>
      </c>
    </row>
    <row r="12" spans="1:4" x14ac:dyDescent="0.45">
      <c r="B12" s="1"/>
      <c r="C12" s="1" t="s">
        <v>857</v>
      </c>
      <c r="D12" t="s">
        <v>858</v>
      </c>
    </row>
    <row r="17" spans="3:14" x14ac:dyDescent="0.45">
      <c r="I17" s="2">
        <v>0.75</v>
      </c>
      <c r="K17" s="3" t="s">
        <v>859</v>
      </c>
    </row>
    <row r="18" spans="3:14" ht="17.25" thickBot="1" x14ac:dyDescent="0.55000000000000004">
      <c r="C18" s="4" t="s">
        <v>860</v>
      </c>
    </row>
    <row r="19" spans="3:14" ht="14.65" thickTop="1" x14ac:dyDescent="0.45"/>
    <row r="21" spans="3:14" ht="17.25" thickBot="1" x14ac:dyDescent="0.55000000000000004">
      <c r="H21" s="4" t="str">
        <f>IF(H23=H24,"Not Required!","~UC_T: LO")</f>
        <v>~UC_T: LO</v>
      </c>
    </row>
    <row r="22" spans="3:14" ht="15" thickTop="1" thickBot="1" x14ac:dyDescent="0.5">
      <c r="C22" s="5" t="s">
        <v>861</v>
      </c>
      <c r="D22" s="5" t="s">
        <v>862</v>
      </c>
      <c r="E22" s="5" t="s">
        <v>863</v>
      </c>
      <c r="F22" s="5" t="s">
        <v>864</v>
      </c>
      <c r="G22" s="5" t="s">
        <v>865</v>
      </c>
      <c r="H22" s="5" t="s">
        <v>866</v>
      </c>
      <c r="I22" s="5" t="s">
        <v>867</v>
      </c>
      <c r="J22" s="5" t="s">
        <v>868</v>
      </c>
      <c r="K22" s="5" t="s">
        <v>869</v>
      </c>
    </row>
    <row r="23" spans="3:14" x14ac:dyDescent="0.45">
      <c r="C23" t="s">
        <v>870</v>
      </c>
      <c r="D23" t="s">
        <v>197</v>
      </c>
      <c r="E23" t="str">
        <f>G23</f>
        <v>AuxStoIN</v>
      </c>
      <c r="F23" t="s">
        <v>871</v>
      </c>
      <c r="G23" t="s">
        <v>872</v>
      </c>
      <c r="H23" t="str">
        <f>HLOOKUP($A$10,$D$10:$CU$12,3,FALSE)</f>
        <v>S02aH06,S03aH06,S02aH01,S03aH01,S01aH06,S01aH01,S04aH01,S04aH06</v>
      </c>
      <c r="I23">
        <f>1+I24</f>
        <v>0.25</v>
      </c>
      <c r="J23">
        <v>0</v>
      </c>
      <c r="K23">
        <v>3</v>
      </c>
      <c r="M23" t="s">
        <v>873</v>
      </c>
    </row>
    <row r="24" spans="3:14" x14ac:dyDescent="0.45">
      <c r="D24" t="s">
        <v>197</v>
      </c>
      <c r="E24" t="str">
        <f>G24</f>
        <v>AuxStoIN</v>
      </c>
      <c r="F24" t="s">
        <v>871</v>
      </c>
      <c r="G24" t="s">
        <v>872</v>
      </c>
      <c r="H24" t="str">
        <f>HLOOKUP($A$10,$D$10:$CU$12,2,FALSE)</f>
        <v>S03aH03,S02aH04,S02aH05,S01aH02,S04aH04,S04aH03,S02aH02,S03aH05,S02aH03,S03aH04,S03aH02,S04aH02,S01aH04,S04aH05,S01aH05,S01aH03</v>
      </c>
      <c r="I24">
        <f>-$I$17</f>
        <v>-0.75</v>
      </c>
      <c r="M24" t="s">
        <v>874</v>
      </c>
    </row>
    <row r="29" spans="3:14" ht="17.25" thickBot="1" x14ac:dyDescent="0.55000000000000004">
      <c r="I29" s="4" t="s">
        <v>875</v>
      </c>
    </row>
    <row r="30" spans="3:14" ht="15" thickTop="1" thickBot="1" x14ac:dyDescent="0.5">
      <c r="C30" s="5" t="s">
        <v>861</v>
      </c>
      <c r="D30" s="5" t="s">
        <v>876</v>
      </c>
      <c r="E30" s="5" t="s">
        <v>877</v>
      </c>
      <c r="F30" s="5" t="s">
        <v>862</v>
      </c>
      <c r="G30" s="5" t="s">
        <v>878</v>
      </c>
      <c r="H30" s="5" t="s">
        <v>865</v>
      </c>
      <c r="I30" s="5" t="s">
        <v>866</v>
      </c>
      <c r="J30" s="5" t="s">
        <v>879</v>
      </c>
      <c r="K30" s="5" t="s">
        <v>880</v>
      </c>
      <c r="L30" s="5" t="s">
        <v>881</v>
      </c>
      <c r="M30" s="5" t="s">
        <v>882</v>
      </c>
      <c r="N30" s="5" t="s">
        <v>883</v>
      </c>
    </row>
    <row r="31" spans="3:14" x14ac:dyDescent="0.45">
      <c r="C31" t="s">
        <v>884</v>
      </c>
      <c r="D31" t="s">
        <v>885</v>
      </c>
      <c r="F31" t="s">
        <v>886</v>
      </c>
      <c r="I31" t="s">
        <v>887</v>
      </c>
      <c r="J31">
        <v>1</v>
      </c>
      <c r="L31">
        <v>0</v>
      </c>
      <c r="M31">
        <v>5</v>
      </c>
      <c r="N31" t="s">
        <v>888</v>
      </c>
    </row>
    <row r="32" spans="3:14" x14ac:dyDescent="0.45">
      <c r="H32" t="s">
        <v>107</v>
      </c>
      <c r="I32" t="s">
        <v>887</v>
      </c>
      <c r="K32">
        <v>-1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6A6EF-F8E5-459D-BCED-98EC08155CDB}">
  <dimension ref="A9:G16"/>
  <sheetViews>
    <sheetView tabSelected="1"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189</v>
      </c>
      <c r="C10" t="s">
        <v>889</v>
      </c>
      <c r="D10" t="s">
        <v>890</v>
      </c>
      <c r="E10" t="s">
        <v>891</v>
      </c>
      <c r="F10" t="s">
        <v>892</v>
      </c>
      <c r="G10" t="s">
        <v>893</v>
      </c>
    </row>
    <row r="11" spans="1:7" x14ac:dyDescent="0.45">
      <c r="C11" t="s">
        <v>198</v>
      </c>
      <c r="D11" t="s">
        <v>894</v>
      </c>
      <c r="E11" t="s">
        <v>895</v>
      </c>
      <c r="F11" t="s">
        <v>896</v>
      </c>
      <c r="G11" t="s">
        <v>894</v>
      </c>
    </row>
    <row r="12" spans="1:7" x14ac:dyDescent="0.45">
      <c r="C12" t="s">
        <v>200</v>
      </c>
      <c r="E12" t="s">
        <v>897</v>
      </c>
      <c r="G12" t="s">
        <v>894</v>
      </c>
    </row>
    <row r="13" spans="1:7" x14ac:dyDescent="0.45">
      <c r="C13" t="s">
        <v>201</v>
      </c>
      <c r="E13" t="s">
        <v>898</v>
      </c>
      <c r="G13" t="s">
        <v>894</v>
      </c>
    </row>
    <row r="14" spans="1:7" x14ac:dyDescent="0.45">
      <c r="C14" t="s">
        <v>202</v>
      </c>
      <c r="E14" t="s">
        <v>899</v>
      </c>
      <c r="G14" t="s">
        <v>894</v>
      </c>
    </row>
    <row r="15" spans="1:7" x14ac:dyDescent="0.45">
      <c r="E15" t="s">
        <v>900</v>
      </c>
      <c r="G15" t="s">
        <v>894</v>
      </c>
    </row>
    <row r="16" spans="1:7" x14ac:dyDescent="0.45">
      <c r="E16" t="s">
        <v>901</v>
      </c>
      <c r="G16" t="s">
        <v>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resource_profiles_FRA</vt:lpstr>
      <vt:lpstr>firmness_FRA</vt:lpstr>
      <vt:lpstr>load_demand_peak_hydro_FRA</vt:lpstr>
      <vt:lpstr>resource_profiles_GBR</vt:lpstr>
      <vt:lpstr>firmness_GBR</vt:lpstr>
      <vt:lpstr>load_demand_peak_hydro_GBR</vt:lpstr>
      <vt:lpstr>resource_profiles_BEL</vt:lpstr>
      <vt:lpstr>firmness_BEL</vt:lpstr>
      <vt:lpstr>load_demand_peak_hydro_BEL</vt:lpstr>
      <vt:lpstr>resource_profiles_DEU</vt:lpstr>
      <vt:lpstr>firmness_DEU</vt:lpstr>
      <vt:lpstr>load_demand_peak_hydro_DEU</vt:lpstr>
      <vt:lpstr>resource_profiles_CHE</vt:lpstr>
      <vt:lpstr>firmness_CHE</vt:lpstr>
      <vt:lpstr>load_demand_peak_hydro_CHE</vt:lpstr>
      <vt:lpstr>resource_profiles_ITA</vt:lpstr>
      <vt:lpstr>firmness_ITA</vt:lpstr>
      <vt:lpstr>load_demand_peak_hydro_ITA</vt:lpstr>
      <vt:lpstr>resource_profiles_ESP</vt:lpstr>
      <vt:lpstr>firmness_ESP</vt:lpstr>
      <vt:lpstr>load_demand_peak_hydro_ESP</vt:lpstr>
      <vt:lpstr>resource_profiles_NLD</vt:lpstr>
      <vt:lpstr>firmness_NLD</vt:lpstr>
      <vt:lpstr>load_demand_peak_hydro_NLD</vt:lpstr>
      <vt:lpstr>ev_charging_uc</vt:lpstr>
      <vt:lpstr>timeslice_def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2026-08-29T13:08:35Z</dcterms:created>
  <dcterms:modified xsi:type="dcterms:W3CDTF">2026-08-29T13:08:50Z</dcterms:modified>
</cp:coreProperties>
</file>