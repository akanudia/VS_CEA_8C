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5928"/>
  <workbookPr defaultThemeVersion="166925"/>
  <mc:AlternateContent xmlns:mc="http://schemas.openxmlformats.org/markup-compatibility/2006">
    <mc:Choice Requires="x15">
      <x15ac:absPath xmlns:x15ac="http://schemas.microsoft.com/office/spreadsheetml/2010/11/ac" url="C:\Veda\Veda\Veda_models\vervestacks_models\VS_CEA_8C\SubRES_Tmpl\"/>
    </mc:Choice>
  </mc:AlternateContent>
  <xr:revisionPtr revIDLastSave="0" documentId="8_{8D40553B-E69F-410D-B8D8-70979510626E}" xr6:coauthVersionLast="47" xr6:coauthVersionMax="47" xr10:uidLastSave="{00000000-0000-0000-0000-000000000000}"/>
  <bookViews>
    <workbookView xWindow="3675" yWindow="3675" windowWidth="21600" windowHeight="12773" activeTab="4" xr2:uid="{DC9BE42A-B033-48BD-8326-1D0933A86D98}"/>
  </bookViews>
  <sheets>
    <sheet name="conventional" sheetId="2" r:id="rId1"/>
    <sheet name="H2 prod" sheetId="3" r:id="rId2"/>
    <sheet name="EV Battery" sheetId="4" r:id="rId3"/>
    <sheet name="ELC_Storage" sheetId="5" r:id="rId4"/>
    <sheet name="misc" sheetId="6" r:id="rId5"/>
  </sheets>
  <externalReferences>
    <externalReference r:id="rId6"/>
  </externalReferences>
  <definedNames>
    <definedName name="FuelList">[1]ELC_Lists!$K$4:$K$113</definedName>
    <definedName name="HHV_Coal">[1]Costs!#REF!</definedName>
    <definedName name="HHV_H2">[1]Costs!#REF!</definedName>
    <definedName name="HHV_NG">[1]Costs!#REF!</definedName>
    <definedName name="LHV_Coal">[1]Costs!#REF!</definedName>
    <definedName name="LHV_H2">[1]Costs!#REF!</definedName>
    <definedName name="LHV_NG">[1]Costs!#REF!</definedName>
    <definedName name="SectorList">[1]ELC_Lists!$N$4:$N$15</definedName>
    <definedName name="TechnologyList">[1]ELC_Lists!$H$4:$H$16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K29" i="6" l="1"/>
  <c r="J29" i="6"/>
  <c r="L28" i="6"/>
  <c r="J28" i="6"/>
  <c r="O27" i="6"/>
  <c r="J27" i="6"/>
  <c r="O26" i="6"/>
  <c r="J26" i="6"/>
  <c r="O25" i="6"/>
  <c r="J25" i="6"/>
  <c r="O24" i="6"/>
  <c r="J24" i="6"/>
  <c r="O23" i="6"/>
  <c r="O22" i="6"/>
  <c r="O21" i="6"/>
  <c r="J21" i="6"/>
  <c r="O20" i="6"/>
  <c r="O19" i="6"/>
  <c r="O18" i="6"/>
  <c r="J18" i="6"/>
  <c r="J17" i="6"/>
  <c r="J16" i="6"/>
  <c r="J15" i="6"/>
  <c r="J14" i="6"/>
  <c r="J13" i="6"/>
  <c r="T22" i="5"/>
  <c r="S22" i="5"/>
  <c r="R22" i="5"/>
  <c r="Q22" i="5"/>
  <c r="P22" i="5"/>
  <c r="O22" i="5"/>
  <c r="N22" i="5"/>
  <c r="T21" i="5"/>
  <c r="S21" i="5"/>
  <c r="R21" i="5"/>
  <c r="Q21" i="5"/>
  <c r="P21" i="5"/>
  <c r="O21" i="5"/>
  <c r="N21" i="5"/>
  <c r="U19" i="5"/>
  <c r="N19" i="5"/>
  <c r="V18" i="5"/>
  <c r="N18" i="5"/>
  <c r="T14" i="5"/>
  <c r="S14" i="5"/>
  <c r="R14" i="5"/>
  <c r="Q14" i="5"/>
  <c r="P14" i="5"/>
  <c r="O14" i="5"/>
  <c r="N14" i="5"/>
  <c r="T13" i="5"/>
  <c r="S13" i="5"/>
  <c r="R13" i="5"/>
  <c r="Q13" i="5"/>
  <c r="P13" i="5"/>
  <c r="O13" i="5"/>
  <c r="N13" i="5"/>
  <c r="U11" i="5"/>
  <c r="N11" i="5"/>
  <c r="V10" i="5"/>
  <c r="N10" i="5"/>
  <c r="T9" i="5"/>
  <c r="S9" i="5"/>
  <c r="R9" i="5"/>
  <c r="Q9" i="5"/>
  <c r="P9" i="5"/>
  <c r="O9" i="5"/>
  <c r="N9" i="5"/>
  <c r="G8" i="4"/>
  <c r="S5" i="4"/>
  <c r="L5" i="4"/>
  <c r="V29" i="3"/>
  <c r="U29" i="3"/>
  <c r="T29" i="3"/>
  <c r="N29" i="3"/>
  <c r="L29" i="3"/>
  <c r="J29" i="3"/>
  <c r="H29" i="3"/>
  <c r="G29" i="3"/>
  <c r="F29" i="3"/>
  <c r="D29" i="3"/>
  <c r="C29" i="3"/>
  <c r="V28" i="3"/>
  <c r="U28" i="3"/>
  <c r="T28" i="3"/>
  <c r="N28" i="3"/>
  <c r="L28" i="3"/>
  <c r="J28" i="3"/>
  <c r="H28" i="3"/>
  <c r="G28" i="3"/>
  <c r="F28" i="3"/>
  <c r="D28" i="3"/>
  <c r="C28" i="3"/>
  <c r="N27" i="3"/>
  <c r="L27" i="3"/>
  <c r="I27" i="3"/>
  <c r="F27" i="3"/>
  <c r="E27" i="3"/>
  <c r="D27" i="3"/>
  <c r="C27" i="3"/>
  <c r="H3" i="3"/>
  <c r="H27" i="3" s="1"/>
  <c r="G3" i="3"/>
  <c r="G27" i="3" s="1"/>
  <c r="F3" i="3"/>
  <c r="K2" i="3"/>
  <c r="M2" i="3" s="1"/>
  <c r="M27" i="3" s="1"/>
  <c r="K27" i="3" l="1"/>
</calcChain>
</file>

<file path=xl/sharedStrings.xml><?xml version="1.0" encoding="utf-8"?>
<sst xmlns="http://schemas.openxmlformats.org/spreadsheetml/2006/main" count="864" uniqueCount="212">
  <si>
    <t>~fi_t: UP</t>
  </si>
  <si>
    <t>~fi_process</t>
  </si>
  <si>
    <t>process</t>
  </si>
  <si>
    <t>comm-in</t>
  </si>
  <si>
    <t>comm-out</t>
  </si>
  <si>
    <t>attribute</t>
  </si>
  <si>
    <t>set</t>
  </si>
  <si>
    <t>description</t>
  </si>
  <si>
    <t>capacity_unit</t>
  </si>
  <si>
    <t>activity_unit</t>
  </si>
  <si>
    <t>timeslicelevel</t>
  </si>
  <si>
    <t>vintage</t>
  </si>
  <si>
    <t>en_gas_ccgt</t>
  </si>
  <si>
    <t>gas</t>
  </si>
  <si>
    <t>ELC</t>
  </si>
  <si>
    <t>ncap_cost</t>
  </si>
  <si>
    <t>ele</t>
  </si>
  <si>
    <t>GW</t>
  </si>
  <si>
    <t>TWh</t>
  </si>
  <si>
    <t>daynite</t>
  </si>
  <si>
    <t>yes</t>
  </si>
  <si>
    <t>ncap_fom</t>
  </si>
  <si>
    <t>en_gas_turbine</t>
  </si>
  <si>
    <t>act_cost</t>
  </si>
  <si>
    <t>CHP</t>
  </si>
  <si>
    <t>en_chp_gas_cc_ext</t>
  </si>
  <si>
    <t>efficiency</t>
  </si>
  <si>
    <t>en_gas_ccs</t>
  </si>
  <si>
    <t>ncap_tlife</t>
  </si>
  <si>
    <t>en_coal_subcritical</t>
  </si>
  <si>
    <t>ncap_iled</t>
  </si>
  <si>
    <t>en_coal_supercritical</t>
  </si>
  <si>
    <t>en_coal_ultrasupercritical</t>
  </si>
  <si>
    <t>en_coal_igcc</t>
  </si>
  <si>
    <t>en_nuclear</t>
  </si>
  <si>
    <t>en_nuclear_smr</t>
  </si>
  <si>
    <t>en_biomass</t>
  </si>
  <si>
    <t>en_chp_biomass_chips_ext</t>
  </si>
  <si>
    <t>HET</t>
  </si>
  <si>
    <t>HPL</t>
  </si>
  <si>
    <t>en_hop_gas_boiler</t>
  </si>
  <si>
    <t>season</t>
  </si>
  <si>
    <t>en_hop_biomass_chips</t>
  </si>
  <si>
    <t>en_hop_electric_boiler</t>
  </si>
  <si>
    <t>en_hp_air_10mw</t>
  </si>
  <si>
    <t>en_chp_gas_cc_ext_ccs</t>
  </si>
  <si>
    <t>ncap_chpr</t>
  </si>
  <si>
    <t>ncap_ceh</t>
  </si>
  <si>
    <t>ELC,CO2Cap</t>
  </si>
  <si>
    <t>coal</t>
  </si>
  <si>
    <t>nuclear</t>
  </si>
  <si>
    <t>bioenergy</t>
  </si>
  <si>
    <t>ncap_af</t>
  </si>
  <si>
    <t>HET,CO2Cap</t>
  </si>
  <si>
    <t>XXX</t>
  </si>
  <si>
    <t>Investment cost per unit of capacity (EUR/kW-output)</t>
  </si>
  <si>
    <t>Fixed O&amp;M costs
(EUR/kW-output)</t>
  </si>
  <si>
    <t>Heatrate
(input over output ratio)</t>
  </si>
  <si>
    <t> Conversion technologies</t>
  </si>
  <si>
    <t>invcost</t>
  </si>
  <si>
    <t>fixom</t>
  </si>
  <si>
    <t>input~GASNGA</t>
  </si>
  <si>
    <t>Ultimate</t>
  </si>
  <si>
    <t>2015
Heat</t>
  </si>
  <si>
    <t>2015
Electricity</t>
  </si>
  <si>
    <t>2030
Heat</t>
  </si>
  <si>
    <t>2030
Electricity</t>
  </si>
  <si>
    <t>Ultimate
Heat</t>
  </si>
  <si>
    <t>Ultimate
Electricity</t>
  </si>
  <si>
    <t>Hydrogen from natural gas steam reforming centralised - Large scale  (per 1 kW or 1 MWh H2 HHV)</t>
  </si>
  <si>
    <t>Hydrogen from natural gas steam reforming centralised - Large scale with CCU  (per 1 kW or 1 MWh H2 HHV)</t>
  </si>
  <si>
    <t>Hydrogen from natural gas steam reforming de-centralised - Medium scale  (per 1 kW or 1 MWh H2 HHV)</t>
  </si>
  <si>
    <t>Hydrogen from low temperature water electrolysis PEM centralised - Large scale  (per 1 kW or 1 MWh H2 HHV)</t>
  </si>
  <si>
    <t>Hydrogen from low temperature water electrolysis PEM de-centralised at a refuelling station  (per 1 kW or 1 MWh H2 HHV)</t>
  </si>
  <si>
    <t>Hydrogen from low temperature water electrolysis - Alkaline centralised, large scale  (per 1 kW or 1 MWh H2 HHV)</t>
  </si>
  <si>
    <t>Hydrogen from low temperature water electrolysis Alkaline de-centralised at a refuelling station  (per 1 kW or 1 MWh H2 HHV)</t>
  </si>
  <si>
    <t>Hydrogen from high temperature water electrolysis SOEC centralised  (per 1 kW or 1 MWh H2 HHV)</t>
  </si>
  <si>
    <t>Hydrogen from high temperature water electrolysis SOEC de-centralised at a refuelling station  (per 1 kW or 1 MWh H2 HHV)</t>
  </si>
  <si>
    <t>Methanation  (per 1 kW or 1 MWh CH4 HHV)</t>
  </si>
  <si>
    <t>CH4 Liquefaction plant  (per 1 kW or 1 MWh gas HHV)</t>
  </si>
  <si>
    <t>Gas Liquefaction plant  (per 1 kW or 1 MWh gas HHV)</t>
  </si>
  <si>
    <t>Regasification Plant including LNG storage  (per 1 kW or 1 MWh gas HHV)</t>
  </si>
  <si>
    <t>Power to liquid via the methanol route  (per 1 kW or 1 MWh CH4 HHV)</t>
  </si>
  <si>
    <t>Power to liquid via the Fischer Tropsch route  (per 1 kW or 1 MWh CH4 HHV)</t>
  </si>
  <si>
    <t>Power to liquid via High temperature co-electrolysis and Fischer Tropsch  (per 1 kW or 1 MWh CH4 HHV)</t>
  </si>
  <si>
    <t>Capture CO2 from air (Absorption technology)  (per 1 tCO2)</t>
  </si>
  <si>
    <t>Capture CO2 from air (Adsorption technology)  (per 1 tCO2)</t>
  </si>
  <si>
    <t>CO2 Liquefaction plant  (per 1 ton CO2)</t>
  </si>
  <si>
    <t>~FI_T: EUR15</t>
  </si>
  <si>
    <t>~FI_Process</t>
  </si>
  <si>
    <t>Comm-OUT</t>
  </si>
  <si>
    <t>Comm-IN</t>
  </si>
  <si>
    <t>TechName</t>
  </si>
  <si>
    <t>LIFE</t>
  </si>
  <si>
    <t>Cap2Act</t>
  </si>
  <si>
    <t>Sets</t>
  </si>
  <si>
    <t>TechDesc</t>
  </si>
  <si>
    <t>Tcap</t>
  </si>
  <si>
    <t>Tact</t>
  </si>
  <si>
    <t>Tslvl</t>
  </si>
  <si>
    <t>Vintage</t>
  </si>
  <si>
    <t>hydrogen</t>
  </si>
  <si>
    <t>ELC,ELCCurt</t>
  </si>
  <si>
    <t>H2prd_Elc_PEM</t>
  </si>
  <si>
    <t>DAYNITE</t>
  </si>
  <si>
    <t>Yes</t>
  </si>
  <si>
    <t>H2prd_Elc_ALK</t>
  </si>
  <si>
    <t>~FI_T: FX</t>
  </si>
  <si>
    <t>Comm-OUT-A</t>
  </si>
  <si>
    <t>CommGrp</t>
  </si>
  <si>
    <t>commodity</t>
  </si>
  <si>
    <t>Attribute</t>
  </si>
  <si>
    <t>S_EFF</t>
  </si>
  <si>
    <t>AFC~DAYNITE~UP</t>
  </si>
  <si>
    <t>CAP2ACT</t>
  </si>
  <si>
    <t>Peak</t>
  </si>
  <si>
    <t>PrimaryCG</t>
  </si>
  <si>
    <t>ev_battery</t>
  </si>
  <si>
    <t>NRG</t>
  </si>
  <si>
    <t>STG</t>
  </si>
  <si>
    <t>Car battery - 6kw/60Kwh - with V2G (optional)</t>
  </si>
  <si>
    <t>ACT</t>
  </si>
  <si>
    <t>elc_roadtransport</t>
  </si>
  <si>
    <t>AuxStoIN</t>
  </si>
  <si>
    <t>ELC_BatIn</t>
  </si>
  <si>
    <t>FLO_FUNC</t>
  </si>
  <si>
    <t>~FI_Comm</t>
  </si>
  <si>
    <t>Csets</t>
  </si>
  <si>
    <t>CommName</t>
  </si>
  <si>
    <t>CommDesc</t>
  </si>
  <si>
    <t>Unit</t>
  </si>
  <si>
    <t>LimType</t>
  </si>
  <si>
    <t>CTSLvl</t>
  </si>
  <si>
    <t>PeakTS</t>
  </si>
  <si>
    <t>Ctype</t>
  </si>
  <si>
    <t>ENV</t>
  </si>
  <si>
    <t>Aux commodity for storage charging</t>
  </si>
  <si>
    <t>TBTU</t>
  </si>
  <si>
    <t>AuxStoOUT</t>
  </si>
  <si>
    <t>Aux commodity for storage discharging</t>
  </si>
  <si>
    <t>~FI_T: USD21</t>
  </si>
  <si>
    <t>Commodity</t>
  </si>
  <si>
    <t>time_slice</t>
  </si>
  <si>
    <t>ELE,STG</t>
  </si>
  <si>
    <t>EN_STG8hbNREL</t>
  </si>
  <si>
    <t>8 hour battery - NREL</t>
  </si>
  <si>
    <t>EN_STG4hbNREL</t>
  </si>
  <si>
    <t>ANNUAL</t>
  </si>
  <si>
    <t>4 hour battery - NREL</t>
  </si>
  <si>
    <t>NCAP_AFC</t>
  </si>
  <si>
    <t>NCAP_COST</t>
  </si>
  <si>
    <t>NCAP_FOM</t>
  </si>
  <si>
    <t>NCAP_PKCNT</t>
  </si>
  <si>
    <t>PRC_CAPACT</t>
  </si>
  <si>
    <t>STG_EFF</t>
  </si>
  <si>
    <t>Utility-scale battery storage cost projections from NREL ATB 2024</t>
  </si>
  <si>
    <t>Includes $100 grid connection cost</t>
  </si>
  <si>
    <t>(2022$)</t>
  </si>
  <si>
    <t>4Hr Battery Storage</t>
  </si>
  <si>
    <t>CAPEX</t>
  </si>
  <si>
    <t>Advanced</t>
  </si>
  <si>
    <t>Conservative</t>
  </si>
  <si>
    <t>Moderate</t>
  </si>
  <si>
    <t>Fixed O&amp;M</t>
  </si>
  <si>
    <t>8Hr Battery Storage</t>
  </si>
  <si>
    <r>
      <t xml:space="preserve">Roundtrip </t>
    </r>
    <r>
      <rPr>
        <b/>
        <sz val="12"/>
        <color theme="1"/>
        <rFont val="Calibri"/>
        <family val="2"/>
        <scheme val="minor"/>
      </rPr>
      <t>EFF</t>
    </r>
    <r>
      <rPr>
        <sz val="12"/>
        <color theme="1"/>
        <rFont val="Calibri"/>
        <family val="2"/>
        <scheme val="minor"/>
      </rPr>
      <t>:</t>
    </r>
  </si>
  <si>
    <r>
      <rPr>
        <b/>
        <sz val="12"/>
        <color theme="1"/>
        <rFont val="Calibri"/>
        <family val="2"/>
        <scheme val="minor"/>
      </rPr>
      <t>CF</t>
    </r>
    <r>
      <rPr>
        <sz val="12"/>
        <color theme="1"/>
        <rFont val="Calibri"/>
        <family val="2"/>
        <scheme val="minor"/>
      </rPr>
      <t xml:space="preserve"> is duration/24 - assume one cycle per day</t>
    </r>
  </si>
  <si>
    <r>
      <rPr>
        <b/>
        <sz val="12"/>
        <color theme="1"/>
        <rFont val="Calibri"/>
        <family val="2"/>
        <scheme val="minor"/>
      </rPr>
      <t>VAROM</t>
    </r>
    <r>
      <rPr>
        <sz val="12"/>
        <color theme="1"/>
        <rFont val="Calibri"/>
        <family val="2"/>
        <scheme val="minor"/>
      </rPr>
      <t xml:space="preserve"> = 0</t>
    </r>
  </si>
  <si>
    <t>~FI_T: USD25~FX~ACT_BND</t>
  </si>
  <si>
    <t>TAct</t>
  </si>
  <si>
    <t>TCap</t>
  </si>
  <si>
    <t>Process</t>
  </si>
  <si>
    <t>EFF</t>
  </si>
  <si>
    <t>Cap2ACT</t>
  </si>
  <si>
    <t>flo_cost</t>
  </si>
  <si>
    <t>life</t>
  </si>
  <si>
    <t>ELE</t>
  </si>
  <si>
    <t>ElcAgg_Solar</t>
  </si>
  <si>
    <t>ElcAgg_Wind</t>
  </si>
  <si>
    <t>DMD</t>
  </si>
  <si>
    <t>e_demand</t>
  </si>
  <si>
    <t>Demand sectors</t>
  </si>
  <si>
    <t>elc_buildings,elc_industry,elc_transport</t>
  </si>
  <si>
    <t>$/GJ</t>
  </si>
  <si>
    <t>h2_demand</t>
  </si>
  <si>
    <t>Hydrogen demand</t>
  </si>
  <si>
    <t>hydrogen_allsect</t>
  </si>
  <si>
    <t>h_demand</t>
  </si>
  <si>
    <t>Heat demand</t>
  </si>
  <si>
    <t>het_buildings,het_industry</t>
  </si>
  <si>
    <t>IMP</t>
  </si>
  <si>
    <t>Trd_electricity import</t>
  </si>
  <si>
    <t>EXP</t>
  </si>
  <si>
    <t>Trd_electricity export</t>
  </si>
  <si>
    <t>fossil_supply</t>
  </si>
  <si>
    <t>generic fuel supply</t>
  </si>
  <si>
    <t>oil</t>
  </si>
  <si>
    <t>renewable</t>
  </si>
  <si>
    <t>hydro and geothermal</t>
  </si>
  <si>
    <t>geothermal</t>
  </si>
  <si>
    <t>nuclear_fuel</t>
  </si>
  <si>
    <t>Nuclear fuel supply</t>
  </si>
  <si>
    <t>hydro</t>
  </si>
  <si>
    <t>solar_potential</t>
  </si>
  <si>
    <t>solar potential</t>
  </si>
  <si>
    <t>winon_potential</t>
  </si>
  <si>
    <t>wind onshore potential</t>
  </si>
  <si>
    <t>winoff_potential</t>
  </si>
  <si>
    <t>wnid offshore potential</t>
  </si>
  <si>
    <t>solar</t>
  </si>
  <si>
    <t>windon</t>
  </si>
  <si>
    <t>windoff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</si>
</sst>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0.0"/>
    <numFmt numFmtId="165" formatCode="0.000"/>
    <numFmt numFmtId="166" formatCode="\Te\x\t"/>
    <numFmt numFmtId="167" formatCode="&quot;$&quot;#,##0"/>
    <numFmt numFmtId="168" formatCode="0.0%"/>
  </numFmts>
  <fonts count="19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5700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0"/>
      <color theme="1"/>
      <name val="Calibri"/>
      <family val="2"/>
      <scheme val="minor"/>
    </font>
    <font>
      <sz val="10"/>
      <color rgb="FF000000"/>
      <name val="Calibri"/>
      <family val="2"/>
      <scheme val="minor"/>
    </font>
    <font>
      <sz val="10"/>
      <name val="Calibri"/>
      <family val="2"/>
      <scheme val="minor"/>
    </font>
    <font>
      <sz val="10"/>
      <name val="Arial"/>
      <family val="2"/>
    </font>
    <font>
      <b/>
      <i/>
      <sz val="11"/>
      <color theme="1"/>
      <name val="游ゴシック"/>
    </font>
    <font>
      <sz val="10"/>
      <name val="STKFLOW - 14 of 38"/>
    </font>
    <font>
      <sz val="12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b/>
      <u/>
      <sz val="12"/>
      <color theme="1"/>
      <name val="Calibri"/>
      <family val="2"/>
      <scheme val="minor"/>
    </font>
    <font>
      <sz val="10"/>
      <color theme="1"/>
      <name val="Arial"/>
      <family val="2"/>
    </font>
    <font>
      <b/>
      <sz val="10"/>
      <color theme="1"/>
      <name val="Arial"/>
      <family val="2"/>
    </font>
  </fonts>
  <fills count="17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DEBF7"/>
        <bgColor indexed="64"/>
      </patternFill>
    </fill>
    <fill>
      <patternFill patternType="solid">
        <fgColor rgb="FFBDD7EE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F8CBAD"/>
        <bgColor indexed="64"/>
      </patternFill>
    </fill>
    <fill>
      <patternFill patternType="solid">
        <fgColor rgb="FFFCE4D6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rgb="FFC6E0B4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rgb="FFEDEDED"/>
        <bgColor indexed="64"/>
      </patternFill>
    </fill>
    <fill>
      <patternFill patternType="solid">
        <fgColor rgb="FFDBDBDB"/>
        <bgColor indexed="64"/>
      </patternFill>
    </fill>
    <fill>
      <patternFill patternType="solid">
        <fgColor theme="7" tint="0.79998168889431442"/>
        <bgColor indexed="64"/>
      </patternFill>
    </fill>
  </fills>
  <borders count="21">
    <border>
      <left/>
      <right/>
      <top/>
      <bottom/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/>
      <right/>
      <top style="thin">
        <color indexed="64"/>
      </top>
      <bottom/>
      <diagonal/>
    </border>
    <border>
      <left style="thin">
        <color theme="1" tint="0.499984740745262"/>
      </left>
      <right/>
      <top style="thin">
        <color indexed="64"/>
      </top>
      <bottom/>
      <diagonal/>
    </border>
    <border>
      <left/>
      <right style="thin">
        <color theme="1" tint="0.499984740745262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theme="1" tint="0.499984740745262"/>
      </left>
      <right/>
      <top/>
      <bottom/>
      <diagonal/>
    </border>
    <border>
      <left/>
      <right style="thin">
        <color theme="1" tint="0.499984740745262"/>
      </right>
      <top/>
      <bottom/>
      <diagonal/>
    </border>
    <border>
      <left style="thin">
        <color theme="0" tint="-0.24994659260841701"/>
      </left>
      <right/>
      <top/>
      <bottom/>
      <diagonal/>
    </border>
    <border>
      <left/>
      <right style="thin">
        <color theme="0" tint="-0.24994659260841701"/>
      </right>
      <top/>
      <bottom/>
      <diagonal/>
    </border>
    <border>
      <left style="thin">
        <color indexed="64"/>
      </left>
      <right/>
      <top/>
      <bottom/>
      <diagonal/>
    </border>
    <border>
      <left style="thin">
        <color theme="0" tint="-0.24994659260841701"/>
      </left>
      <right/>
      <top style="thin">
        <color indexed="64"/>
      </top>
      <bottom/>
      <diagonal/>
    </border>
    <border>
      <left/>
      <right style="thin">
        <color theme="0" tint="-0.24994659260841701"/>
      </right>
      <top style="thin">
        <color indexed="64"/>
      </top>
      <bottom/>
      <diagonal/>
    </border>
    <border>
      <left/>
      <right/>
      <top/>
      <bottom style="thin">
        <color indexed="64"/>
      </bottom>
      <diagonal/>
    </border>
    <border>
      <left style="thin">
        <color theme="1" tint="0.499984740745262"/>
      </left>
      <right/>
      <top/>
      <bottom style="thin">
        <color indexed="64"/>
      </bottom>
      <diagonal/>
    </border>
    <border>
      <left/>
      <right style="thin">
        <color theme="1" tint="0.499984740745262"/>
      </right>
      <top/>
      <bottom style="thin">
        <color indexed="64"/>
      </bottom>
      <diagonal/>
    </border>
    <border>
      <left style="thin">
        <color theme="0" tint="-0.24994659260841701"/>
      </left>
      <right/>
      <top/>
      <bottom style="thin">
        <color indexed="64"/>
      </bottom>
      <diagonal/>
    </border>
    <border>
      <left/>
      <right style="thin">
        <color theme="0" tint="-0.24994659260841701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 style="thin">
        <color theme="0"/>
      </top>
      <bottom style="thin">
        <color theme="0"/>
      </bottom>
      <diagonal/>
    </border>
  </borders>
  <cellStyleXfs count="11">
    <xf numFmtId="0" fontId="0" fillId="0" borderId="0"/>
    <xf numFmtId="0" fontId="2" fillId="0" borderId="1" applyNumberFormat="0" applyFill="0" applyAlignment="0" applyProtection="0"/>
    <xf numFmtId="0" fontId="3" fillId="0" borderId="2" applyNumberFormat="0" applyFill="0" applyAlignment="0" applyProtection="0"/>
    <xf numFmtId="0" fontId="3" fillId="0" borderId="0" applyNumberFormat="0" applyFill="0" applyBorder="0" applyAlignment="0" applyProtection="0"/>
    <xf numFmtId="0" fontId="4" fillId="2" borderId="0" applyNumberFormat="0" applyBorder="0" applyAlignment="0" applyProtection="0"/>
    <xf numFmtId="0" fontId="5" fillId="3" borderId="0" applyNumberFormat="0" applyBorder="0" applyAlignment="0" applyProtection="0"/>
    <xf numFmtId="0" fontId="6" fillId="4" borderId="0" applyNumberFormat="0" applyBorder="0" applyAlignment="0" applyProtection="0"/>
    <xf numFmtId="0" fontId="11" fillId="0" borderId="0"/>
    <xf numFmtId="0" fontId="13" fillId="0" borderId="0"/>
    <xf numFmtId="0" fontId="14" fillId="0" borderId="0"/>
    <xf numFmtId="9" fontId="14" fillId="0" borderId="0" applyFont="0" applyFill="0" applyBorder="0" applyAlignment="0" applyProtection="0"/>
  </cellStyleXfs>
  <cellXfs count="154">
    <xf numFmtId="0" fontId="0" fillId="0" borderId="0" xfId="0"/>
    <xf numFmtId="0" fontId="8" fillId="5" borderId="3" xfId="0" applyFont="1" applyFill="1" applyBorder="1" applyAlignment="1">
      <alignment horizontal="center" vertical="center" wrapText="1"/>
    </xf>
    <xf numFmtId="0" fontId="8" fillId="5" borderId="4" xfId="0" applyFont="1" applyFill="1" applyBorder="1" applyAlignment="1">
      <alignment horizontal="center" vertical="center" wrapText="1"/>
    </xf>
    <xf numFmtId="0" fontId="8" fillId="5" borderId="5" xfId="0" applyFont="1" applyFill="1" applyBorder="1" applyAlignment="1">
      <alignment horizontal="center" vertical="center" wrapText="1"/>
    </xf>
    <xf numFmtId="0" fontId="8" fillId="5" borderId="6" xfId="0" applyFont="1" applyFill="1" applyBorder="1" applyAlignment="1">
      <alignment horizontal="center" vertical="center"/>
    </xf>
    <xf numFmtId="0" fontId="8" fillId="5" borderId="0" xfId="0" applyFont="1" applyFill="1" applyAlignment="1">
      <alignment horizontal="center" vertical="center"/>
    </xf>
    <xf numFmtId="0" fontId="6" fillId="4" borderId="0" xfId="6" applyBorder="1" applyAlignment="1">
      <alignment horizontal="left" vertical="center"/>
    </xf>
    <xf numFmtId="0" fontId="8" fillId="5" borderId="0" xfId="0" applyFont="1" applyFill="1" applyAlignment="1">
      <alignment horizontal="center" vertical="center"/>
    </xf>
    <xf numFmtId="0" fontId="8" fillId="5" borderId="0" xfId="0" applyFont="1" applyFill="1" applyAlignment="1">
      <alignment horizontal="left" vertical="center" wrapText="1"/>
    </xf>
    <xf numFmtId="0" fontId="8" fillId="5" borderId="7" xfId="0" applyFont="1" applyFill="1" applyBorder="1" applyAlignment="1">
      <alignment horizontal="left" vertical="center" wrapText="1"/>
    </xf>
    <xf numFmtId="0" fontId="8" fillId="5" borderId="8" xfId="0" applyFont="1" applyFill="1" applyBorder="1" applyAlignment="1">
      <alignment horizontal="left" vertical="center" wrapText="1"/>
    </xf>
    <xf numFmtId="0" fontId="8" fillId="5" borderId="9" xfId="0" applyFont="1" applyFill="1" applyBorder="1" applyAlignment="1">
      <alignment horizontal="left" vertical="center" wrapText="1"/>
    </xf>
    <xf numFmtId="0" fontId="8" fillId="5" borderId="10" xfId="0" applyFont="1" applyFill="1" applyBorder="1" applyAlignment="1">
      <alignment horizontal="left" vertical="center" wrapText="1"/>
    </xf>
    <xf numFmtId="0" fontId="8" fillId="5" borderId="11" xfId="0" applyFont="1" applyFill="1" applyBorder="1" applyAlignment="1">
      <alignment horizontal="center" vertical="center"/>
    </xf>
    <xf numFmtId="0" fontId="9" fillId="6" borderId="0" xfId="0" applyFont="1" applyFill="1" applyAlignment="1">
      <alignment vertical="center"/>
    </xf>
    <xf numFmtId="164" fontId="9" fillId="6" borderId="7" xfId="0" applyNumberFormat="1" applyFont="1" applyFill="1" applyBorder="1" applyAlignment="1">
      <alignment vertical="center"/>
    </xf>
    <xf numFmtId="164" fontId="9" fillId="6" borderId="0" xfId="0" applyNumberFormat="1" applyFont="1" applyFill="1" applyAlignment="1">
      <alignment vertical="center"/>
    </xf>
    <xf numFmtId="164" fontId="9" fillId="6" borderId="8" xfId="0" applyNumberFormat="1" applyFont="1" applyFill="1" applyBorder="1" applyAlignment="1">
      <alignment vertical="center"/>
    </xf>
    <xf numFmtId="2" fontId="9" fillId="6" borderId="0" xfId="0" applyNumberFormat="1" applyFont="1" applyFill="1" applyAlignment="1">
      <alignment vertical="center"/>
    </xf>
    <xf numFmtId="2" fontId="9" fillId="6" borderId="9" xfId="0" applyNumberFormat="1" applyFont="1" applyFill="1" applyBorder="1" applyAlignment="1">
      <alignment vertical="center"/>
    </xf>
    <xf numFmtId="2" fontId="9" fillId="6" borderId="10" xfId="0" applyNumberFormat="1" applyFont="1" applyFill="1" applyBorder="1" applyAlignment="1">
      <alignment vertical="center"/>
    </xf>
    <xf numFmtId="0" fontId="9" fillId="6" borderId="11" xfId="0" applyFont="1" applyFill="1" applyBorder="1" applyAlignment="1">
      <alignment horizontal="left" vertical="center"/>
    </xf>
    <xf numFmtId="0" fontId="9" fillId="6" borderId="0" xfId="0" applyFont="1" applyFill="1" applyAlignment="1">
      <alignment horizontal="left" vertical="center"/>
    </xf>
    <xf numFmtId="0" fontId="9" fillId="7" borderId="0" xfId="0" applyFont="1" applyFill="1" applyAlignment="1">
      <alignment vertical="center"/>
    </xf>
    <xf numFmtId="164" fontId="9" fillId="7" borderId="7" xfId="0" applyNumberFormat="1" applyFont="1" applyFill="1" applyBorder="1" applyAlignment="1">
      <alignment vertical="center"/>
    </xf>
    <xf numFmtId="164" fontId="9" fillId="7" borderId="0" xfId="0" applyNumberFormat="1" applyFont="1" applyFill="1" applyAlignment="1">
      <alignment vertical="center"/>
    </xf>
    <xf numFmtId="164" fontId="9" fillId="7" borderId="8" xfId="0" applyNumberFormat="1" applyFont="1" applyFill="1" applyBorder="1" applyAlignment="1">
      <alignment vertical="center"/>
    </xf>
    <xf numFmtId="2" fontId="9" fillId="7" borderId="0" xfId="0" applyNumberFormat="1" applyFont="1" applyFill="1" applyAlignment="1">
      <alignment vertical="center"/>
    </xf>
    <xf numFmtId="2" fontId="9" fillId="7" borderId="9" xfId="0" applyNumberFormat="1" applyFont="1" applyFill="1" applyBorder="1" applyAlignment="1">
      <alignment vertical="center"/>
    </xf>
    <xf numFmtId="2" fontId="9" fillId="7" borderId="10" xfId="0" applyNumberFormat="1" applyFont="1" applyFill="1" applyBorder="1" applyAlignment="1">
      <alignment vertical="center"/>
    </xf>
    <xf numFmtId="0" fontId="9" fillId="7" borderId="11" xfId="0" applyFont="1" applyFill="1" applyBorder="1" applyAlignment="1">
      <alignment horizontal="left" vertical="center"/>
    </xf>
    <xf numFmtId="0" fontId="9" fillId="7" borderId="0" xfId="0" applyFont="1" applyFill="1" applyAlignment="1">
      <alignment horizontal="left" vertical="center"/>
    </xf>
    <xf numFmtId="1" fontId="9" fillId="7" borderId="0" xfId="0" applyNumberFormat="1" applyFont="1" applyFill="1" applyAlignment="1">
      <alignment vertical="center"/>
    </xf>
    <xf numFmtId="1" fontId="9" fillId="6" borderId="0" xfId="0" applyNumberFormat="1" applyFont="1" applyFill="1" applyAlignment="1">
      <alignment vertical="center"/>
    </xf>
    <xf numFmtId="0" fontId="10" fillId="8" borderId="0" xfId="0" applyFont="1" applyFill="1" applyAlignment="1">
      <alignment vertical="center"/>
    </xf>
    <xf numFmtId="164" fontId="10" fillId="8" borderId="7" xfId="0" applyNumberFormat="1" applyFont="1" applyFill="1" applyBorder="1" applyAlignment="1">
      <alignment vertical="center"/>
    </xf>
    <xf numFmtId="164" fontId="10" fillId="8" borderId="0" xfId="0" applyNumberFormat="1" applyFont="1" applyFill="1" applyAlignment="1">
      <alignment vertical="center"/>
    </xf>
    <xf numFmtId="164" fontId="10" fillId="8" borderId="8" xfId="0" applyNumberFormat="1" applyFont="1" applyFill="1" applyBorder="1" applyAlignment="1">
      <alignment vertical="center"/>
    </xf>
    <xf numFmtId="165" fontId="10" fillId="8" borderId="7" xfId="0" applyNumberFormat="1" applyFont="1" applyFill="1" applyBorder="1" applyAlignment="1">
      <alignment vertical="center"/>
    </xf>
    <xf numFmtId="165" fontId="10" fillId="8" borderId="0" xfId="0" applyNumberFormat="1" applyFont="1" applyFill="1" applyAlignment="1">
      <alignment vertical="center"/>
    </xf>
    <xf numFmtId="165" fontId="10" fillId="8" borderId="9" xfId="0" applyNumberFormat="1" applyFont="1" applyFill="1" applyBorder="1" applyAlignment="1">
      <alignment vertical="center"/>
    </xf>
    <xf numFmtId="165" fontId="10" fillId="8" borderId="10" xfId="0" applyNumberFormat="1" applyFont="1" applyFill="1" applyBorder="1" applyAlignment="1">
      <alignment vertical="center"/>
    </xf>
    <xf numFmtId="0" fontId="10" fillId="8" borderId="11" xfId="0" applyFont="1" applyFill="1" applyBorder="1" applyAlignment="1">
      <alignment horizontal="left" vertical="center"/>
    </xf>
    <xf numFmtId="0" fontId="10" fillId="8" borderId="0" xfId="0" applyFont="1" applyFill="1" applyAlignment="1">
      <alignment horizontal="left" vertical="center"/>
    </xf>
    <xf numFmtId="0" fontId="9" fillId="9" borderId="0" xfId="0" applyFont="1" applyFill="1" applyAlignment="1">
      <alignment vertical="center"/>
    </xf>
    <xf numFmtId="164" fontId="9" fillId="9" borderId="7" xfId="0" applyNumberFormat="1" applyFont="1" applyFill="1" applyBorder="1" applyAlignment="1">
      <alignment vertical="center"/>
    </xf>
    <xf numFmtId="164" fontId="9" fillId="9" borderId="0" xfId="0" applyNumberFormat="1" applyFont="1" applyFill="1" applyAlignment="1">
      <alignment vertical="center"/>
    </xf>
    <xf numFmtId="164" fontId="9" fillId="9" borderId="8" xfId="0" applyNumberFormat="1" applyFont="1" applyFill="1" applyBorder="1" applyAlignment="1">
      <alignment vertical="center"/>
    </xf>
    <xf numFmtId="165" fontId="9" fillId="9" borderId="7" xfId="0" applyNumberFormat="1" applyFont="1" applyFill="1" applyBorder="1" applyAlignment="1">
      <alignment vertical="center"/>
    </xf>
    <xf numFmtId="165" fontId="9" fillId="9" borderId="0" xfId="0" applyNumberFormat="1" applyFont="1" applyFill="1" applyAlignment="1">
      <alignment vertical="center"/>
    </xf>
    <xf numFmtId="165" fontId="9" fillId="9" borderId="9" xfId="0" applyNumberFormat="1" applyFont="1" applyFill="1" applyBorder="1" applyAlignment="1">
      <alignment vertical="center"/>
    </xf>
    <xf numFmtId="165" fontId="9" fillId="9" borderId="10" xfId="0" applyNumberFormat="1" applyFont="1" applyFill="1" applyBorder="1" applyAlignment="1">
      <alignment vertical="center"/>
    </xf>
    <xf numFmtId="0" fontId="9" fillId="9" borderId="11" xfId="0" applyFont="1" applyFill="1" applyBorder="1" applyAlignment="1">
      <alignment horizontal="left" vertical="center"/>
    </xf>
    <xf numFmtId="0" fontId="9" fillId="9" borderId="0" xfId="0" applyFont="1" applyFill="1" applyAlignment="1">
      <alignment horizontal="left" vertical="center"/>
    </xf>
    <xf numFmtId="0" fontId="9" fillId="10" borderId="0" xfId="0" applyFont="1" applyFill="1" applyAlignment="1">
      <alignment vertical="center"/>
    </xf>
    <xf numFmtId="164" fontId="9" fillId="10" borderId="7" xfId="0" applyNumberFormat="1" applyFont="1" applyFill="1" applyBorder="1" applyAlignment="1">
      <alignment vertical="center"/>
    </xf>
    <xf numFmtId="164" fontId="9" fillId="10" borderId="0" xfId="0" applyNumberFormat="1" applyFont="1" applyFill="1" applyAlignment="1">
      <alignment vertical="center"/>
    </xf>
    <xf numFmtId="164" fontId="9" fillId="10" borderId="8" xfId="0" applyNumberFormat="1" applyFont="1" applyFill="1" applyBorder="1" applyAlignment="1">
      <alignment vertical="center"/>
    </xf>
    <xf numFmtId="165" fontId="9" fillId="10" borderId="7" xfId="0" applyNumberFormat="1" applyFont="1" applyFill="1" applyBorder="1" applyAlignment="1">
      <alignment vertical="center"/>
    </xf>
    <xf numFmtId="165" fontId="9" fillId="10" borderId="0" xfId="0" applyNumberFormat="1" applyFont="1" applyFill="1" applyAlignment="1">
      <alignment vertical="center"/>
    </xf>
    <xf numFmtId="165" fontId="9" fillId="10" borderId="9" xfId="0" applyNumberFormat="1" applyFont="1" applyFill="1" applyBorder="1" applyAlignment="1">
      <alignment vertical="center"/>
    </xf>
    <xf numFmtId="165" fontId="9" fillId="10" borderId="10" xfId="0" applyNumberFormat="1" applyFont="1" applyFill="1" applyBorder="1" applyAlignment="1">
      <alignment vertical="center"/>
    </xf>
    <xf numFmtId="0" fontId="9" fillId="10" borderId="11" xfId="0" applyFont="1" applyFill="1" applyBorder="1" applyAlignment="1">
      <alignment horizontal="left" vertical="center"/>
    </xf>
    <xf numFmtId="0" fontId="9" fillId="10" borderId="0" xfId="0" applyFont="1" applyFill="1" applyAlignment="1">
      <alignment horizontal="left" vertical="center"/>
    </xf>
    <xf numFmtId="0" fontId="9" fillId="11" borderId="3" xfId="0" applyFont="1" applyFill="1" applyBorder="1" applyAlignment="1">
      <alignment vertical="center"/>
    </xf>
    <xf numFmtId="164" fontId="9" fillId="11" borderId="4" xfId="0" applyNumberFormat="1" applyFont="1" applyFill="1" applyBorder="1" applyAlignment="1">
      <alignment vertical="center"/>
    </xf>
    <xf numFmtId="164" fontId="9" fillId="11" borderId="3" xfId="0" applyNumberFormat="1" applyFont="1" applyFill="1" applyBorder="1" applyAlignment="1">
      <alignment vertical="center"/>
    </xf>
    <xf numFmtId="164" fontId="9" fillId="11" borderId="5" xfId="0" applyNumberFormat="1" applyFont="1" applyFill="1" applyBorder="1" applyAlignment="1">
      <alignment vertical="center"/>
    </xf>
    <xf numFmtId="165" fontId="10" fillId="11" borderId="4" xfId="0" applyNumberFormat="1" applyFont="1" applyFill="1" applyBorder="1" applyAlignment="1">
      <alignment vertical="center"/>
    </xf>
    <xf numFmtId="165" fontId="10" fillId="11" borderId="3" xfId="0" applyNumberFormat="1" applyFont="1" applyFill="1" applyBorder="1" applyAlignment="1">
      <alignment vertical="center"/>
    </xf>
    <xf numFmtId="165" fontId="10" fillId="11" borderId="12" xfId="0" applyNumberFormat="1" applyFont="1" applyFill="1" applyBorder="1" applyAlignment="1">
      <alignment vertical="center"/>
    </xf>
    <xf numFmtId="165" fontId="10" fillId="11" borderId="13" xfId="0" applyNumberFormat="1" applyFont="1" applyFill="1" applyBorder="1" applyAlignment="1">
      <alignment vertical="center"/>
    </xf>
    <xf numFmtId="0" fontId="9" fillId="11" borderId="6" xfId="0" applyFont="1" applyFill="1" applyBorder="1" applyAlignment="1">
      <alignment horizontal="left" vertical="center"/>
    </xf>
    <xf numFmtId="0" fontId="9" fillId="11" borderId="0" xfId="0" applyFont="1" applyFill="1" applyAlignment="1">
      <alignment horizontal="left" vertical="center"/>
    </xf>
    <xf numFmtId="0" fontId="9" fillId="12" borderId="0" xfId="0" applyFont="1" applyFill="1" applyAlignment="1">
      <alignment vertical="center"/>
    </xf>
    <xf numFmtId="0" fontId="9" fillId="13" borderId="0" xfId="0" applyFont="1" applyFill="1" applyAlignment="1">
      <alignment vertical="center"/>
    </xf>
    <xf numFmtId="164" fontId="9" fillId="13" borderId="7" xfId="0" applyNumberFormat="1" applyFont="1" applyFill="1" applyBorder="1" applyAlignment="1">
      <alignment vertical="center"/>
    </xf>
    <xf numFmtId="164" fontId="9" fillId="13" borderId="0" xfId="0" applyNumberFormat="1" applyFont="1" applyFill="1" applyAlignment="1">
      <alignment vertical="center"/>
    </xf>
    <xf numFmtId="164" fontId="9" fillId="13" borderId="8" xfId="0" applyNumberFormat="1" applyFont="1" applyFill="1" applyBorder="1" applyAlignment="1">
      <alignment vertical="center"/>
    </xf>
    <xf numFmtId="165" fontId="10" fillId="13" borderId="7" xfId="0" applyNumberFormat="1" applyFont="1" applyFill="1" applyBorder="1" applyAlignment="1">
      <alignment vertical="center"/>
    </xf>
    <xf numFmtId="165" fontId="10" fillId="13" borderId="0" xfId="0" applyNumberFormat="1" applyFont="1" applyFill="1" applyAlignment="1">
      <alignment vertical="center"/>
    </xf>
    <xf numFmtId="165" fontId="10" fillId="13" borderId="9" xfId="0" applyNumberFormat="1" applyFont="1" applyFill="1" applyBorder="1" applyAlignment="1">
      <alignment vertical="center"/>
    </xf>
    <xf numFmtId="165" fontId="10" fillId="13" borderId="10" xfId="0" applyNumberFormat="1" applyFont="1" applyFill="1" applyBorder="1" applyAlignment="1">
      <alignment vertical="center"/>
    </xf>
    <xf numFmtId="0" fontId="9" fillId="12" borderId="11" xfId="0" applyFont="1" applyFill="1" applyBorder="1" applyAlignment="1">
      <alignment horizontal="left" vertical="center"/>
    </xf>
    <xf numFmtId="0" fontId="9" fillId="12" borderId="0" xfId="0" applyFont="1" applyFill="1" applyAlignment="1">
      <alignment horizontal="left" vertical="center"/>
    </xf>
    <xf numFmtId="0" fontId="9" fillId="11" borderId="14" xfId="0" applyFont="1" applyFill="1" applyBorder="1" applyAlignment="1">
      <alignment vertical="center"/>
    </xf>
    <xf numFmtId="164" fontId="9" fillId="11" borderId="15" xfId="0" applyNumberFormat="1" applyFont="1" applyFill="1" applyBorder="1" applyAlignment="1">
      <alignment vertical="center"/>
    </xf>
    <xf numFmtId="164" fontId="9" fillId="11" borderId="14" xfId="0" applyNumberFormat="1" applyFont="1" applyFill="1" applyBorder="1" applyAlignment="1">
      <alignment vertical="center"/>
    </xf>
    <xf numFmtId="164" fontId="9" fillId="11" borderId="16" xfId="0" applyNumberFormat="1" applyFont="1" applyFill="1" applyBorder="1" applyAlignment="1">
      <alignment vertical="center"/>
    </xf>
    <xf numFmtId="165" fontId="10" fillId="11" borderId="15" xfId="0" applyNumberFormat="1" applyFont="1" applyFill="1" applyBorder="1" applyAlignment="1">
      <alignment vertical="center"/>
    </xf>
    <xf numFmtId="165" fontId="10" fillId="11" borderId="14" xfId="0" applyNumberFormat="1" applyFont="1" applyFill="1" applyBorder="1" applyAlignment="1">
      <alignment vertical="center"/>
    </xf>
    <xf numFmtId="165" fontId="10" fillId="11" borderId="17" xfId="0" applyNumberFormat="1" applyFont="1" applyFill="1" applyBorder="1" applyAlignment="1">
      <alignment vertical="center"/>
    </xf>
    <xf numFmtId="165" fontId="10" fillId="11" borderId="18" xfId="0" applyNumberFormat="1" applyFont="1" applyFill="1" applyBorder="1" applyAlignment="1">
      <alignment vertical="center"/>
    </xf>
    <xf numFmtId="0" fontId="9" fillId="11" borderId="19" xfId="0" applyFont="1" applyFill="1" applyBorder="1" applyAlignment="1">
      <alignment horizontal="left" vertical="center"/>
    </xf>
    <xf numFmtId="1" fontId="9" fillId="14" borderId="0" xfId="0" applyNumberFormat="1" applyFont="1" applyFill="1" applyAlignment="1">
      <alignment vertical="center"/>
    </xf>
    <xf numFmtId="164" fontId="9" fillId="14" borderId="7" xfId="0" applyNumberFormat="1" applyFont="1" applyFill="1" applyBorder="1" applyAlignment="1">
      <alignment vertical="center"/>
    </xf>
    <xf numFmtId="164" fontId="9" fillId="14" borderId="0" xfId="0" applyNumberFormat="1" applyFont="1" applyFill="1" applyAlignment="1">
      <alignment vertical="center"/>
    </xf>
    <xf numFmtId="164" fontId="9" fillId="14" borderId="8" xfId="0" applyNumberFormat="1" applyFont="1" applyFill="1" applyBorder="1" applyAlignment="1">
      <alignment vertical="center"/>
    </xf>
    <xf numFmtId="165" fontId="9" fillId="14" borderId="7" xfId="0" applyNumberFormat="1" applyFont="1" applyFill="1" applyBorder="1" applyAlignment="1">
      <alignment vertical="center"/>
    </xf>
    <xf numFmtId="165" fontId="9" fillId="14" borderId="0" xfId="0" applyNumberFormat="1" applyFont="1" applyFill="1" applyAlignment="1">
      <alignment vertical="center"/>
    </xf>
    <xf numFmtId="165" fontId="9" fillId="14" borderId="9" xfId="0" applyNumberFormat="1" applyFont="1" applyFill="1" applyBorder="1" applyAlignment="1">
      <alignment vertical="center"/>
    </xf>
    <xf numFmtId="165" fontId="9" fillId="14" borderId="10" xfId="0" applyNumberFormat="1" applyFont="1" applyFill="1" applyBorder="1" applyAlignment="1">
      <alignment vertical="center"/>
    </xf>
    <xf numFmtId="0" fontId="9" fillId="14" borderId="11" xfId="0" applyFont="1" applyFill="1" applyBorder="1" applyAlignment="1">
      <alignment horizontal="left" vertical="center"/>
    </xf>
    <xf numFmtId="0" fontId="9" fillId="14" borderId="0" xfId="0" applyFont="1" applyFill="1" applyAlignment="1">
      <alignment horizontal="left" vertical="center"/>
    </xf>
    <xf numFmtId="1" fontId="9" fillId="15" borderId="0" xfId="0" applyNumberFormat="1" applyFont="1" applyFill="1" applyAlignment="1">
      <alignment vertical="center"/>
    </xf>
    <xf numFmtId="164" fontId="9" fillId="15" borderId="7" xfId="0" applyNumberFormat="1" applyFont="1" applyFill="1" applyBorder="1" applyAlignment="1">
      <alignment vertical="center"/>
    </xf>
    <xf numFmtId="164" fontId="9" fillId="15" borderId="0" xfId="0" applyNumberFormat="1" applyFont="1" applyFill="1" applyAlignment="1">
      <alignment vertical="center"/>
    </xf>
    <xf numFmtId="164" fontId="9" fillId="15" borderId="8" xfId="0" applyNumberFormat="1" applyFont="1" applyFill="1" applyBorder="1" applyAlignment="1">
      <alignment vertical="center"/>
    </xf>
    <xf numFmtId="165" fontId="9" fillId="15" borderId="7" xfId="0" applyNumberFormat="1" applyFont="1" applyFill="1" applyBorder="1" applyAlignment="1">
      <alignment vertical="center"/>
    </xf>
    <xf numFmtId="165" fontId="9" fillId="15" borderId="0" xfId="0" applyNumberFormat="1" applyFont="1" applyFill="1" applyAlignment="1">
      <alignment vertical="center"/>
    </xf>
    <xf numFmtId="165" fontId="9" fillId="15" borderId="9" xfId="0" applyNumberFormat="1" applyFont="1" applyFill="1" applyBorder="1" applyAlignment="1">
      <alignment vertical="center"/>
    </xf>
    <xf numFmtId="165" fontId="9" fillId="15" borderId="10" xfId="0" applyNumberFormat="1" applyFont="1" applyFill="1" applyBorder="1" applyAlignment="1">
      <alignment vertical="center"/>
    </xf>
    <xf numFmtId="0" fontId="9" fillId="15" borderId="11" xfId="0" applyFont="1" applyFill="1" applyBorder="1" applyAlignment="1">
      <alignment horizontal="left" vertical="center"/>
    </xf>
    <xf numFmtId="0" fontId="9" fillId="15" borderId="0" xfId="0" applyFont="1" applyFill="1" applyAlignment="1">
      <alignment horizontal="left" vertical="center"/>
    </xf>
    <xf numFmtId="0" fontId="9" fillId="14" borderId="14" xfId="0" applyFont="1" applyFill="1" applyBorder="1" applyAlignment="1">
      <alignment vertical="center"/>
    </xf>
    <xf numFmtId="164" fontId="9" fillId="14" borderId="15" xfId="0" applyNumberFormat="1" applyFont="1" applyFill="1" applyBorder="1" applyAlignment="1">
      <alignment vertical="center"/>
    </xf>
    <xf numFmtId="164" fontId="9" fillId="14" borderId="14" xfId="0" applyNumberFormat="1" applyFont="1" applyFill="1" applyBorder="1" applyAlignment="1">
      <alignment vertical="center"/>
    </xf>
    <xf numFmtId="164" fontId="9" fillId="14" borderId="16" xfId="0" applyNumberFormat="1" applyFont="1" applyFill="1" applyBorder="1" applyAlignment="1">
      <alignment vertical="center"/>
    </xf>
    <xf numFmtId="165" fontId="9" fillId="14" borderId="15" xfId="0" applyNumberFormat="1" applyFont="1" applyFill="1" applyBorder="1" applyAlignment="1">
      <alignment vertical="center"/>
    </xf>
    <xf numFmtId="165" fontId="9" fillId="14" borderId="14" xfId="0" applyNumberFormat="1" applyFont="1" applyFill="1" applyBorder="1" applyAlignment="1">
      <alignment vertical="center"/>
    </xf>
    <xf numFmtId="165" fontId="9" fillId="14" borderId="17" xfId="0" applyNumberFormat="1" applyFont="1" applyFill="1" applyBorder="1" applyAlignment="1">
      <alignment vertical="center"/>
    </xf>
    <xf numFmtId="165" fontId="9" fillId="14" borderId="18" xfId="0" applyNumberFormat="1" applyFont="1" applyFill="1" applyBorder="1" applyAlignment="1">
      <alignment vertical="center"/>
    </xf>
    <xf numFmtId="0" fontId="9" fillId="14" borderId="19" xfId="0" applyFont="1" applyFill="1" applyBorder="1" applyAlignment="1">
      <alignment horizontal="left" vertical="center"/>
    </xf>
    <xf numFmtId="0" fontId="2" fillId="0" borderId="1" xfId="1"/>
    <xf numFmtId="0" fontId="3" fillId="0" borderId="0" xfId="3"/>
    <xf numFmtId="1" fontId="0" fillId="0" borderId="0" xfId="0" applyNumberFormat="1"/>
    <xf numFmtId="1" fontId="7" fillId="0" borderId="0" xfId="0" applyNumberFormat="1" applyFont="1"/>
    <xf numFmtId="2" fontId="0" fillId="0" borderId="0" xfId="0" applyNumberFormat="1"/>
    <xf numFmtId="0" fontId="1" fillId="0" borderId="0" xfId="7" applyFont="1" applyAlignment="1">
      <alignment horizontal="left"/>
    </xf>
    <xf numFmtId="0" fontId="4" fillId="2" borderId="0" xfId="4" applyAlignment="1">
      <alignment horizontal="right"/>
    </xf>
    <xf numFmtId="0" fontId="4" fillId="2" borderId="0" xfId="4" applyAlignment="1">
      <alignment vertical="center"/>
    </xf>
    <xf numFmtId="0" fontId="11" fillId="0" borderId="0" xfId="7" applyAlignment="1">
      <alignment vertical="center"/>
    </xf>
    <xf numFmtId="0" fontId="11" fillId="0" borderId="0" xfId="7"/>
    <xf numFmtId="0" fontId="1" fillId="0" borderId="0" xfId="7" applyFont="1" applyAlignment="1">
      <alignment vertical="center"/>
    </xf>
    <xf numFmtId="0" fontId="12" fillId="0" borderId="0" xfId="7" applyFont="1" applyAlignment="1">
      <alignment vertical="center"/>
    </xf>
    <xf numFmtId="166" fontId="0" fillId="0" borderId="0" xfId="0" applyNumberFormat="1"/>
    <xf numFmtId="166" fontId="13" fillId="0" borderId="0" xfId="8" applyNumberFormat="1"/>
    <xf numFmtId="0" fontId="13" fillId="0" borderId="0" xfId="8"/>
    <xf numFmtId="0" fontId="1" fillId="0" borderId="0" xfId="8" applyFont="1"/>
    <xf numFmtId="166" fontId="1" fillId="0" borderId="0" xfId="8" applyNumberFormat="1" applyFont="1"/>
    <xf numFmtId="2" fontId="13" fillId="0" borderId="0" xfId="8" applyNumberFormat="1"/>
    <xf numFmtId="0" fontId="15" fillId="0" borderId="0" xfId="9" applyFont="1"/>
    <xf numFmtId="0" fontId="14" fillId="0" borderId="0" xfId="9"/>
    <xf numFmtId="0" fontId="4" fillId="2" borderId="0" xfId="4"/>
    <xf numFmtId="0" fontId="15" fillId="16" borderId="0" xfId="9" applyFont="1" applyFill="1"/>
    <xf numFmtId="0" fontId="14" fillId="16" borderId="0" xfId="9" applyFill="1"/>
    <xf numFmtId="0" fontId="16" fillId="16" borderId="0" xfId="9" applyFont="1" applyFill="1"/>
    <xf numFmtId="167" fontId="17" fillId="16" borderId="0" xfId="9" applyNumberFormat="1" applyFont="1" applyFill="1"/>
    <xf numFmtId="1" fontId="14" fillId="16" borderId="0" xfId="9" applyNumberFormat="1" applyFill="1"/>
    <xf numFmtId="167" fontId="17" fillId="16" borderId="20" xfId="9" applyNumberFormat="1" applyFont="1" applyFill="1" applyBorder="1"/>
    <xf numFmtId="168" fontId="18" fillId="0" borderId="0" xfId="10" applyNumberFormat="1" applyFont="1"/>
    <xf numFmtId="0" fontId="1" fillId="0" borderId="0" xfId="0" applyFont="1"/>
    <xf numFmtId="0" fontId="3" fillId="0" borderId="2" xfId="2"/>
    <xf numFmtId="0" fontId="5" fillId="3" borderId="0" xfId="5"/>
  </cellXfs>
  <cellStyles count="11">
    <cellStyle name="Bad" xfId="5" builtinId="27"/>
    <cellStyle name="Good" xfId="4" builtinId="26"/>
    <cellStyle name="Heading 2" xfId="1" builtinId="17"/>
    <cellStyle name="Heading 3" xfId="2" builtinId="18"/>
    <cellStyle name="Heading 4" xfId="3" builtinId="19"/>
    <cellStyle name="Neutral" xfId="6" builtinId="28"/>
    <cellStyle name="Normal" xfId="0" builtinId="0"/>
    <cellStyle name="Normal 10" xfId="7" xr:uid="{F419CC3D-2187-4857-9B57-5A3BE85C085A}"/>
    <cellStyle name="Normal 3 2" xfId="8" xr:uid="{8A114FD9-324C-4F78-8B26-D96C7C90F85B}"/>
    <cellStyle name="Normal 4" xfId="9" xr:uid="{8B70C87D-11CA-4038-8AC7-960A154118DD}"/>
    <cellStyle name="Percent 4" xfId="10" xr:uid="{A6AD0FD8-525D-4989-AD30-5283DC99FD8A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externalLink" Target="externalLinks/externalLink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/VEDA/Veda/Veda_models/Tiam_framework_Kapsarc/SubRes_Tmpl/SubRES_H2-Production.xlsm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Cover"/>
      <sheetName val="ELC_Lists"/>
      <sheetName val="Costs"/>
      <sheetName val="Costs-China"/>
      <sheetName val="ELC_Efficiency"/>
      <sheetName val="Emissions"/>
      <sheetName val="Constraints"/>
      <sheetName val="Lifetime"/>
      <sheetName val="Sector Delivery Mark-Ups"/>
      <sheetName val="TRA_SectFuel"/>
      <sheetName val="Costs (Optimistic)"/>
      <sheetName val="Efficiency (Optimistic)"/>
    </sheetNames>
    <sheetDataSet>
      <sheetData sheetId="0" refreshError="1"/>
      <sheetData sheetId="1">
        <row r="4">
          <cell r="H4" t="str">
            <v>Natural Gas with CCS</v>
          </cell>
          <cell r="K4" t="str">
            <v>Coal</v>
          </cell>
          <cell r="N4" t="str">
            <v>Residential</v>
          </cell>
        </row>
        <row r="5">
          <cell r="H5" t="str">
            <v>Electrolysis</v>
          </cell>
          <cell r="K5" t="str">
            <v>Gas</v>
          </cell>
          <cell r="N5" t="str">
            <v>Commercial</v>
          </cell>
        </row>
        <row r="6">
          <cell r="H6" t="str">
            <v>Coal Gasification with CCS</v>
          </cell>
          <cell r="K6" t="str">
            <v>Petcoke</v>
          </cell>
          <cell r="N6" t="str">
            <v>Industry</v>
          </cell>
        </row>
        <row r="7">
          <cell r="H7" t="str">
            <v>Biomass with CCS</v>
          </cell>
          <cell r="K7" t="str">
            <v>Biomass</v>
          </cell>
        </row>
        <row r="8">
          <cell r="K8" t="str">
            <v>HFO</v>
          </cell>
        </row>
        <row r="9">
          <cell r="K9" t="str">
            <v>Diesel</v>
          </cell>
        </row>
        <row r="10">
          <cell r="K10" t="str">
            <v>Waste</v>
          </cell>
        </row>
        <row r="11">
          <cell r="K11" t="str">
            <v>Electricity</v>
          </cell>
        </row>
      </sheetData>
      <sheetData sheetId="2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 2013 - 2022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7373E67-F7E2-4FEA-8BEF-CD587ED89898}">
  <dimension ref="B9:U116"/>
  <sheetViews>
    <sheetView workbookViewId="0"/>
  </sheetViews>
  <sheetFormatPr defaultRowHeight="14.25"/>
  <sheetData>
    <row r="9" spans="2:21">
      <c r="B9" t="s">
        <v>0</v>
      </c>
      <c r="O9" t="s">
        <v>1</v>
      </c>
    </row>
    <row r="10" spans="2:21">
      <c r="B10" t="s">
        <v>2</v>
      </c>
      <c r="C10" t="s">
        <v>3</v>
      </c>
      <c r="D10" t="s">
        <v>4</v>
      </c>
      <c r="E10">
        <v>2020</v>
      </c>
      <c r="F10">
        <v>2024</v>
      </c>
      <c r="G10">
        <v>2025</v>
      </c>
      <c r="H10">
        <v>2030</v>
      </c>
      <c r="I10">
        <v>2035</v>
      </c>
      <c r="J10">
        <v>2040</v>
      </c>
      <c r="K10">
        <v>2045</v>
      </c>
      <c r="L10">
        <v>2050</v>
      </c>
      <c r="M10" t="s">
        <v>5</v>
      </c>
      <c r="O10" t="s">
        <v>6</v>
      </c>
      <c r="P10" t="s">
        <v>2</v>
      </c>
      <c r="Q10" t="s">
        <v>7</v>
      </c>
      <c r="R10" t="s">
        <v>8</v>
      </c>
      <c r="S10" t="s">
        <v>9</v>
      </c>
      <c r="T10" t="s">
        <v>10</v>
      </c>
      <c r="U10" t="s">
        <v>11</v>
      </c>
    </row>
    <row r="11" spans="2:21">
      <c r="B11" t="s">
        <v>12</v>
      </c>
      <c r="C11" t="s">
        <v>13</v>
      </c>
      <c r="D11" t="s">
        <v>14</v>
      </c>
      <c r="F11">
        <v>941</v>
      </c>
      <c r="I11">
        <v>941</v>
      </c>
      <c r="L11">
        <v>941</v>
      </c>
      <c r="M11" t="s">
        <v>15</v>
      </c>
      <c r="O11" t="s">
        <v>16</v>
      </c>
      <c r="P11" t="s">
        <v>12</v>
      </c>
      <c r="R11" t="s">
        <v>17</v>
      </c>
      <c r="S11" t="s">
        <v>18</v>
      </c>
      <c r="T11" t="s">
        <v>19</v>
      </c>
      <c r="U11" t="s">
        <v>20</v>
      </c>
    </row>
    <row r="12" spans="2:21">
      <c r="B12" t="s">
        <v>12</v>
      </c>
      <c r="C12" t="s">
        <v>13</v>
      </c>
      <c r="D12" t="s">
        <v>14</v>
      </c>
      <c r="F12">
        <v>23.5</v>
      </c>
      <c r="I12">
        <v>23.5</v>
      </c>
      <c r="L12">
        <v>23.5</v>
      </c>
      <c r="M12" t="s">
        <v>21</v>
      </c>
      <c r="O12" t="s">
        <v>16</v>
      </c>
      <c r="P12" t="s">
        <v>22</v>
      </c>
      <c r="R12" t="s">
        <v>17</v>
      </c>
      <c r="S12" t="s">
        <v>18</v>
      </c>
      <c r="T12" t="s">
        <v>19</v>
      </c>
      <c r="U12" t="s">
        <v>20</v>
      </c>
    </row>
    <row r="13" spans="2:21">
      <c r="B13" t="s">
        <v>12</v>
      </c>
      <c r="C13" t="s">
        <v>13</v>
      </c>
      <c r="D13" t="s">
        <v>14</v>
      </c>
      <c r="F13">
        <v>0.58899999999999997</v>
      </c>
      <c r="I13">
        <v>0.54400000000000004</v>
      </c>
      <c r="L13">
        <v>0.497</v>
      </c>
      <c r="M13" t="s">
        <v>23</v>
      </c>
      <c r="O13" t="s">
        <v>24</v>
      </c>
      <c r="P13" t="s">
        <v>25</v>
      </c>
      <c r="R13" t="s">
        <v>17</v>
      </c>
      <c r="S13" t="s">
        <v>18</v>
      </c>
      <c r="T13" t="s">
        <v>19</v>
      </c>
      <c r="U13" t="s">
        <v>20</v>
      </c>
    </row>
    <row r="14" spans="2:21">
      <c r="B14" t="s">
        <v>12</v>
      </c>
      <c r="C14" t="s">
        <v>13</v>
      </c>
      <c r="D14" t="s">
        <v>14</v>
      </c>
      <c r="F14">
        <v>0.59</v>
      </c>
      <c r="I14">
        <v>0.61</v>
      </c>
      <c r="L14">
        <v>0.61</v>
      </c>
      <c r="M14" t="s">
        <v>26</v>
      </c>
      <c r="O14" t="s">
        <v>16</v>
      </c>
      <c r="P14" t="s">
        <v>27</v>
      </c>
      <c r="R14" t="s">
        <v>17</v>
      </c>
      <c r="S14" t="s">
        <v>18</v>
      </c>
      <c r="T14" t="s">
        <v>19</v>
      </c>
      <c r="U14" t="s">
        <v>20</v>
      </c>
    </row>
    <row r="15" spans="2:21">
      <c r="B15" t="s">
        <v>12</v>
      </c>
      <c r="C15" t="s">
        <v>13</v>
      </c>
      <c r="D15" t="s">
        <v>14</v>
      </c>
      <c r="E15">
        <v>30</v>
      </c>
      <c r="F15">
        <v>30</v>
      </c>
      <c r="G15">
        <v>30</v>
      </c>
      <c r="H15">
        <v>30</v>
      </c>
      <c r="I15">
        <v>30</v>
      </c>
      <c r="J15">
        <v>30</v>
      </c>
      <c r="K15">
        <v>30</v>
      </c>
      <c r="L15">
        <v>30</v>
      </c>
      <c r="M15" t="s">
        <v>28</v>
      </c>
      <c r="O15" t="s">
        <v>16</v>
      </c>
      <c r="P15" t="s">
        <v>29</v>
      </c>
      <c r="R15" t="s">
        <v>17</v>
      </c>
      <c r="S15" t="s">
        <v>18</v>
      </c>
      <c r="T15" t="s">
        <v>19</v>
      </c>
      <c r="U15" t="s">
        <v>20</v>
      </c>
    </row>
    <row r="16" spans="2:21">
      <c r="B16" t="s">
        <v>12</v>
      </c>
      <c r="C16" t="s">
        <v>13</v>
      </c>
      <c r="D16" t="s">
        <v>14</v>
      </c>
      <c r="E16">
        <v>3</v>
      </c>
      <c r="F16">
        <v>3</v>
      </c>
      <c r="G16">
        <v>3</v>
      </c>
      <c r="H16">
        <v>3</v>
      </c>
      <c r="I16">
        <v>3</v>
      </c>
      <c r="J16">
        <v>3</v>
      </c>
      <c r="K16">
        <v>3</v>
      </c>
      <c r="L16">
        <v>3</v>
      </c>
      <c r="M16" t="s">
        <v>30</v>
      </c>
      <c r="O16" t="s">
        <v>16</v>
      </c>
      <c r="P16" t="s">
        <v>31</v>
      </c>
      <c r="R16" t="s">
        <v>17</v>
      </c>
      <c r="S16" t="s">
        <v>18</v>
      </c>
      <c r="T16" t="s">
        <v>19</v>
      </c>
      <c r="U16" t="s">
        <v>20</v>
      </c>
    </row>
    <row r="17" spans="2:21">
      <c r="B17" t="s">
        <v>22</v>
      </c>
      <c r="C17" t="s">
        <v>13</v>
      </c>
      <c r="D17" t="s">
        <v>14</v>
      </c>
      <c r="F17">
        <v>470.5</v>
      </c>
      <c r="I17">
        <v>470.5</v>
      </c>
      <c r="L17">
        <v>470.5</v>
      </c>
      <c r="M17" t="s">
        <v>15</v>
      </c>
      <c r="O17" t="s">
        <v>16</v>
      </c>
      <c r="P17" t="s">
        <v>32</v>
      </c>
      <c r="R17" t="s">
        <v>17</v>
      </c>
      <c r="S17" t="s">
        <v>18</v>
      </c>
      <c r="T17" t="s">
        <v>19</v>
      </c>
      <c r="U17" t="s">
        <v>20</v>
      </c>
    </row>
    <row r="18" spans="2:21">
      <c r="B18" t="s">
        <v>22</v>
      </c>
      <c r="C18" t="s">
        <v>13</v>
      </c>
      <c r="D18" t="s">
        <v>14</v>
      </c>
      <c r="F18">
        <v>18.8</v>
      </c>
      <c r="I18">
        <v>18.8</v>
      </c>
      <c r="L18">
        <v>18.8</v>
      </c>
      <c r="M18" t="s">
        <v>21</v>
      </c>
      <c r="O18" t="s">
        <v>16</v>
      </c>
      <c r="P18" t="s">
        <v>33</v>
      </c>
      <c r="R18" t="s">
        <v>17</v>
      </c>
      <c r="S18" t="s">
        <v>18</v>
      </c>
      <c r="T18" t="s">
        <v>19</v>
      </c>
      <c r="U18" t="s">
        <v>20</v>
      </c>
    </row>
    <row r="19" spans="2:21">
      <c r="B19" t="s">
        <v>22</v>
      </c>
      <c r="C19" t="s">
        <v>13</v>
      </c>
      <c r="D19" t="s">
        <v>14</v>
      </c>
      <c r="F19">
        <v>1.9279999999999999</v>
      </c>
      <c r="I19">
        <v>1.9279999999999999</v>
      </c>
      <c r="L19">
        <v>1.9279999999999999</v>
      </c>
      <c r="M19" t="s">
        <v>23</v>
      </c>
      <c r="O19" t="s">
        <v>16</v>
      </c>
      <c r="P19" t="s">
        <v>34</v>
      </c>
      <c r="R19" t="s">
        <v>17</v>
      </c>
      <c r="S19" t="s">
        <v>18</v>
      </c>
      <c r="T19" t="s">
        <v>19</v>
      </c>
      <c r="U19" t="s">
        <v>20</v>
      </c>
    </row>
    <row r="20" spans="2:21">
      <c r="B20" t="s">
        <v>22</v>
      </c>
      <c r="C20" t="s">
        <v>13</v>
      </c>
      <c r="D20" t="s">
        <v>14</v>
      </c>
      <c r="F20">
        <v>0.41</v>
      </c>
      <c r="I20">
        <v>0.42</v>
      </c>
      <c r="L20">
        <v>0.42</v>
      </c>
      <c r="M20" t="s">
        <v>26</v>
      </c>
      <c r="O20" t="s">
        <v>16</v>
      </c>
      <c r="P20" t="s">
        <v>35</v>
      </c>
      <c r="R20" t="s">
        <v>17</v>
      </c>
      <c r="S20" t="s">
        <v>18</v>
      </c>
      <c r="T20" t="s">
        <v>19</v>
      </c>
      <c r="U20" t="s">
        <v>20</v>
      </c>
    </row>
    <row r="21" spans="2:21">
      <c r="B21" t="s">
        <v>22</v>
      </c>
      <c r="C21" t="s">
        <v>13</v>
      </c>
      <c r="D21" t="s">
        <v>14</v>
      </c>
      <c r="E21">
        <v>30</v>
      </c>
      <c r="F21">
        <v>30</v>
      </c>
      <c r="G21">
        <v>30</v>
      </c>
      <c r="H21">
        <v>30</v>
      </c>
      <c r="I21">
        <v>30</v>
      </c>
      <c r="J21">
        <v>30</v>
      </c>
      <c r="K21">
        <v>30</v>
      </c>
      <c r="L21">
        <v>30</v>
      </c>
      <c r="M21" t="s">
        <v>28</v>
      </c>
      <c r="O21" t="s">
        <v>16</v>
      </c>
      <c r="P21" t="s">
        <v>36</v>
      </c>
      <c r="R21" t="s">
        <v>17</v>
      </c>
      <c r="S21" t="s">
        <v>18</v>
      </c>
      <c r="T21" t="s">
        <v>19</v>
      </c>
      <c r="U21" t="s">
        <v>20</v>
      </c>
    </row>
    <row r="22" spans="2:21">
      <c r="B22" t="s">
        <v>22</v>
      </c>
      <c r="C22" t="s">
        <v>13</v>
      </c>
      <c r="D22" t="s">
        <v>14</v>
      </c>
      <c r="E22">
        <v>2</v>
      </c>
      <c r="F22">
        <v>2</v>
      </c>
      <c r="G22">
        <v>2</v>
      </c>
      <c r="H22">
        <v>2</v>
      </c>
      <c r="I22">
        <v>2</v>
      </c>
      <c r="J22">
        <v>2</v>
      </c>
      <c r="K22">
        <v>2</v>
      </c>
      <c r="L22">
        <v>2</v>
      </c>
      <c r="M22" t="s">
        <v>30</v>
      </c>
      <c r="O22" t="s">
        <v>24</v>
      </c>
      <c r="P22" t="s">
        <v>37</v>
      </c>
      <c r="R22" t="s">
        <v>17</v>
      </c>
      <c r="S22" t="s">
        <v>18</v>
      </c>
      <c r="T22" t="s">
        <v>19</v>
      </c>
      <c r="U22" t="s">
        <v>20</v>
      </c>
    </row>
    <row r="23" spans="2:21">
      <c r="B23" t="s">
        <v>25</v>
      </c>
      <c r="C23" t="s">
        <v>13</v>
      </c>
      <c r="D23" t="s">
        <v>38</v>
      </c>
      <c r="E23">
        <v>967.6</v>
      </c>
      <c r="H23">
        <v>912.6</v>
      </c>
      <c r="L23">
        <v>879.6</v>
      </c>
      <c r="M23" t="s">
        <v>15</v>
      </c>
      <c r="O23" t="s">
        <v>39</v>
      </c>
      <c r="P23" t="s">
        <v>40</v>
      </c>
      <c r="R23" t="s">
        <v>17</v>
      </c>
      <c r="S23" t="s">
        <v>18</v>
      </c>
      <c r="T23" t="s">
        <v>41</v>
      </c>
      <c r="U23" t="s">
        <v>20</v>
      </c>
    </row>
    <row r="24" spans="2:21">
      <c r="B24" t="s">
        <v>25</v>
      </c>
      <c r="C24" t="s">
        <v>13</v>
      </c>
      <c r="D24" t="s">
        <v>38</v>
      </c>
      <c r="E24">
        <v>32.200000000000003</v>
      </c>
      <c r="H24">
        <v>30.6</v>
      </c>
      <c r="L24">
        <v>28.6</v>
      </c>
      <c r="M24" t="s">
        <v>21</v>
      </c>
      <c r="O24" t="s">
        <v>39</v>
      </c>
      <c r="P24" t="s">
        <v>42</v>
      </c>
      <c r="R24" t="s">
        <v>17</v>
      </c>
      <c r="S24" t="s">
        <v>18</v>
      </c>
      <c r="T24" t="s">
        <v>41</v>
      </c>
      <c r="U24" t="s">
        <v>20</v>
      </c>
    </row>
    <row r="25" spans="2:21">
      <c r="B25" t="s">
        <v>25</v>
      </c>
      <c r="C25" t="s">
        <v>13</v>
      </c>
      <c r="D25" t="s">
        <v>38</v>
      </c>
      <c r="E25">
        <v>1.3</v>
      </c>
      <c r="H25">
        <v>1.3</v>
      </c>
      <c r="L25">
        <v>1.2</v>
      </c>
      <c r="M25" t="s">
        <v>23</v>
      </c>
      <c r="O25" t="s">
        <v>39</v>
      </c>
      <c r="P25" t="s">
        <v>43</v>
      </c>
      <c r="R25" t="s">
        <v>17</v>
      </c>
      <c r="S25" t="s">
        <v>18</v>
      </c>
      <c r="T25" t="s">
        <v>19</v>
      </c>
      <c r="U25" t="s">
        <v>20</v>
      </c>
    </row>
    <row r="26" spans="2:21">
      <c r="B26" t="s">
        <v>25</v>
      </c>
      <c r="C26" t="s">
        <v>13</v>
      </c>
      <c r="D26" t="s">
        <v>38</v>
      </c>
      <c r="E26">
        <v>0.56000000000000005</v>
      </c>
      <c r="H26">
        <v>0.57999999999999996</v>
      </c>
      <c r="L26">
        <v>0.6</v>
      </c>
      <c r="M26" t="s">
        <v>26</v>
      </c>
      <c r="O26" t="s">
        <v>39</v>
      </c>
      <c r="P26" t="s">
        <v>44</v>
      </c>
      <c r="R26" t="s">
        <v>17</v>
      </c>
      <c r="S26" t="s">
        <v>18</v>
      </c>
      <c r="T26" t="s">
        <v>19</v>
      </c>
      <c r="U26" t="s">
        <v>20</v>
      </c>
    </row>
    <row r="27" spans="2:21">
      <c r="B27" t="s">
        <v>25</v>
      </c>
      <c r="C27" t="s">
        <v>13</v>
      </c>
      <c r="D27" t="s">
        <v>38</v>
      </c>
      <c r="E27">
        <v>25</v>
      </c>
      <c r="F27">
        <v>25</v>
      </c>
      <c r="G27">
        <v>25</v>
      </c>
      <c r="H27">
        <v>25</v>
      </c>
      <c r="I27">
        <v>25</v>
      </c>
      <c r="J27">
        <v>25</v>
      </c>
      <c r="K27">
        <v>25</v>
      </c>
      <c r="L27">
        <v>25</v>
      </c>
      <c r="M27" t="s">
        <v>28</v>
      </c>
      <c r="O27" t="s">
        <v>24</v>
      </c>
      <c r="P27" t="s">
        <v>45</v>
      </c>
      <c r="R27" t="s">
        <v>17</v>
      </c>
      <c r="S27" t="s">
        <v>18</v>
      </c>
      <c r="T27" t="s">
        <v>19</v>
      </c>
      <c r="U27" t="s">
        <v>20</v>
      </c>
    </row>
    <row r="28" spans="2:21">
      <c r="B28" t="s">
        <v>25</v>
      </c>
      <c r="C28" t="s">
        <v>13</v>
      </c>
      <c r="D28" t="s">
        <v>38</v>
      </c>
      <c r="E28">
        <v>3</v>
      </c>
      <c r="F28">
        <v>3</v>
      </c>
      <c r="G28">
        <v>3</v>
      </c>
      <c r="H28">
        <v>3</v>
      </c>
      <c r="I28">
        <v>3</v>
      </c>
      <c r="J28">
        <v>3</v>
      </c>
      <c r="K28">
        <v>3</v>
      </c>
      <c r="L28">
        <v>3</v>
      </c>
      <c r="M28" t="s">
        <v>30</v>
      </c>
    </row>
    <row r="29" spans="2:21">
      <c r="B29" t="s">
        <v>25</v>
      </c>
      <c r="C29" t="s">
        <v>13</v>
      </c>
      <c r="D29" t="s">
        <v>38</v>
      </c>
      <c r="E29">
        <v>0.55559999999999998</v>
      </c>
      <c r="H29">
        <v>0.5</v>
      </c>
      <c r="L29">
        <v>0.45450000000000002</v>
      </c>
      <c r="M29" t="s">
        <v>46</v>
      </c>
    </row>
    <row r="30" spans="2:21">
      <c r="B30" t="s">
        <v>25</v>
      </c>
      <c r="C30" t="s">
        <v>13</v>
      </c>
      <c r="D30" t="s">
        <v>38</v>
      </c>
      <c r="E30">
        <v>0.15</v>
      </c>
      <c r="H30">
        <v>0.15</v>
      </c>
      <c r="L30">
        <v>0.15</v>
      </c>
      <c r="M30" t="s">
        <v>47</v>
      </c>
    </row>
    <row r="31" spans="2:21">
      <c r="B31" t="s">
        <v>27</v>
      </c>
      <c r="C31" t="s">
        <v>13</v>
      </c>
      <c r="D31" t="s">
        <v>48</v>
      </c>
      <c r="F31">
        <v>2917</v>
      </c>
      <c r="I31">
        <v>2681.7</v>
      </c>
      <c r="L31">
        <v>2446.5</v>
      </c>
      <c r="M31" t="s">
        <v>15</v>
      </c>
    </row>
    <row r="32" spans="2:21">
      <c r="B32" t="s">
        <v>27</v>
      </c>
      <c r="C32" t="s">
        <v>13</v>
      </c>
      <c r="D32" t="s">
        <v>48</v>
      </c>
      <c r="F32">
        <v>70.599999999999994</v>
      </c>
      <c r="I32">
        <v>65.900000000000006</v>
      </c>
      <c r="L32">
        <v>61.2</v>
      </c>
      <c r="M32" t="s">
        <v>21</v>
      </c>
    </row>
    <row r="33" spans="2:13">
      <c r="B33" t="s">
        <v>27</v>
      </c>
      <c r="C33" t="s">
        <v>13</v>
      </c>
      <c r="D33" t="s">
        <v>48</v>
      </c>
      <c r="F33">
        <v>1.294</v>
      </c>
      <c r="I33">
        <v>1.1060000000000001</v>
      </c>
      <c r="L33">
        <v>0.98899999999999999</v>
      </c>
      <c r="M33" t="s">
        <v>23</v>
      </c>
    </row>
    <row r="34" spans="2:13">
      <c r="B34" t="s">
        <v>27</v>
      </c>
      <c r="C34" t="s">
        <v>13</v>
      </c>
      <c r="D34" t="s">
        <v>48</v>
      </c>
      <c r="F34">
        <v>0.52</v>
      </c>
      <c r="I34">
        <v>0.54</v>
      </c>
      <c r="L34">
        <v>0.54</v>
      </c>
      <c r="M34" t="s">
        <v>26</v>
      </c>
    </row>
    <row r="35" spans="2:13">
      <c r="B35" t="s">
        <v>27</v>
      </c>
      <c r="C35" t="s">
        <v>13</v>
      </c>
      <c r="D35" t="s">
        <v>48</v>
      </c>
      <c r="E35">
        <v>30</v>
      </c>
      <c r="F35">
        <v>30</v>
      </c>
      <c r="G35">
        <v>30</v>
      </c>
      <c r="H35">
        <v>30</v>
      </c>
      <c r="I35">
        <v>30</v>
      </c>
      <c r="J35">
        <v>30</v>
      </c>
      <c r="K35">
        <v>30</v>
      </c>
      <c r="L35">
        <v>30</v>
      </c>
      <c r="M35" t="s">
        <v>28</v>
      </c>
    </row>
    <row r="36" spans="2:13">
      <c r="B36" t="s">
        <v>27</v>
      </c>
      <c r="C36" t="s">
        <v>13</v>
      </c>
      <c r="D36" t="s">
        <v>48</v>
      </c>
      <c r="E36">
        <v>4</v>
      </c>
      <c r="F36">
        <v>4</v>
      </c>
      <c r="G36">
        <v>4</v>
      </c>
      <c r="H36">
        <v>4</v>
      </c>
      <c r="I36">
        <v>4</v>
      </c>
      <c r="J36">
        <v>4</v>
      </c>
      <c r="K36">
        <v>4</v>
      </c>
      <c r="L36">
        <v>4</v>
      </c>
      <c r="M36" t="s">
        <v>30</v>
      </c>
    </row>
    <row r="37" spans="2:13">
      <c r="B37" t="s">
        <v>29</v>
      </c>
      <c r="C37" t="s">
        <v>49</v>
      </c>
      <c r="D37" t="s">
        <v>14</v>
      </c>
      <c r="F37">
        <v>1599.6</v>
      </c>
      <c r="I37">
        <v>1599.6</v>
      </c>
      <c r="L37">
        <v>1599.6</v>
      </c>
      <c r="M37" t="s">
        <v>15</v>
      </c>
    </row>
    <row r="38" spans="2:13">
      <c r="B38" t="s">
        <v>29</v>
      </c>
      <c r="C38" t="s">
        <v>49</v>
      </c>
      <c r="D38" t="s">
        <v>14</v>
      </c>
      <c r="F38">
        <v>42.3</v>
      </c>
      <c r="I38">
        <v>42.3</v>
      </c>
      <c r="L38">
        <v>42.3</v>
      </c>
      <c r="M38" t="s">
        <v>21</v>
      </c>
    </row>
    <row r="39" spans="2:13">
      <c r="B39" t="s">
        <v>29</v>
      </c>
      <c r="C39" t="s">
        <v>49</v>
      </c>
      <c r="D39" t="s">
        <v>14</v>
      </c>
      <c r="F39">
        <v>2.3610000000000002</v>
      </c>
      <c r="I39">
        <v>2.3610000000000002</v>
      </c>
      <c r="L39">
        <v>2.3610000000000002</v>
      </c>
      <c r="M39" t="s">
        <v>23</v>
      </c>
    </row>
    <row r="40" spans="2:13">
      <c r="B40" t="s">
        <v>29</v>
      </c>
      <c r="C40" t="s">
        <v>49</v>
      </c>
      <c r="D40" t="s">
        <v>14</v>
      </c>
      <c r="F40">
        <v>0.39</v>
      </c>
      <c r="I40">
        <v>0.39</v>
      </c>
      <c r="L40">
        <v>0.39</v>
      </c>
      <c r="M40" t="s">
        <v>26</v>
      </c>
    </row>
    <row r="41" spans="2:13">
      <c r="B41" t="s">
        <v>29</v>
      </c>
      <c r="C41" t="s">
        <v>49</v>
      </c>
      <c r="D41" t="s">
        <v>14</v>
      </c>
      <c r="E41">
        <v>40</v>
      </c>
      <c r="F41">
        <v>40</v>
      </c>
      <c r="G41">
        <v>40</v>
      </c>
      <c r="H41">
        <v>40</v>
      </c>
      <c r="I41">
        <v>40</v>
      </c>
      <c r="J41">
        <v>40</v>
      </c>
      <c r="K41">
        <v>40</v>
      </c>
      <c r="L41">
        <v>40</v>
      </c>
      <c r="M41" t="s">
        <v>28</v>
      </c>
    </row>
    <row r="42" spans="2:13">
      <c r="B42" t="s">
        <v>29</v>
      </c>
      <c r="C42" t="s">
        <v>49</v>
      </c>
      <c r="D42" t="s">
        <v>14</v>
      </c>
      <c r="E42">
        <v>4</v>
      </c>
      <c r="F42">
        <v>4</v>
      </c>
      <c r="G42">
        <v>4</v>
      </c>
      <c r="H42">
        <v>4</v>
      </c>
      <c r="I42">
        <v>4</v>
      </c>
      <c r="J42">
        <v>4</v>
      </c>
      <c r="K42">
        <v>4</v>
      </c>
      <c r="L42">
        <v>4</v>
      </c>
      <c r="M42" t="s">
        <v>30</v>
      </c>
    </row>
    <row r="43" spans="2:13">
      <c r="B43" t="s">
        <v>31</v>
      </c>
      <c r="C43" t="s">
        <v>49</v>
      </c>
      <c r="D43" t="s">
        <v>14</v>
      </c>
      <c r="F43">
        <v>1881.9</v>
      </c>
      <c r="I43">
        <v>1881.9</v>
      </c>
      <c r="L43">
        <v>1881.9</v>
      </c>
      <c r="M43" t="s">
        <v>15</v>
      </c>
    </row>
    <row r="44" spans="2:13">
      <c r="B44" t="s">
        <v>31</v>
      </c>
      <c r="C44" t="s">
        <v>49</v>
      </c>
      <c r="D44" t="s">
        <v>14</v>
      </c>
      <c r="F44">
        <v>56.5</v>
      </c>
      <c r="I44">
        <v>56.5</v>
      </c>
      <c r="L44">
        <v>56.5</v>
      </c>
      <c r="M44" t="s">
        <v>21</v>
      </c>
    </row>
    <row r="45" spans="2:13">
      <c r="B45" t="s">
        <v>31</v>
      </c>
      <c r="C45" t="s">
        <v>49</v>
      </c>
      <c r="D45" t="s">
        <v>14</v>
      </c>
      <c r="F45">
        <v>2.5499999999999998</v>
      </c>
      <c r="I45">
        <v>2.4420000000000002</v>
      </c>
      <c r="L45">
        <v>2.3170000000000002</v>
      </c>
      <c r="M45" t="s">
        <v>23</v>
      </c>
    </row>
    <row r="46" spans="2:13">
      <c r="B46" t="s">
        <v>31</v>
      </c>
      <c r="C46" t="s">
        <v>49</v>
      </c>
      <c r="D46" t="s">
        <v>14</v>
      </c>
      <c r="F46">
        <v>0.43</v>
      </c>
      <c r="I46">
        <v>0.43</v>
      </c>
      <c r="L46">
        <v>0.43</v>
      </c>
      <c r="M46" t="s">
        <v>26</v>
      </c>
    </row>
    <row r="47" spans="2:13">
      <c r="B47" t="s">
        <v>31</v>
      </c>
      <c r="C47" t="s">
        <v>49</v>
      </c>
      <c r="D47" t="s">
        <v>14</v>
      </c>
      <c r="E47">
        <v>40</v>
      </c>
      <c r="F47">
        <v>40</v>
      </c>
      <c r="G47">
        <v>40</v>
      </c>
      <c r="H47">
        <v>40</v>
      </c>
      <c r="I47">
        <v>40</v>
      </c>
      <c r="J47">
        <v>40</v>
      </c>
      <c r="K47">
        <v>40</v>
      </c>
      <c r="L47">
        <v>40</v>
      </c>
      <c r="M47" t="s">
        <v>28</v>
      </c>
    </row>
    <row r="48" spans="2:13">
      <c r="B48" t="s">
        <v>31</v>
      </c>
      <c r="C48" t="s">
        <v>49</v>
      </c>
      <c r="D48" t="s">
        <v>14</v>
      </c>
      <c r="E48">
        <v>4</v>
      </c>
      <c r="F48">
        <v>4</v>
      </c>
      <c r="G48">
        <v>4</v>
      </c>
      <c r="H48">
        <v>4</v>
      </c>
      <c r="I48">
        <v>4</v>
      </c>
      <c r="J48">
        <v>4</v>
      </c>
      <c r="K48">
        <v>4</v>
      </c>
      <c r="L48">
        <v>4</v>
      </c>
      <c r="M48" t="s">
        <v>30</v>
      </c>
    </row>
    <row r="49" spans="2:13">
      <c r="B49" t="s">
        <v>32</v>
      </c>
      <c r="C49" t="s">
        <v>49</v>
      </c>
      <c r="D49" t="s">
        <v>14</v>
      </c>
      <c r="F49">
        <v>2070.1</v>
      </c>
      <c r="I49">
        <v>2070.1</v>
      </c>
      <c r="L49">
        <v>2070.1</v>
      </c>
      <c r="M49" t="s">
        <v>15</v>
      </c>
    </row>
    <row r="50" spans="2:13">
      <c r="B50" t="s">
        <v>32</v>
      </c>
      <c r="C50" t="s">
        <v>49</v>
      </c>
      <c r="D50" t="s">
        <v>14</v>
      </c>
      <c r="F50">
        <v>61.2</v>
      </c>
      <c r="I50">
        <v>61.2</v>
      </c>
      <c r="L50">
        <v>61.2</v>
      </c>
      <c r="M50" t="s">
        <v>21</v>
      </c>
    </row>
    <row r="51" spans="2:13">
      <c r="B51" t="s">
        <v>32</v>
      </c>
      <c r="C51" t="s">
        <v>49</v>
      </c>
      <c r="D51" t="s">
        <v>14</v>
      </c>
      <c r="F51">
        <v>2.6389999999999998</v>
      </c>
      <c r="I51">
        <v>2.6389999999999998</v>
      </c>
      <c r="L51">
        <v>2.6389999999999998</v>
      </c>
      <c r="M51" t="s">
        <v>23</v>
      </c>
    </row>
    <row r="52" spans="2:13">
      <c r="B52" t="s">
        <v>32</v>
      </c>
      <c r="C52" t="s">
        <v>49</v>
      </c>
      <c r="D52" t="s">
        <v>14</v>
      </c>
      <c r="F52">
        <v>0.46</v>
      </c>
      <c r="I52">
        <v>0.47</v>
      </c>
      <c r="L52">
        <v>0.48</v>
      </c>
      <c r="M52" t="s">
        <v>26</v>
      </c>
    </row>
    <row r="53" spans="2:13">
      <c r="B53" t="s">
        <v>32</v>
      </c>
      <c r="C53" t="s">
        <v>49</v>
      </c>
      <c r="D53" t="s">
        <v>14</v>
      </c>
      <c r="E53">
        <v>40</v>
      </c>
      <c r="F53">
        <v>40</v>
      </c>
      <c r="G53">
        <v>40</v>
      </c>
      <c r="H53">
        <v>40</v>
      </c>
      <c r="I53">
        <v>40</v>
      </c>
      <c r="J53">
        <v>40</v>
      </c>
      <c r="K53">
        <v>40</v>
      </c>
      <c r="L53">
        <v>40</v>
      </c>
      <c r="M53" t="s">
        <v>28</v>
      </c>
    </row>
    <row r="54" spans="2:13">
      <c r="B54" t="s">
        <v>32</v>
      </c>
      <c r="C54" t="s">
        <v>49</v>
      </c>
      <c r="D54" t="s">
        <v>14</v>
      </c>
      <c r="E54">
        <v>4</v>
      </c>
      <c r="F54">
        <v>4</v>
      </c>
      <c r="G54">
        <v>4</v>
      </c>
      <c r="H54">
        <v>4</v>
      </c>
      <c r="I54">
        <v>4</v>
      </c>
      <c r="J54">
        <v>4</v>
      </c>
      <c r="K54">
        <v>4</v>
      </c>
      <c r="L54">
        <v>4</v>
      </c>
      <c r="M54" t="s">
        <v>30</v>
      </c>
    </row>
    <row r="55" spans="2:13">
      <c r="B55" t="s">
        <v>33</v>
      </c>
      <c r="C55" t="s">
        <v>49</v>
      </c>
      <c r="D55" t="s">
        <v>14</v>
      </c>
      <c r="F55">
        <v>2352.4</v>
      </c>
      <c r="I55">
        <v>2164.1999999999998</v>
      </c>
      <c r="L55">
        <v>2164.1999999999998</v>
      </c>
      <c r="M55" t="s">
        <v>15</v>
      </c>
    </row>
    <row r="56" spans="2:13">
      <c r="B56" t="s">
        <v>33</v>
      </c>
      <c r="C56" t="s">
        <v>49</v>
      </c>
      <c r="D56" t="s">
        <v>14</v>
      </c>
      <c r="F56">
        <v>84.7</v>
      </c>
      <c r="I56">
        <v>75.3</v>
      </c>
      <c r="L56">
        <v>75.3</v>
      </c>
      <c r="M56" t="s">
        <v>21</v>
      </c>
    </row>
    <row r="57" spans="2:13">
      <c r="B57" t="s">
        <v>33</v>
      </c>
      <c r="C57" t="s">
        <v>49</v>
      </c>
      <c r="D57" t="s">
        <v>14</v>
      </c>
      <c r="F57">
        <v>0.46</v>
      </c>
      <c r="I57">
        <v>0.49</v>
      </c>
      <c r="L57">
        <v>0.5</v>
      </c>
      <c r="M57" t="s">
        <v>26</v>
      </c>
    </row>
    <row r="58" spans="2:13">
      <c r="B58" t="s">
        <v>33</v>
      </c>
      <c r="C58" t="s">
        <v>49</v>
      </c>
      <c r="D58" t="s">
        <v>14</v>
      </c>
      <c r="E58">
        <v>40</v>
      </c>
      <c r="F58">
        <v>40</v>
      </c>
      <c r="G58">
        <v>40</v>
      </c>
      <c r="H58">
        <v>40</v>
      </c>
      <c r="I58">
        <v>40</v>
      </c>
      <c r="J58">
        <v>40</v>
      </c>
      <c r="K58">
        <v>40</v>
      </c>
      <c r="L58">
        <v>40</v>
      </c>
      <c r="M58" t="s">
        <v>28</v>
      </c>
    </row>
    <row r="59" spans="2:13">
      <c r="B59" t="s">
        <v>33</v>
      </c>
      <c r="C59" t="s">
        <v>49</v>
      </c>
      <c r="D59" t="s">
        <v>14</v>
      </c>
      <c r="E59">
        <v>4</v>
      </c>
      <c r="F59">
        <v>4</v>
      </c>
      <c r="G59">
        <v>4</v>
      </c>
      <c r="H59">
        <v>4</v>
      </c>
      <c r="I59">
        <v>4</v>
      </c>
      <c r="J59">
        <v>4</v>
      </c>
      <c r="K59">
        <v>4</v>
      </c>
      <c r="L59">
        <v>4</v>
      </c>
      <c r="M59" t="s">
        <v>30</v>
      </c>
    </row>
    <row r="60" spans="2:13">
      <c r="B60" t="s">
        <v>34</v>
      </c>
      <c r="C60" t="s">
        <v>50</v>
      </c>
      <c r="D60" t="s">
        <v>14</v>
      </c>
      <c r="F60">
        <v>6210.4</v>
      </c>
      <c r="I60">
        <v>4704.8</v>
      </c>
      <c r="L60">
        <v>4234.3</v>
      </c>
      <c r="M60" t="s">
        <v>15</v>
      </c>
    </row>
    <row r="61" spans="2:13">
      <c r="B61" t="s">
        <v>34</v>
      </c>
      <c r="C61" t="s">
        <v>50</v>
      </c>
      <c r="D61" t="s">
        <v>14</v>
      </c>
      <c r="F61">
        <v>155.30000000000001</v>
      </c>
      <c r="I61">
        <v>160</v>
      </c>
      <c r="L61">
        <v>150.6</v>
      </c>
      <c r="M61" t="s">
        <v>21</v>
      </c>
    </row>
    <row r="62" spans="2:13">
      <c r="B62" t="s">
        <v>34</v>
      </c>
      <c r="C62" t="s">
        <v>50</v>
      </c>
      <c r="D62" t="s">
        <v>14</v>
      </c>
      <c r="I62">
        <v>0.77800000000000002</v>
      </c>
      <c r="L62">
        <v>0.77800000000000002</v>
      </c>
      <c r="M62" t="s">
        <v>23</v>
      </c>
    </row>
    <row r="63" spans="2:13">
      <c r="B63" t="s">
        <v>34</v>
      </c>
      <c r="C63" t="s">
        <v>50</v>
      </c>
      <c r="D63" t="s">
        <v>14</v>
      </c>
      <c r="E63">
        <v>60</v>
      </c>
      <c r="F63">
        <v>60</v>
      </c>
      <c r="G63">
        <v>60</v>
      </c>
      <c r="H63">
        <v>60</v>
      </c>
      <c r="I63">
        <v>60</v>
      </c>
      <c r="J63">
        <v>60</v>
      </c>
      <c r="K63">
        <v>60</v>
      </c>
      <c r="L63">
        <v>60</v>
      </c>
      <c r="M63" t="s">
        <v>28</v>
      </c>
    </row>
    <row r="64" spans="2:13">
      <c r="B64" t="s">
        <v>34</v>
      </c>
      <c r="C64" t="s">
        <v>50</v>
      </c>
      <c r="D64" t="s">
        <v>14</v>
      </c>
      <c r="E64">
        <v>7</v>
      </c>
      <c r="F64">
        <v>7</v>
      </c>
      <c r="G64">
        <v>7</v>
      </c>
      <c r="H64">
        <v>7</v>
      </c>
      <c r="I64">
        <v>7</v>
      </c>
      <c r="J64">
        <v>7</v>
      </c>
      <c r="K64">
        <v>7</v>
      </c>
      <c r="L64">
        <v>7</v>
      </c>
      <c r="M64" t="s">
        <v>30</v>
      </c>
    </row>
    <row r="65" spans="2:13">
      <c r="B65" t="s">
        <v>35</v>
      </c>
      <c r="C65" t="s">
        <v>50</v>
      </c>
      <c r="D65" t="s">
        <v>14</v>
      </c>
      <c r="H65">
        <v>10266</v>
      </c>
      <c r="I65">
        <v>8364.9</v>
      </c>
      <c r="J65">
        <v>6373.8</v>
      </c>
      <c r="K65">
        <v>5480.2</v>
      </c>
      <c r="L65">
        <v>4884.6000000000004</v>
      </c>
      <c r="M65" t="s">
        <v>15</v>
      </c>
    </row>
    <row r="66" spans="2:13">
      <c r="B66" t="s">
        <v>35</v>
      </c>
      <c r="C66" t="s">
        <v>50</v>
      </c>
      <c r="D66" t="s">
        <v>14</v>
      </c>
      <c r="H66">
        <v>144.69999999999999</v>
      </c>
      <c r="I66">
        <v>144.69999999999999</v>
      </c>
      <c r="J66">
        <v>136</v>
      </c>
      <c r="K66">
        <v>136</v>
      </c>
      <c r="L66">
        <v>136</v>
      </c>
      <c r="M66" t="s">
        <v>21</v>
      </c>
    </row>
    <row r="67" spans="2:13">
      <c r="B67" t="s">
        <v>35</v>
      </c>
      <c r="C67" t="s">
        <v>50</v>
      </c>
      <c r="D67" t="s">
        <v>14</v>
      </c>
      <c r="H67">
        <v>0.72199999999999998</v>
      </c>
      <c r="I67">
        <v>0.72199999999999998</v>
      </c>
      <c r="J67">
        <v>0.72199999999999998</v>
      </c>
      <c r="K67">
        <v>0.72199999999999998</v>
      </c>
      <c r="L67">
        <v>0.72199999999999998</v>
      </c>
      <c r="M67" t="s">
        <v>23</v>
      </c>
    </row>
    <row r="68" spans="2:13">
      <c r="B68" t="s">
        <v>35</v>
      </c>
      <c r="C68" t="s">
        <v>50</v>
      </c>
      <c r="D68" t="s">
        <v>14</v>
      </c>
      <c r="E68">
        <v>40</v>
      </c>
      <c r="F68">
        <v>40</v>
      </c>
      <c r="G68">
        <v>40</v>
      </c>
      <c r="H68">
        <v>40</v>
      </c>
      <c r="I68">
        <v>40</v>
      </c>
      <c r="J68">
        <v>40</v>
      </c>
      <c r="K68">
        <v>40</v>
      </c>
      <c r="L68">
        <v>40</v>
      </c>
      <c r="M68" t="s">
        <v>28</v>
      </c>
    </row>
    <row r="69" spans="2:13">
      <c r="B69" t="s">
        <v>35</v>
      </c>
      <c r="C69" t="s">
        <v>50</v>
      </c>
      <c r="D69" t="s">
        <v>14</v>
      </c>
      <c r="E69">
        <v>3</v>
      </c>
      <c r="F69">
        <v>3</v>
      </c>
      <c r="G69">
        <v>3</v>
      </c>
      <c r="H69">
        <v>3</v>
      </c>
      <c r="I69">
        <v>3</v>
      </c>
      <c r="J69">
        <v>3</v>
      </c>
      <c r="K69">
        <v>3</v>
      </c>
      <c r="L69">
        <v>3</v>
      </c>
      <c r="M69" t="s">
        <v>30</v>
      </c>
    </row>
    <row r="70" spans="2:13">
      <c r="B70" t="s">
        <v>36</v>
      </c>
      <c r="C70" t="s">
        <v>51</v>
      </c>
      <c r="D70" t="s">
        <v>14</v>
      </c>
      <c r="F70">
        <v>2258.3000000000002</v>
      </c>
      <c r="I70">
        <v>2211.3000000000002</v>
      </c>
      <c r="L70">
        <v>2164.1999999999998</v>
      </c>
      <c r="M70" t="s">
        <v>15</v>
      </c>
    </row>
    <row r="71" spans="2:13">
      <c r="B71" t="s">
        <v>36</v>
      </c>
      <c r="C71" t="s">
        <v>51</v>
      </c>
      <c r="D71" t="s">
        <v>14</v>
      </c>
      <c r="F71">
        <v>80</v>
      </c>
      <c r="I71">
        <v>75.3</v>
      </c>
      <c r="L71">
        <v>75.3</v>
      </c>
      <c r="M71" t="s">
        <v>21</v>
      </c>
    </row>
    <row r="72" spans="2:13">
      <c r="B72" t="s">
        <v>36</v>
      </c>
      <c r="C72" t="s">
        <v>51</v>
      </c>
      <c r="D72" t="s">
        <v>14</v>
      </c>
      <c r="F72">
        <v>1.4570000000000001</v>
      </c>
      <c r="I72">
        <v>1.4570000000000001</v>
      </c>
      <c r="L72">
        <v>1.4570000000000001</v>
      </c>
      <c r="M72" t="s">
        <v>23</v>
      </c>
    </row>
    <row r="73" spans="2:13">
      <c r="B73" t="s">
        <v>36</v>
      </c>
      <c r="C73" t="s">
        <v>51</v>
      </c>
      <c r="D73" t="s">
        <v>14</v>
      </c>
      <c r="F73">
        <v>0.35</v>
      </c>
      <c r="I73">
        <v>0.35</v>
      </c>
      <c r="L73">
        <v>0.35</v>
      </c>
      <c r="M73" t="s">
        <v>26</v>
      </c>
    </row>
    <row r="74" spans="2:13">
      <c r="B74" t="s">
        <v>36</v>
      </c>
      <c r="C74" t="s">
        <v>51</v>
      </c>
      <c r="D74" t="s">
        <v>14</v>
      </c>
      <c r="F74">
        <v>0.6</v>
      </c>
      <c r="I74">
        <v>0.6</v>
      </c>
      <c r="L74">
        <v>0.6</v>
      </c>
      <c r="M74" t="s">
        <v>52</v>
      </c>
    </row>
    <row r="75" spans="2:13">
      <c r="B75" t="s">
        <v>36</v>
      </c>
      <c r="C75" t="s">
        <v>51</v>
      </c>
      <c r="D75" t="s">
        <v>14</v>
      </c>
      <c r="E75">
        <v>45</v>
      </c>
      <c r="F75">
        <v>45</v>
      </c>
      <c r="G75">
        <v>45</v>
      </c>
      <c r="H75">
        <v>45</v>
      </c>
      <c r="I75">
        <v>45</v>
      </c>
      <c r="J75">
        <v>45</v>
      </c>
      <c r="K75">
        <v>45</v>
      </c>
      <c r="L75">
        <v>45</v>
      </c>
      <c r="M75" t="s">
        <v>28</v>
      </c>
    </row>
    <row r="76" spans="2:13">
      <c r="B76" t="s">
        <v>36</v>
      </c>
      <c r="C76" t="s">
        <v>51</v>
      </c>
      <c r="D76" t="s">
        <v>14</v>
      </c>
      <c r="E76">
        <v>3</v>
      </c>
      <c r="F76">
        <v>3</v>
      </c>
      <c r="G76">
        <v>3</v>
      </c>
      <c r="H76">
        <v>3</v>
      </c>
      <c r="I76">
        <v>3</v>
      </c>
      <c r="J76">
        <v>3</v>
      </c>
      <c r="K76">
        <v>3</v>
      </c>
      <c r="L76">
        <v>3</v>
      </c>
      <c r="M76" t="s">
        <v>30</v>
      </c>
    </row>
    <row r="77" spans="2:13">
      <c r="B77" t="s">
        <v>37</v>
      </c>
      <c r="C77" t="s">
        <v>51</v>
      </c>
      <c r="D77" t="s">
        <v>38</v>
      </c>
      <c r="E77">
        <v>2748.9</v>
      </c>
      <c r="H77">
        <v>2638.9</v>
      </c>
      <c r="L77">
        <v>2528.9</v>
      </c>
      <c r="M77" t="s">
        <v>15</v>
      </c>
    </row>
    <row r="78" spans="2:13">
      <c r="B78" t="s">
        <v>37</v>
      </c>
      <c r="C78" t="s">
        <v>51</v>
      </c>
      <c r="D78" t="s">
        <v>38</v>
      </c>
      <c r="E78">
        <v>75.900000000000006</v>
      </c>
      <c r="H78">
        <v>70.400000000000006</v>
      </c>
      <c r="L78">
        <v>68.2</v>
      </c>
      <c r="M78" t="s">
        <v>21</v>
      </c>
    </row>
    <row r="79" spans="2:13">
      <c r="B79" t="s">
        <v>37</v>
      </c>
      <c r="C79" t="s">
        <v>51</v>
      </c>
      <c r="D79" t="s">
        <v>38</v>
      </c>
      <c r="E79">
        <v>0.8</v>
      </c>
      <c r="H79">
        <v>0.8</v>
      </c>
      <c r="L79">
        <v>0.8</v>
      </c>
      <c r="M79" t="s">
        <v>23</v>
      </c>
    </row>
    <row r="80" spans="2:13">
      <c r="B80" t="s">
        <v>37</v>
      </c>
      <c r="C80" t="s">
        <v>51</v>
      </c>
      <c r="D80" t="s">
        <v>38</v>
      </c>
      <c r="E80">
        <v>0.40899999999999997</v>
      </c>
      <c r="H80">
        <v>0.41</v>
      </c>
      <c r="L80">
        <v>0.39400000000000002</v>
      </c>
      <c r="M80" t="s">
        <v>26</v>
      </c>
    </row>
    <row r="81" spans="2:13">
      <c r="B81" t="s">
        <v>37</v>
      </c>
      <c r="C81" t="s">
        <v>51</v>
      </c>
      <c r="D81" t="s">
        <v>38</v>
      </c>
      <c r="E81">
        <v>25</v>
      </c>
      <c r="F81">
        <v>25</v>
      </c>
      <c r="G81">
        <v>25</v>
      </c>
      <c r="H81">
        <v>25</v>
      </c>
      <c r="I81">
        <v>25</v>
      </c>
      <c r="J81">
        <v>25</v>
      </c>
      <c r="K81">
        <v>25</v>
      </c>
      <c r="L81">
        <v>25</v>
      </c>
      <c r="M81" t="s">
        <v>28</v>
      </c>
    </row>
    <row r="82" spans="2:13">
      <c r="B82" t="s">
        <v>37</v>
      </c>
      <c r="C82" t="s">
        <v>51</v>
      </c>
      <c r="D82" t="s">
        <v>38</v>
      </c>
      <c r="E82">
        <v>2</v>
      </c>
      <c r="F82">
        <v>2</v>
      </c>
      <c r="G82">
        <v>2</v>
      </c>
      <c r="H82">
        <v>2</v>
      </c>
      <c r="I82">
        <v>2</v>
      </c>
      <c r="J82">
        <v>2</v>
      </c>
      <c r="K82">
        <v>2</v>
      </c>
      <c r="L82">
        <v>2</v>
      </c>
      <c r="M82" t="s">
        <v>30</v>
      </c>
    </row>
    <row r="83" spans="2:13">
      <c r="B83" t="s">
        <v>37</v>
      </c>
      <c r="C83" t="s">
        <v>51</v>
      </c>
      <c r="D83" t="s">
        <v>38</v>
      </c>
      <c r="E83">
        <v>1.8237000000000001</v>
      </c>
      <c r="H83">
        <v>1.8137000000000001</v>
      </c>
      <c r="L83">
        <v>1.9169</v>
      </c>
      <c r="M83" t="s">
        <v>46</v>
      </c>
    </row>
    <row r="84" spans="2:13">
      <c r="B84" t="s">
        <v>37</v>
      </c>
      <c r="C84" t="s">
        <v>51</v>
      </c>
      <c r="D84" t="s">
        <v>38</v>
      </c>
      <c r="E84">
        <v>0.14000000000000001</v>
      </c>
      <c r="H84">
        <v>0.14000000000000001</v>
      </c>
      <c r="L84">
        <v>0.13</v>
      </c>
      <c r="M84" t="s">
        <v>47</v>
      </c>
    </row>
    <row r="85" spans="2:13">
      <c r="B85" t="s">
        <v>40</v>
      </c>
      <c r="C85" t="s">
        <v>13</v>
      </c>
      <c r="D85" t="s">
        <v>38</v>
      </c>
      <c r="E85">
        <v>66</v>
      </c>
      <c r="H85">
        <v>55</v>
      </c>
      <c r="L85">
        <v>55</v>
      </c>
      <c r="M85" t="s">
        <v>15</v>
      </c>
    </row>
    <row r="86" spans="2:13">
      <c r="B86" t="s">
        <v>40</v>
      </c>
      <c r="C86" t="s">
        <v>13</v>
      </c>
      <c r="D86" t="s">
        <v>38</v>
      </c>
      <c r="E86">
        <v>2.1</v>
      </c>
      <c r="H86">
        <v>2.1</v>
      </c>
      <c r="L86">
        <v>1.9</v>
      </c>
      <c r="M86" t="s">
        <v>21</v>
      </c>
    </row>
    <row r="87" spans="2:13">
      <c r="B87" t="s">
        <v>40</v>
      </c>
      <c r="C87" t="s">
        <v>13</v>
      </c>
      <c r="D87" t="s">
        <v>38</v>
      </c>
      <c r="E87">
        <v>0.3</v>
      </c>
      <c r="H87">
        <v>0.3</v>
      </c>
      <c r="L87">
        <v>0.3</v>
      </c>
      <c r="M87" t="s">
        <v>23</v>
      </c>
    </row>
    <row r="88" spans="2:13">
      <c r="B88" t="s">
        <v>40</v>
      </c>
      <c r="C88" t="s">
        <v>13</v>
      </c>
      <c r="D88" t="s">
        <v>38</v>
      </c>
      <c r="E88">
        <v>1.03</v>
      </c>
      <c r="H88">
        <v>1.04</v>
      </c>
      <c r="L88">
        <v>1.04</v>
      </c>
      <c r="M88" t="s">
        <v>26</v>
      </c>
    </row>
    <row r="89" spans="2:13">
      <c r="B89" t="s">
        <v>40</v>
      </c>
      <c r="C89" t="s">
        <v>13</v>
      </c>
      <c r="D89" t="s">
        <v>38</v>
      </c>
      <c r="E89">
        <v>25</v>
      </c>
      <c r="F89">
        <v>25</v>
      </c>
      <c r="G89">
        <v>25</v>
      </c>
      <c r="H89">
        <v>25</v>
      </c>
      <c r="I89">
        <v>25</v>
      </c>
      <c r="J89">
        <v>25</v>
      </c>
      <c r="K89">
        <v>25</v>
      </c>
      <c r="L89">
        <v>25</v>
      </c>
      <c r="M89" t="s">
        <v>28</v>
      </c>
    </row>
    <row r="90" spans="2:13">
      <c r="B90" t="s">
        <v>40</v>
      </c>
      <c r="C90" t="s">
        <v>13</v>
      </c>
      <c r="D90" t="s">
        <v>38</v>
      </c>
      <c r="E90">
        <v>1</v>
      </c>
      <c r="F90">
        <v>1</v>
      </c>
      <c r="G90">
        <v>1</v>
      </c>
      <c r="H90">
        <v>1</v>
      </c>
      <c r="I90">
        <v>1</v>
      </c>
      <c r="J90">
        <v>1</v>
      </c>
      <c r="K90">
        <v>1</v>
      </c>
      <c r="L90">
        <v>1</v>
      </c>
      <c r="M90" t="s">
        <v>30</v>
      </c>
    </row>
    <row r="91" spans="2:13">
      <c r="B91" t="s">
        <v>42</v>
      </c>
      <c r="C91" t="s">
        <v>51</v>
      </c>
      <c r="D91" t="s">
        <v>38</v>
      </c>
      <c r="E91">
        <v>483.8</v>
      </c>
      <c r="H91">
        <v>461.8</v>
      </c>
      <c r="L91">
        <v>439.8</v>
      </c>
      <c r="M91" t="s">
        <v>15</v>
      </c>
    </row>
    <row r="92" spans="2:13">
      <c r="B92" t="s">
        <v>42</v>
      </c>
      <c r="C92" t="s">
        <v>51</v>
      </c>
      <c r="D92" t="s">
        <v>38</v>
      </c>
      <c r="E92">
        <v>38</v>
      </c>
      <c r="H92">
        <v>36.6</v>
      </c>
      <c r="L92">
        <v>34.5</v>
      </c>
      <c r="M92" t="s">
        <v>21</v>
      </c>
    </row>
    <row r="93" spans="2:13">
      <c r="B93" t="s">
        <v>42</v>
      </c>
      <c r="C93" t="s">
        <v>51</v>
      </c>
      <c r="D93" t="s">
        <v>38</v>
      </c>
      <c r="E93">
        <v>0.4</v>
      </c>
      <c r="H93">
        <v>0.4</v>
      </c>
      <c r="L93">
        <v>0.4</v>
      </c>
      <c r="M93" t="s">
        <v>23</v>
      </c>
    </row>
    <row r="94" spans="2:13">
      <c r="B94" t="s">
        <v>42</v>
      </c>
      <c r="C94" t="s">
        <v>51</v>
      </c>
      <c r="D94" t="s">
        <v>38</v>
      </c>
      <c r="E94">
        <v>1.149</v>
      </c>
      <c r="H94">
        <v>1.149</v>
      </c>
      <c r="L94">
        <v>1.149</v>
      </c>
      <c r="M94" t="s">
        <v>26</v>
      </c>
    </row>
    <row r="95" spans="2:13">
      <c r="B95" t="s">
        <v>42</v>
      </c>
      <c r="C95" t="s">
        <v>51</v>
      </c>
      <c r="D95" t="s">
        <v>38</v>
      </c>
      <c r="E95">
        <v>25</v>
      </c>
      <c r="F95">
        <v>25</v>
      </c>
      <c r="G95">
        <v>25</v>
      </c>
      <c r="H95">
        <v>25</v>
      </c>
      <c r="I95">
        <v>25</v>
      </c>
      <c r="J95">
        <v>25</v>
      </c>
      <c r="K95">
        <v>25</v>
      </c>
      <c r="L95">
        <v>25</v>
      </c>
      <c r="M95" t="s">
        <v>28</v>
      </c>
    </row>
    <row r="96" spans="2:13">
      <c r="B96" t="s">
        <v>42</v>
      </c>
      <c r="C96" t="s">
        <v>51</v>
      </c>
      <c r="D96" t="s">
        <v>38</v>
      </c>
      <c r="E96">
        <v>3</v>
      </c>
      <c r="F96">
        <v>3</v>
      </c>
      <c r="G96">
        <v>3</v>
      </c>
      <c r="H96">
        <v>3</v>
      </c>
      <c r="I96">
        <v>3</v>
      </c>
      <c r="J96">
        <v>3</v>
      </c>
      <c r="K96">
        <v>3</v>
      </c>
      <c r="L96">
        <v>3</v>
      </c>
      <c r="M96" t="s">
        <v>30</v>
      </c>
    </row>
    <row r="97" spans="2:13">
      <c r="B97" t="s">
        <v>43</v>
      </c>
      <c r="C97" t="s">
        <v>14</v>
      </c>
      <c r="D97" t="s">
        <v>38</v>
      </c>
      <c r="G97">
        <v>72.400000000000006</v>
      </c>
      <c r="H97">
        <v>72.400000000000006</v>
      </c>
      <c r="I97">
        <v>72.400000000000006</v>
      </c>
      <c r="J97">
        <v>72.400000000000006</v>
      </c>
      <c r="L97">
        <v>72.400000000000006</v>
      </c>
      <c r="M97" t="s">
        <v>15</v>
      </c>
    </row>
    <row r="98" spans="2:13">
      <c r="B98" t="s">
        <v>43</v>
      </c>
      <c r="C98" t="s">
        <v>14</v>
      </c>
      <c r="D98" t="s">
        <v>38</v>
      </c>
      <c r="G98">
        <v>1.2</v>
      </c>
      <c r="H98">
        <v>1.2</v>
      </c>
      <c r="I98">
        <v>1.2</v>
      </c>
      <c r="J98">
        <v>1.2</v>
      </c>
      <c r="L98">
        <v>1.2</v>
      </c>
      <c r="M98" t="s">
        <v>21</v>
      </c>
    </row>
    <row r="99" spans="2:13">
      <c r="B99" t="s">
        <v>43</v>
      </c>
      <c r="C99" t="s">
        <v>14</v>
      </c>
      <c r="D99" t="s">
        <v>38</v>
      </c>
      <c r="G99">
        <v>0.2</v>
      </c>
      <c r="H99">
        <v>0.2</v>
      </c>
      <c r="I99">
        <v>0.2</v>
      </c>
      <c r="J99">
        <v>0.2</v>
      </c>
      <c r="L99">
        <v>0.2</v>
      </c>
      <c r="M99" t="s">
        <v>23</v>
      </c>
    </row>
    <row r="100" spans="2:13">
      <c r="B100" t="s">
        <v>43</v>
      </c>
      <c r="C100" t="s">
        <v>14</v>
      </c>
      <c r="D100" t="s">
        <v>38</v>
      </c>
      <c r="G100">
        <v>0.99</v>
      </c>
      <c r="H100">
        <v>0.99</v>
      </c>
      <c r="I100">
        <v>0.99</v>
      </c>
      <c r="J100">
        <v>0.99</v>
      </c>
      <c r="L100">
        <v>0.99</v>
      </c>
      <c r="M100" t="s">
        <v>26</v>
      </c>
    </row>
    <row r="101" spans="2:13">
      <c r="B101" t="s">
        <v>43</v>
      </c>
      <c r="C101" t="s">
        <v>14</v>
      </c>
      <c r="D101" t="s">
        <v>38</v>
      </c>
      <c r="E101">
        <v>20</v>
      </c>
      <c r="F101">
        <v>20</v>
      </c>
      <c r="G101">
        <v>20</v>
      </c>
      <c r="H101">
        <v>20</v>
      </c>
      <c r="I101">
        <v>20</v>
      </c>
      <c r="J101">
        <v>20</v>
      </c>
      <c r="K101">
        <v>20</v>
      </c>
      <c r="L101">
        <v>20</v>
      </c>
      <c r="M101" t="s">
        <v>28</v>
      </c>
    </row>
    <row r="102" spans="2:13">
      <c r="B102" t="s">
        <v>43</v>
      </c>
      <c r="C102" t="s">
        <v>14</v>
      </c>
      <c r="D102" t="s">
        <v>38</v>
      </c>
      <c r="E102">
        <v>1</v>
      </c>
      <c r="F102">
        <v>1</v>
      </c>
      <c r="G102">
        <v>1</v>
      </c>
      <c r="H102">
        <v>1</v>
      </c>
      <c r="I102">
        <v>1</v>
      </c>
      <c r="J102">
        <v>1</v>
      </c>
      <c r="K102">
        <v>1</v>
      </c>
      <c r="L102">
        <v>1</v>
      </c>
      <c r="M102" t="s">
        <v>30</v>
      </c>
    </row>
    <row r="103" spans="2:13">
      <c r="B103" t="s">
        <v>44</v>
      </c>
      <c r="C103" t="s">
        <v>14</v>
      </c>
      <c r="D103" t="s">
        <v>38</v>
      </c>
      <c r="G103">
        <v>1054.7</v>
      </c>
      <c r="H103">
        <v>1028.3</v>
      </c>
      <c r="I103">
        <v>1002</v>
      </c>
      <c r="J103">
        <v>976.9</v>
      </c>
      <c r="L103">
        <v>951.9</v>
      </c>
      <c r="M103" t="s">
        <v>15</v>
      </c>
    </row>
    <row r="104" spans="2:13">
      <c r="B104" t="s">
        <v>44</v>
      </c>
      <c r="C104" t="s">
        <v>14</v>
      </c>
      <c r="D104" t="s">
        <v>38</v>
      </c>
      <c r="G104">
        <v>2.2000000000000002</v>
      </c>
      <c r="H104">
        <v>2.1</v>
      </c>
      <c r="I104">
        <v>2.1</v>
      </c>
      <c r="J104">
        <v>2</v>
      </c>
      <c r="L104">
        <v>2</v>
      </c>
      <c r="M104" t="s">
        <v>21</v>
      </c>
    </row>
    <row r="105" spans="2:13">
      <c r="B105" t="s">
        <v>44</v>
      </c>
      <c r="C105" t="s">
        <v>14</v>
      </c>
      <c r="D105" t="s">
        <v>38</v>
      </c>
      <c r="G105">
        <v>0.2</v>
      </c>
      <c r="H105">
        <v>0.2</v>
      </c>
      <c r="I105">
        <v>0.2</v>
      </c>
      <c r="J105">
        <v>0.2</v>
      </c>
      <c r="L105">
        <v>0.2</v>
      </c>
      <c r="M105" t="s">
        <v>23</v>
      </c>
    </row>
    <row r="106" spans="2:13">
      <c r="B106" t="s">
        <v>44</v>
      </c>
      <c r="C106" t="s">
        <v>14</v>
      </c>
      <c r="D106" t="s">
        <v>38</v>
      </c>
      <c r="G106">
        <v>2.8</v>
      </c>
      <c r="H106">
        <v>2.8</v>
      </c>
      <c r="I106">
        <v>2.8</v>
      </c>
      <c r="J106">
        <v>2.8</v>
      </c>
      <c r="L106">
        <v>2.9169999999999998</v>
      </c>
      <c r="M106" t="s">
        <v>26</v>
      </c>
    </row>
    <row r="107" spans="2:13">
      <c r="B107" t="s">
        <v>44</v>
      </c>
      <c r="C107" t="s">
        <v>14</v>
      </c>
      <c r="D107" t="s">
        <v>38</v>
      </c>
      <c r="E107">
        <v>25</v>
      </c>
      <c r="F107">
        <v>25</v>
      </c>
      <c r="G107">
        <v>25</v>
      </c>
      <c r="H107">
        <v>25</v>
      </c>
      <c r="I107">
        <v>25</v>
      </c>
      <c r="J107">
        <v>25</v>
      </c>
      <c r="K107">
        <v>25</v>
      </c>
      <c r="L107">
        <v>25</v>
      </c>
      <c r="M107" t="s">
        <v>28</v>
      </c>
    </row>
    <row r="108" spans="2:13">
      <c r="B108" t="s">
        <v>44</v>
      </c>
      <c r="C108" t="s">
        <v>14</v>
      </c>
      <c r="D108" t="s">
        <v>38</v>
      </c>
      <c r="E108">
        <v>1</v>
      </c>
      <c r="F108">
        <v>1</v>
      </c>
      <c r="G108">
        <v>1</v>
      </c>
      <c r="H108">
        <v>1</v>
      </c>
      <c r="I108">
        <v>1</v>
      </c>
      <c r="J108">
        <v>1</v>
      </c>
      <c r="K108">
        <v>1</v>
      </c>
      <c r="L108">
        <v>1</v>
      </c>
      <c r="M108" t="s">
        <v>30</v>
      </c>
    </row>
    <row r="109" spans="2:13">
      <c r="B109" t="s">
        <v>45</v>
      </c>
      <c r="C109" t="s">
        <v>13</v>
      </c>
      <c r="D109" t="s">
        <v>53</v>
      </c>
      <c r="E109">
        <v>0.52</v>
      </c>
      <c r="F109">
        <v>0.52</v>
      </c>
      <c r="G109">
        <v>0.52</v>
      </c>
      <c r="H109">
        <v>0.52</v>
      </c>
      <c r="I109">
        <v>0.52</v>
      </c>
      <c r="J109">
        <v>0.52</v>
      </c>
      <c r="K109">
        <v>0.52</v>
      </c>
      <c r="L109">
        <v>0.52</v>
      </c>
      <c r="M109" t="s">
        <v>26</v>
      </c>
    </row>
    <row r="110" spans="2:13">
      <c r="B110" t="s">
        <v>45</v>
      </c>
      <c r="C110" t="s">
        <v>13</v>
      </c>
      <c r="D110" t="s">
        <v>53</v>
      </c>
      <c r="E110">
        <v>2917</v>
      </c>
      <c r="F110">
        <v>2917</v>
      </c>
      <c r="G110">
        <v>2917</v>
      </c>
      <c r="H110">
        <v>2917</v>
      </c>
      <c r="I110">
        <v>2917</v>
      </c>
      <c r="J110">
        <v>2917</v>
      </c>
      <c r="K110">
        <v>2917</v>
      </c>
      <c r="L110">
        <v>2917</v>
      </c>
      <c r="M110" t="s">
        <v>15</v>
      </c>
    </row>
    <row r="111" spans="2:13">
      <c r="B111" t="s">
        <v>45</v>
      </c>
      <c r="C111" t="s">
        <v>13</v>
      </c>
      <c r="D111" t="s">
        <v>53</v>
      </c>
      <c r="E111">
        <v>70.599999999999994</v>
      </c>
      <c r="F111">
        <v>70.599999999999994</v>
      </c>
      <c r="G111">
        <v>70.599999999999994</v>
      </c>
      <c r="H111">
        <v>70.599999999999994</v>
      </c>
      <c r="I111">
        <v>70.599999999999994</v>
      </c>
      <c r="J111">
        <v>70.599999999999994</v>
      </c>
      <c r="K111">
        <v>70.599999999999994</v>
      </c>
      <c r="L111">
        <v>70.599999999999994</v>
      </c>
      <c r="M111" t="s">
        <v>21</v>
      </c>
    </row>
    <row r="112" spans="2:13">
      <c r="B112" t="s">
        <v>45</v>
      </c>
      <c r="C112" t="s">
        <v>13</v>
      </c>
      <c r="D112" t="s">
        <v>53</v>
      </c>
      <c r="E112">
        <v>1.3</v>
      </c>
      <c r="F112">
        <v>1.3</v>
      </c>
      <c r="G112">
        <v>1.3</v>
      </c>
      <c r="H112">
        <v>1.3</v>
      </c>
      <c r="I112">
        <v>1.3</v>
      </c>
      <c r="J112">
        <v>1.3</v>
      </c>
      <c r="K112">
        <v>1.3</v>
      </c>
      <c r="L112">
        <v>1.3</v>
      </c>
      <c r="M112" t="s">
        <v>23</v>
      </c>
    </row>
    <row r="113" spans="2:13">
      <c r="B113" t="s">
        <v>45</v>
      </c>
      <c r="C113" t="s">
        <v>13</v>
      </c>
      <c r="D113" t="s">
        <v>53</v>
      </c>
      <c r="E113">
        <v>0.55559999999999998</v>
      </c>
      <c r="F113">
        <v>0.55559999999999998</v>
      </c>
      <c r="G113">
        <v>0.55559999999999998</v>
      </c>
      <c r="H113">
        <v>0.55559999999999998</v>
      </c>
      <c r="I113">
        <v>0.55559999999999998</v>
      </c>
      <c r="J113">
        <v>0.55559999999999998</v>
      </c>
      <c r="K113">
        <v>0.55559999999999998</v>
      </c>
      <c r="L113">
        <v>0.55559999999999998</v>
      </c>
      <c r="M113" t="s">
        <v>46</v>
      </c>
    </row>
    <row r="114" spans="2:13">
      <c r="B114" t="s">
        <v>45</v>
      </c>
      <c r="C114" t="s">
        <v>13</v>
      </c>
      <c r="D114" t="s">
        <v>53</v>
      </c>
      <c r="E114">
        <v>0.15</v>
      </c>
      <c r="F114">
        <v>0.15</v>
      </c>
      <c r="G114">
        <v>0.15</v>
      </c>
      <c r="H114">
        <v>0.15</v>
      </c>
      <c r="I114">
        <v>0.15</v>
      </c>
      <c r="J114">
        <v>0.15</v>
      </c>
      <c r="K114">
        <v>0.15</v>
      </c>
      <c r="L114">
        <v>0.15</v>
      </c>
      <c r="M114" t="s">
        <v>47</v>
      </c>
    </row>
    <row r="115" spans="2:13">
      <c r="B115" t="s">
        <v>45</v>
      </c>
      <c r="C115" t="s">
        <v>13</v>
      </c>
      <c r="D115" t="s">
        <v>53</v>
      </c>
      <c r="E115">
        <v>25</v>
      </c>
      <c r="F115">
        <v>25</v>
      </c>
      <c r="G115">
        <v>25</v>
      </c>
      <c r="H115">
        <v>25</v>
      </c>
      <c r="I115">
        <v>25</v>
      </c>
      <c r="J115">
        <v>25</v>
      </c>
      <c r="K115">
        <v>25</v>
      </c>
      <c r="L115">
        <v>25</v>
      </c>
      <c r="M115" t="s">
        <v>28</v>
      </c>
    </row>
    <row r="116" spans="2:13">
      <c r="B116" t="s">
        <v>45</v>
      </c>
      <c r="C116" t="s">
        <v>13</v>
      </c>
      <c r="D116" t="s">
        <v>53</v>
      </c>
      <c r="E116">
        <v>4</v>
      </c>
      <c r="F116">
        <v>4</v>
      </c>
      <c r="G116">
        <v>4</v>
      </c>
      <c r="H116">
        <v>4</v>
      </c>
      <c r="I116">
        <v>4</v>
      </c>
      <c r="J116">
        <v>4</v>
      </c>
      <c r="K116">
        <v>4</v>
      </c>
      <c r="L116">
        <v>4</v>
      </c>
      <c r="M116" t="s">
        <v>30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778B78-A279-4DD9-BBE5-AABCE6D8589B}">
  <dimension ref="A1:Z29"/>
  <sheetViews>
    <sheetView zoomScale="85" zoomScaleNormal="85" workbookViewId="0">
      <selection activeCell="A28" sqref="A28"/>
    </sheetView>
  </sheetViews>
  <sheetFormatPr defaultRowHeight="14.25"/>
  <cols>
    <col min="1" max="1" width="11.1328125" bestFit="1" customWidth="1"/>
    <col min="2" max="2" width="11.1328125" customWidth="1"/>
    <col min="3" max="5" width="14" bestFit="1" customWidth="1"/>
    <col min="6" max="8" width="11.86328125" bestFit="1" customWidth="1"/>
    <col min="9" max="9" width="20.265625" bestFit="1" customWidth="1"/>
    <col min="10" max="10" width="15.59765625" bestFit="1" customWidth="1"/>
    <col min="11" max="11" width="20.265625" bestFit="1" customWidth="1"/>
    <col min="12" max="12" width="15.59765625" bestFit="1" customWidth="1"/>
    <col min="13" max="13" width="20.265625" bestFit="1" customWidth="1"/>
    <col min="14" max="14" width="15.59765625" bestFit="1" customWidth="1"/>
    <col min="15" max="15" width="18.86328125" customWidth="1"/>
    <col min="16" max="16" width="4.3984375" bestFit="1" customWidth="1"/>
    <col min="17" max="17" width="8.1328125" bestFit="1" customWidth="1"/>
    <col min="18" max="18" width="5.9296875" bestFit="1" customWidth="1"/>
    <col min="21" max="21" width="18.1328125" bestFit="1" customWidth="1"/>
    <col min="22" max="22" width="24" customWidth="1"/>
    <col min="23" max="23" width="4.53125" bestFit="1" customWidth="1"/>
    <col min="24" max="24" width="4.19921875" bestFit="1" customWidth="1"/>
    <col min="25" max="25" width="7.6640625" bestFit="1" customWidth="1"/>
    <col min="26" max="26" width="7.1328125" bestFit="1" customWidth="1"/>
  </cols>
  <sheetData>
    <row r="1" spans="1:18" ht="33.75" customHeight="1">
      <c r="A1" t="s">
        <v>54</v>
      </c>
      <c r="C1" s="1" t="s">
        <v>55</v>
      </c>
      <c r="D1" s="1"/>
      <c r="E1" s="1"/>
      <c r="F1" s="2" t="s">
        <v>56</v>
      </c>
      <c r="G1" s="1"/>
      <c r="H1" s="3"/>
      <c r="I1" s="1" t="s">
        <v>57</v>
      </c>
      <c r="J1" s="1"/>
      <c r="K1" s="1"/>
      <c r="L1" s="1"/>
      <c r="M1" s="1"/>
      <c r="N1" s="1"/>
      <c r="O1" s="4" t="s">
        <v>58</v>
      </c>
      <c r="P1" s="5"/>
      <c r="Q1" s="5"/>
      <c r="R1" s="5"/>
    </row>
    <row r="2" spans="1:18">
      <c r="C2" s="6" t="s">
        <v>59</v>
      </c>
      <c r="D2" s="6" t="s">
        <v>59</v>
      </c>
      <c r="E2" s="6" t="s">
        <v>59</v>
      </c>
      <c r="F2" s="6" t="s">
        <v>60</v>
      </c>
      <c r="G2" s="6" t="s">
        <v>60</v>
      </c>
      <c r="H2" s="6" t="s">
        <v>60</v>
      </c>
      <c r="I2" s="6" t="s">
        <v>61</v>
      </c>
      <c r="J2" s="6" t="s">
        <v>26</v>
      </c>
      <c r="K2" s="6" t="str">
        <f>I2</f>
        <v>input~GASNGA</v>
      </c>
      <c r="L2" s="6" t="s">
        <v>26</v>
      </c>
      <c r="M2" s="6" t="str">
        <f>K2</f>
        <v>input~GASNGA</v>
      </c>
      <c r="N2" s="6" t="s">
        <v>26</v>
      </c>
      <c r="O2" s="7"/>
      <c r="P2" s="5"/>
      <c r="Q2" s="5"/>
      <c r="R2" s="5"/>
    </row>
    <row r="3" spans="1:18">
      <c r="C3" s="6">
        <v>2020</v>
      </c>
      <c r="D3" s="6">
        <v>2030</v>
      </c>
      <c r="E3" s="6">
        <v>2050</v>
      </c>
      <c r="F3" s="6">
        <f>C3</f>
        <v>2020</v>
      </c>
      <c r="G3" s="6">
        <f t="shared" ref="G3:H3" si="0">D3</f>
        <v>2030</v>
      </c>
      <c r="H3" s="6">
        <f t="shared" si="0"/>
        <v>2050</v>
      </c>
      <c r="I3" s="6">
        <v>2015</v>
      </c>
      <c r="J3" s="6">
        <v>2015</v>
      </c>
      <c r="K3" s="6">
        <v>2030</v>
      </c>
      <c r="L3" s="6">
        <v>2030</v>
      </c>
      <c r="M3" s="6">
        <v>2050</v>
      </c>
      <c r="N3" s="6">
        <v>2050</v>
      </c>
      <c r="O3" s="7"/>
      <c r="P3" s="5"/>
      <c r="Q3" s="5"/>
      <c r="R3" s="5"/>
    </row>
    <row r="4" spans="1:18" ht="26.25">
      <c r="C4" s="8">
        <v>2020</v>
      </c>
      <c r="D4" s="8">
        <v>2030</v>
      </c>
      <c r="E4" s="8" t="s">
        <v>62</v>
      </c>
      <c r="F4" s="9">
        <v>2015</v>
      </c>
      <c r="G4" s="8">
        <v>2030</v>
      </c>
      <c r="H4" s="10" t="s">
        <v>62</v>
      </c>
      <c r="I4" s="8" t="s">
        <v>63</v>
      </c>
      <c r="J4" s="8" t="s">
        <v>64</v>
      </c>
      <c r="K4" s="11" t="s">
        <v>65</v>
      </c>
      <c r="L4" s="12" t="s">
        <v>66</v>
      </c>
      <c r="M4" s="8" t="s">
        <v>67</v>
      </c>
      <c r="N4" s="8" t="s">
        <v>68</v>
      </c>
      <c r="O4" s="13"/>
      <c r="P4" s="5"/>
      <c r="Q4" s="5"/>
      <c r="R4" s="5"/>
    </row>
    <row r="5" spans="1:18">
      <c r="C5" s="14">
        <v>550</v>
      </c>
      <c r="D5" s="14">
        <v>500</v>
      </c>
      <c r="E5" s="14">
        <v>450</v>
      </c>
      <c r="F5" s="15">
        <v>22</v>
      </c>
      <c r="G5" s="16">
        <v>20</v>
      </c>
      <c r="H5" s="17">
        <v>18</v>
      </c>
      <c r="I5" s="18">
        <v>1.33</v>
      </c>
      <c r="J5" s="18">
        <v>9.4E-2</v>
      </c>
      <c r="K5" s="19">
        <v>1.3</v>
      </c>
      <c r="L5" s="20">
        <v>9.4E-2</v>
      </c>
      <c r="M5" s="18">
        <v>1.28</v>
      </c>
      <c r="N5" s="18">
        <v>9.4E-2</v>
      </c>
      <c r="O5" s="21" t="s">
        <v>69</v>
      </c>
      <c r="P5" s="22"/>
      <c r="Q5" s="22"/>
      <c r="R5" s="22"/>
    </row>
    <row r="6" spans="1:18">
      <c r="C6" s="23">
        <v>900</v>
      </c>
      <c r="D6" s="23">
        <v>850</v>
      </c>
      <c r="E6" s="23">
        <v>800</v>
      </c>
      <c r="F6" s="24">
        <v>36</v>
      </c>
      <c r="G6" s="25">
        <v>34</v>
      </c>
      <c r="H6" s="26">
        <v>32</v>
      </c>
      <c r="I6" s="27">
        <v>1.33</v>
      </c>
      <c r="J6" s="27">
        <v>1.0940000000000001</v>
      </c>
      <c r="K6" s="28">
        <v>1.3</v>
      </c>
      <c r="L6" s="29">
        <v>1.0940000000000001</v>
      </c>
      <c r="M6" s="27">
        <v>1.28</v>
      </c>
      <c r="N6" s="27">
        <v>1.0940000000000001</v>
      </c>
      <c r="O6" s="30" t="s">
        <v>70</v>
      </c>
      <c r="P6" s="31"/>
      <c r="Q6" s="31"/>
      <c r="R6" s="31"/>
    </row>
    <row r="7" spans="1:18">
      <c r="C7" s="14">
        <v>1978</v>
      </c>
      <c r="D7" s="14">
        <v>1598</v>
      </c>
      <c r="E7" s="14">
        <v>1450</v>
      </c>
      <c r="F7" s="15">
        <v>57</v>
      </c>
      <c r="G7" s="16">
        <v>31</v>
      </c>
      <c r="H7" s="17">
        <v>28</v>
      </c>
      <c r="I7" s="18">
        <v>1.53</v>
      </c>
      <c r="J7" s="18">
        <v>9.4E-2</v>
      </c>
      <c r="K7" s="19">
        <v>1.47</v>
      </c>
      <c r="L7" s="20">
        <v>9.4E-2</v>
      </c>
      <c r="M7" s="18">
        <v>1.43</v>
      </c>
      <c r="N7" s="18">
        <v>9.4E-2</v>
      </c>
      <c r="O7" s="21" t="s">
        <v>71</v>
      </c>
      <c r="P7" s="22"/>
      <c r="Q7" s="22"/>
      <c r="R7" s="22"/>
    </row>
    <row r="8" spans="1:18">
      <c r="C8" s="32">
        <v>1609.9999999999998</v>
      </c>
      <c r="D8" s="32">
        <v>740</v>
      </c>
      <c r="E8" s="32">
        <v>200</v>
      </c>
      <c r="F8" s="24">
        <v>49.000000000000007</v>
      </c>
      <c r="G8" s="25">
        <v>15</v>
      </c>
      <c r="H8" s="26">
        <v>10</v>
      </c>
      <c r="I8" s="27">
        <v>0</v>
      </c>
      <c r="J8" s="27">
        <v>1.39</v>
      </c>
      <c r="K8" s="28">
        <v>0</v>
      </c>
      <c r="L8" s="29">
        <v>1.19</v>
      </c>
      <c r="M8" s="27">
        <v>0</v>
      </c>
      <c r="N8" s="27">
        <v>1.17</v>
      </c>
      <c r="O8" s="30" t="s">
        <v>72</v>
      </c>
      <c r="P8" s="31"/>
      <c r="Q8" s="31"/>
      <c r="R8" s="31"/>
    </row>
    <row r="9" spans="1:18">
      <c r="C9" s="33">
        <v>2530</v>
      </c>
      <c r="D9" s="33">
        <v>1175</v>
      </c>
      <c r="E9" s="33">
        <v>350</v>
      </c>
      <c r="F9" s="15">
        <v>77.000000000000014</v>
      </c>
      <c r="G9" s="16">
        <v>34</v>
      </c>
      <c r="H9" s="17">
        <v>18</v>
      </c>
      <c r="I9" s="18">
        <v>0</v>
      </c>
      <c r="J9" s="18">
        <v>1.5</v>
      </c>
      <c r="K9" s="19">
        <v>0</v>
      </c>
      <c r="L9" s="20">
        <v>1.25</v>
      </c>
      <c r="M9" s="18">
        <v>0</v>
      </c>
      <c r="N9" s="18">
        <v>1.19</v>
      </c>
      <c r="O9" s="21" t="s">
        <v>73</v>
      </c>
      <c r="P9" s="22"/>
      <c r="Q9" s="22"/>
      <c r="R9" s="22"/>
    </row>
    <row r="10" spans="1:18">
      <c r="C10" s="32">
        <v>1265</v>
      </c>
      <c r="D10" s="32">
        <v>600</v>
      </c>
      <c r="E10" s="32">
        <v>180</v>
      </c>
      <c r="F10" s="24">
        <v>28</v>
      </c>
      <c r="G10" s="25">
        <v>14</v>
      </c>
      <c r="H10" s="26">
        <v>9</v>
      </c>
      <c r="I10" s="27">
        <v>0</v>
      </c>
      <c r="J10" s="27">
        <v>1.3952</v>
      </c>
      <c r="K10" s="28">
        <v>0</v>
      </c>
      <c r="L10" s="29">
        <v>1.268</v>
      </c>
      <c r="M10" s="27">
        <v>0</v>
      </c>
      <c r="N10" s="27">
        <v>1.18</v>
      </c>
      <c r="O10" s="30" t="s">
        <v>74</v>
      </c>
      <c r="P10" s="31"/>
      <c r="Q10" s="31"/>
      <c r="R10" s="31"/>
    </row>
    <row r="11" spans="1:18">
      <c r="C11" s="33">
        <v>1897.4999999999998</v>
      </c>
      <c r="D11" s="33">
        <v>715</v>
      </c>
      <c r="E11" s="33">
        <v>300</v>
      </c>
      <c r="F11" s="15">
        <v>41</v>
      </c>
      <c r="G11" s="16">
        <v>17</v>
      </c>
      <c r="H11" s="17">
        <v>15</v>
      </c>
      <c r="I11" s="18">
        <v>0</v>
      </c>
      <c r="J11" s="18">
        <v>1.3952</v>
      </c>
      <c r="K11" s="19">
        <v>0</v>
      </c>
      <c r="L11" s="20">
        <v>1.268</v>
      </c>
      <c r="M11" s="18">
        <v>0</v>
      </c>
      <c r="N11" s="18">
        <v>1.2</v>
      </c>
      <c r="O11" s="21" t="s">
        <v>75</v>
      </c>
      <c r="P11" s="22"/>
      <c r="Q11" s="22"/>
      <c r="R11" s="22"/>
    </row>
    <row r="12" spans="1:18">
      <c r="C12" s="32">
        <v>3332.088235294118</v>
      </c>
      <c r="D12" s="32">
        <v>1421.3921568627452</v>
      </c>
      <c r="E12" s="32">
        <v>600</v>
      </c>
      <c r="F12" s="24">
        <v>55.825000000000003</v>
      </c>
      <c r="G12" s="25">
        <v>36.18</v>
      </c>
      <c r="H12" s="26">
        <v>39</v>
      </c>
      <c r="I12" s="27">
        <v>1.996667038759689</v>
      </c>
      <c r="J12" s="27">
        <v>0.83711999999999998</v>
      </c>
      <c r="K12" s="28">
        <v>1.4556272790939169</v>
      </c>
      <c r="L12" s="29">
        <v>0.76080000000000003</v>
      </c>
      <c r="M12" s="27">
        <v>0.33333333333333337</v>
      </c>
      <c r="N12" s="27">
        <v>0.70799999999999996</v>
      </c>
      <c r="O12" s="30" t="s">
        <v>76</v>
      </c>
      <c r="P12" s="31"/>
      <c r="Q12" s="31"/>
      <c r="R12" s="31"/>
    </row>
    <row r="13" spans="1:18">
      <c r="C13" s="33">
        <v>5331.3411764705888</v>
      </c>
      <c r="D13" s="33">
        <v>2920.8941176470589</v>
      </c>
      <c r="E13" s="33">
        <v>1100</v>
      </c>
      <c r="F13" s="15">
        <v>94.902500000000003</v>
      </c>
      <c r="G13" s="16">
        <v>63.314999999999998</v>
      </c>
      <c r="H13" s="17">
        <v>48.75</v>
      </c>
      <c r="I13" s="18">
        <v>1.996667038759689</v>
      </c>
      <c r="J13" s="18">
        <v>0.83711999999999998</v>
      </c>
      <c r="K13" s="19">
        <v>1.4556272790939169</v>
      </c>
      <c r="L13" s="20">
        <v>0.76080000000000003</v>
      </c>
      <c r="M13" s="18">
        <v>0.33333333333333337</v>
      </c>
      <c r="N13" s="18">
        <v>0.72</v>
      </c>
      <c r="O13" s="21" t="s">
        <v>77</v>
      </c>
      <c r="P13" s="22"/>
      <c r="Q13" s="22"/>
      <c r="R13" s="22"/>
    </row>
    <row r="14" spans="1:18">
      <c r="C14" s="34">
        <v>1200</v>
      </c>
      <c r="D14" s="34">
        <v>733</v>
      </c>
      <c r="E14" s="34">
        <v>263</v>
      </c>
      <c r="F14" s="35">
        <v>42</v>
      </c>
      <c r="G14" s="36">
        <v>22</v>
      </c>
      <c r="H14" s="37">
        <v>9</v>
      </c>
      <c r="I14" s="38">
        <v>0</v>
      </c>
      <c r="J14" s="39">
        <v>0.01</v>
      </c>
      <c r="K14" s="40">
        <v>0</v>
      </c>
      <c r="L14" s="41">
        <v>0.01</v>
      </c>
      <c r="M14" s="39">
        <v>0</v>
      </c>
      <c r="N14" s="39">
        <v>0.01</v>
      </c>
      <c r="O14" s="42" t="s">
        <v>78</v>
      </c>
      <c r="P14" s="43"/>
      <c r="Q14" s="43"/>
      <c r="R14" s="43"/>
    </row>
    <row r="15" spans="1:18">
      <c r="C15" s="44">
        <v>450</v>
      </c>
      <c r="D15" s="44">
        <v>450</v>
      </c>
      <c r="E15" s="44">
        <v>450</v>
      </c>
      <c r="F15" s="45">
        <v>18</v>
      </c>
      <c r="G15" s="46">
        <v>18</v>
      </c>
      <c r="H15" s="47">
        <v>18</v>
      </c>
      <c r="I15" s="48">
        <v>0.26582278481012644</v>
      </c>
      <c r="J15" s="49">
        <v>0.06</v>
      </c>
      <c r="K15" s="50">
        <v>0.26582278481012644</v>
      </c>
      <c r="L15" s="51">
        <v>0.06</v>
      </c>
      <c r="M15" s="49">
        <v>0.26582278481012644</v>
      </c>
      <c r="N15" s="49">
        <v>0.06</v>
      </c>
      <c r="O15" s="52" t="s">
        <v>79</v>
      </c>
      <c r="P15" s="53"/>
      <c r="Q15" s="53"/>
      <c r="R15" s="53"/>
    </row>
    <row r="16" spans="1:18">
      <c r="C16" s="54">
        <v>200</v>
      </c>
      <c r="D16" s="54">
        <v>200</v>
      </c>
      <c r="E16" s="54">
        <v>200</v>
      </c>
      <c r="F16" s="55">
        <v>20</v>
      </c>
      <c r="G16" s="56">
        <v>20</v>
      </c>
      <c r="H16" s="57">
        <v>20</v>
      </c>
      <c r="I16" s="58">
        <v>1.2999999999999999E-2</v>
      </c>
      <c r="J16" s="59">
        <v>3.5999999999999997E-2</v>
      </c>
      <c r="K16" s="60">
        <v>1.2999999999999999E-2</v>
      </c>
      <c r="L16" s="61">
        <v>3.5999999999999997E-2</v>
      </c>
      <c r="M16" s="59">
        <v>1.2999999999999999E-2</v>
      </c>
      <c r="N16" s="59">
        <v>3.5999999999999997E-2</v>
      </c>
      <c r="O16" s="62" t="s">
        <v>80</v>
      </c>
      <c r="P16" s="63"/>
      <c r="Q16" s="63"/>
      <c r="R16" s="63"/>
    </row>
    <row r="17" spans="1:26">
      <c r="C17" s="44">
        <v>175</v>
      </c>
      <c r="D17" s="44">
        <v>175</v>
      </c>
      <c r="E17" s="44">
        <v>175</v>
      </c>
      <c r="F17" s="45">
        <v>5</v>
      </c>
      <c r="G17" s="46">
        <v>5</v>
      </c>
      <c r="H17" s="47">
        <v>5</v>
      </c>
      <c r="I17" s="48">
        <v>1.4E-2</v>
      </c>
      <c r="J17" s="49">
        <v>0</v>
      </c>
      <c r="K17" s="50">
        <v>1.4E-2</v>
      </c>
      <c r="L17" s="51">
        <v>0</v>
      </c>
      <c r="M17" s="49">
        <v>1.4E-2</v>
      </c>
      <c r="N17" s="49">
        <v>0</v>
      </c>
      <c r="O17" s="52" t="s">
        <v>81</v>
      </c>
      <c r="P17" s="53"/>
      <c r="Q17" s="53"/>
      <c r="R17" s="53"/>
    </row>
    <row r="18" spans="1:26">
      <c r="C18" s="64">
        <v>1000</v>
      </c>
      <c r="D18" s="64">
        <v>720</v>
      </c>
      <c r="E18" s="64">
        <v>364</v>
      </c>
      <c r="F18" s="65">
        <v>50</v>
      </c>
      <c r="G18" s="66">
        <v>31</v>
      </c>
      <c r="H18" s="67">
        <v>18</v>
      </c>
      <c r="I18" s="68">
        <v>0.2389</v>
      </c>
      <c r="J18" s="69">
        <v>3.056E-2</v>
      </c>
      <c r="K18" s="70">
        <v>0.2389</v>
      </c>
      <c r="L18" s="71">
        <v>3.056E-2</v>
      </c>
      <c r="M18" s="69">
        <v>0.2389</v>
      </c>
      <c r="N18" s="69">
        <v>3.056E-2</v>
      </c>
      <c r="O18" s="72" t="s">
        <v>82</v>
      </c>
      <c r="P18" s="73"/>
      <c r="Q18" s="73"/>
      <c r="R18" s="73"/>
    </row>
    <row r="19" spans="1:26">
      <c r="C19" s="74">
        <v>1556</v>
      </c>
      <c r="D19" s="74">
        <v>1143</v>
      </c>
      <c r="E19" s="75">
        <v>673</v>
      </c>
      <c r="F19" s="76">
        <v>54</v>
      </c>
      <c r="G19" s="77">
        <v>40</v>
      </c>
      <c r="H19" s="78">
        <v>24</v>
      </c>
      <c r="I19" s="79">
        <v>3.5000000000000003E-2</v>
      </c>
      <c r="J19" s="80">
        <v>0.02</v>
      </c>
      <c r="K19" s="81">
        <v>3.5000000000000003E-2</v>
      </c>
      <c r="L19" s="82">
        <v>0.02</v>
      </c>
      <c r="M19" s="80">
        <v>3.5000000000000003E-2</v>
      </c>
      <c r="N19" s="80">
        <v>0.02</v>
      </c>
      <c r="O19" s="83" t="s">
        <v>83</v>
      </c>
      <c r="P19" s="84"/>
      <c r="Q19" s="84"/>
      <c r="R19" s="84"/>
    </row>
    <row r="20" spans="1:26">
      <c r="C20" s="85">
        <v>2332</v>
      </c>
      <c r="D20" s="85">
        <v>1511</v>
      </c>
      <c r="E20" s="85">
        <v>965</v>
      </c>
      <c r="F20" s="86">
        <v>163</v>
      </c>
      <c r="G20" s="87">
        <v>106</v>
      </c>
      <c r="H20" s="88">
        <v>68</v>
      </c>
      <c r="I20" s="89">
        <v>0.46326666666666666</v>
      </c>
      <c r="J20" s="90">
        <v>1.9188104089219331</v>
      </c>
      <c r="K20" s="91">
        <v>0.39244195142277988</v>
      </c>
      <c r="L20" s="92">
        <v>1.6009812088633062</v>
      </c>
      <c r="M20" s="90">
        <v>0.37890902062421039</v>
      </c>
      <c r="N20" s="90">
        <v>1.5694083453910281</v>
      </c>
      <c r="O20" s="93" t="s">
        <v>84</v>
      </c>
      <c r="P20" s="73"/>
      <c r="Q20" s="73"/>
      <c r="R20" s="73"/>
    </row>
    <row r="21" spans="1:26">
      <c r="C21" s="94">
        <v>769.8768197088466</v>
      </c>
      <c r="D21" s="94">
        <v>648.04446103438272</v>
      </c>
      <c r="E21" s="94">
        <v>518.29059243801294</v>
      </c>
      <c r="F21" s="95">
        <v>26.945688689809632</v>
      </c>
      <c r="G21" s="96">
        <v>22.681556136203398</v>
      </c>
      <c r="H21" s="97">
        <v>18.140170735330454</v>
      </c>
      <c r="I21" s="98">
        <v>2.7777777777777777</v>
      </c>
      <c r="J21" s="99">
        <v>2.2222222222222223</v>
      </c>
      <c r="K21" s="100">
        <v>1.6666666666666665</v>
      </c>
      <c r="L21" s="101">
        <v>1.3888888888888888</v>
      </c>
      <c r="M21" s="99">
        <v>1.1388888888888888</v>
      </c>
      <c r="N21" s="99">
        <v>0.3</v>
      </c>
      <c r="O21" s="102" t="s">
        <v>85</v>
      </c>
      <c r="P21" s="103"/>
      <c r="Q21" s="103"/>
      <c r="R21" s="103"/>
    </row>
    <row r="22" spans="1:26">
      <c r="C22" s="104">
        <v>1259.7984322508398</v>
      </c>
      <c r="D22" s="104">
        <v>894.30135622744808</v>
      </c>
      <c r="E22" s="104">
        <v>495</v>
      </c>
      <c r="F22" s="105">
        <v>44.092945128779398</v>
      </c>
      <c r="G22" s="106">
        <v>31.300547467960687</v>
      </c>
      <c r="H22" s="107">
        <v>17.325000000000003</v>
      </c>
      <c r="I22" s="108">
        <v>2</v>
      </c>
      <c r="J22" s="109">
        <v>0.3</v>
      </c>
      <c r="K22" s="110">
        <v>1.8055555555555556</v>
      </c>
      <c r="L22" s="111">
        <v>0.3</v>
      </c>
      <c r="M22" s="109">
        <v>1.5</v>
      </c>
      <c r="N22" s="109">
        <v>0.3</v>
      </c>
      <c r="O22" s="112" t="s">
        <v>86</v>
      </c>
      <c r="P22" s="113"/>
      <c r="Q22" s="113"/>
      <c r="R22" s="113"/>
    </row>
    <row r="23" spans="1:26">
      <c r="C23" s="114">
        <v>174</v>
      </c>
      <c r="D23" s="114">
        <v>174</v>
      </c>
      <c r="E23" s="114">
        <v>174</v>
      </c>
      <c r="F23" s="115">
        <v>3</v>
      </c>
      <c r="G23" s="116">
        <v>3</v>
      </c>
      <c r="H23" s="117">
        <v>3</v>
      </c>
      <c r="I23" s="118">
        <v>0</v>
      </c>
      <c r="J23" s="119">
        <v>0.20588235294117646</v>
      </c>
      <c r="K23" s="120">
        <v>0</v>
      </c>
      <c r="L23" s="121">
        <v>0.20588235294117646</v>
      </c>
      <c r="M23" s="119">
        <v>0</v>
      </c>
      <c r="N23" s="119">
        <v>0.20588235294117646</v>
      </c>
      <c r="O23" s="122" t="s">
        <v>87</v>
      </c>
      <c r="P23" s="103"/>
      <c r="Q23" s="103"/>
      <c r="R23" s="103"/>
    </row>
    <row r="26" spans="1:26" ht="17.25" thickBot="1">
      <c r="C26" s="123" t="s">
        <v>88</v>
      </c>
      <c r="T26" s="123" t="s">
        <v>89</v>
      </c>
    </row>
    <row r="27" spans="1:26" ht="14.65" thickTop="1">
      <c r="A27" s="124" t="s">
        <v>90</v>
      </c>
      <c r="B27" s="124" t="s">
        <v>91</v>
      </c>
      <c r="C27" s="124" t="str">
        <f>C2&amp;"~"&amp;C3</f>
        <v>invcost~2020</v>
      </c>
      <c r="D27" s="124" t="str">
        <f t="shared" ref="D27:N27" si="1">D2&amp;"~"&amp;D3</f>
        <v>invcost~2030</v>
      </c>
      <c r="E27" s="124" t="str">
        <f t="shared" si="1"/>
        <v>invcost~2050</v>
      </c>
      <c r="F27" s="124" t="str">
        <f t="shared" si="1"/>
        <v>fixom~2020</v>
      </c>
      <c r="G27" s="124" t="str">
        <f t="shared" si="1"/>
        <v>fixom~2030</v>
      </c>
      <c r="H27" s="124" t="str">
        <f t="shared" si="1"/>
        <v>fixom~2050</v>
      </c>
      <c r="I27" s="124" t="str">
        <f t="shared" si="1"/>
        <v>input~GASNGA~2015</v>
      </c>
      <c r="J27" s="124" t="s">
        <v>26</v>
      </c>
      <c r="K27" s="124" t="str">
        <f t="shared" si="1"/>
        <v>input~GASNGA~2030</v>
      </c>
      <c r="L27" s="124" t="str">
        <f t="shared" si="1"/>
        <v>efficiency~2030</v>
      </c>
      <c r="M27" s="124" t="str">
        <f t="shared" si="1"/>
        <v>input~GASNGA~2050</v>
      </c>
      <c r="N27" s="124" t="str">
        <f t="shared" si="1"/>
        <v>efficiency~2050</v>
      </c>
      <c r="O27" s="124" t="s">
        <v>92</v>
      </c>
      <c r="P27" s="124" t="s">
        <v>93</v>
      </c>
      <c r="Q27" s="124" t="s">
        <v>94</v>
      </c>
      <c r="T27" s="124" t="s">
        <v>95</v>
      </c>
      <c r="U27" s="124" t="s">
        <v>92</v>
      </c>
      <c r="V27" s="124" t="s">
        <v>96</v>
      </c>
      <c r="W27" s="124" t="s">
        <v>97</v>
      </c>
      <c r="X27" s="124" t="s">
        <v>98</v>
      </c>
      <c r="Y27" s="124" t="s">
        <v>99</v>
      </c>
      <c r="Z27" s="124" t="s">
        <v>100</v>
      </c>
    </row>
    <row r="28" spans="1:26">
      <c r="A28" t="s">
        <v>101</v>
      </c>
      <c r="B28" t="s">
        <v>102</v>
      </c>
      <c r="C28" s="125">
        <f>C8</f>
        <v>1609.9999999999998</v>
      </c>
      <c r="D28" s="125">
        <f>D8</f>
        <v>740</v>
      </c>
      <c r="E28" s="126">
        <v>450</v>
      </c>
      <c r="F28" s="125">
        <f>F8</f>
        <v>49.000000000000007</v>
      </c>
      <c r="G28" s="125">
        <f>G8</f>
        <v>15</v>
      </c>
      <c r="H28" s="125">
        <f>H8</f>
        <v>10</v>
      </c>
      <c r="I28" s="127"/>
      <c r="J28" s="127">
        <f>1/J8</f>
        <v>0.71942446043165476</v>
      </c>
      <c r="K28" s="127"/>
      <c r="L28" s="127">
        <f>1/L8</f>
        <v>0.84033613445378152</v>
      </c>
      <c r="M28" s="127"/>
      <c r="N28" s="127">
        <f>1/N8</f>
        <v>0.85470085470085477</v>
      </c>
      <c r="O28" t="s">
        <v>103</v>
      </c>
      <c r="P28">
        <v>25</v>
      </c>
      <c r="Q28">
        <v>8.76</v>
      </c>
      <c r="T28" t="str">
        <f t="shared" ref="T28:T29" si="2">IF(O28="","*","PRE")</f>
        <v>PRE</v>
      </c>
      <c r="U28" t="str">
        <f t="shared" ref="U28:U29" si="3">O28</f>
        <v>H2prd_Elc_PEM</v>
      </c>
      <c r="V28" t="str">
        <f>O8</f>
        <v>Hydrogen from low temperature water electrolysis PEM centralised - Large scale  (per 1 kW or 1 MWh H2 HHV)</v>
      </c>
      <c r="W28" t="s">
        <v>17</v>
      </c>
      <c r="X28" t="s">
        <v>18</v>
      </c>
      <c r="Y28" t="s">
        <v>104</v>
      </c>
      <c r="Z28" t="s">
        <v>105</v>
      </c>
    </row>
    <row r="29" spans="1:26">
      <c r="A29" t="s">
        <v>101</v>
      </c>
      <c r="B29" t="s">
        <v>102</v>
      </c>
      <c r="C29" s="125">
        <f>C10</f>
        <v>1265</v>
      </c>
      <c r="D29" s="125">
        <f>D10</f>
        <v>600</v>
      </c>
      <c r="E29" s="126">
        <v>350</v>
      </c>
      <c r="F29" s="125">
        <f>F10</f>
        <v>28</v>
      </c>
      <c r="G29" s="125">
        <f>G10</f>
        <v>14</v>
      </c>
      <c r="H29" s="125">
        <f>H10</f>
        <v>9</v>
      </c>
      <c r="I29" s="127"/>
      <c r="J29" s="127">
        <f>1/J10</f>
        <v>0.71674311926605505</v>
      </c>
      <c r="K29" s="127"/>
      <c r="L29" s="127">
        <f>1/L10</f>
        <v>0.78864353312302837</v>
      </c>
      <c r="M29" s="127"/>
      <c r="N29" s="127">
        <f>1/N10</f>
        <v>0.84745762711864414</v>
      </c>
      <c r="O29" t="s">
        <v>106</v>
      </c>
      <c r="P29">
        <v>25</v>
      </c>
      <c r="Q29">
        <v>8.76</v>
      </c>
      <c r="T29" t="str">
        <f t="shared" si="2"/>
        <v>PRE</v>
      </c>
      <c r="U29" t="str">
        <f t="shared" si="3"/>
        <v>H2prd_Elc_ALK</v>
      </c>
      <c r="V29" t="str">
        <f>O10</f>
        <v>Hydrogen from low temperature water electrolysis - Alkaline centralised, large scale  (per 1 kW or 1 MWh H2 HHV)</v>
      </c>
      <c r="W29" t="s">
        <v>17</v>
      </c>
      <c r="X29" t="s">
        <v>18</v>
      </c>
      <c r="Y29" t="s">
        <v>104</v>
      </c>
      <c r="Z29" t="s">
        <v>105</v>
      </c>
    </row>
  </sheetData>
  <mergeCells count="4">
    <mergeCell ref="C1:E1"/>
    <mergeCell ref="F1:H1"/>
    <mergeCell ref="I1:N1"/>
    <mergeCell ref="O1:O4"/>
  </mergeCells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C3DE6B4-328B-435D-B96D-CC63DB4EDE3E}">
  <dimension ref="B3:Y8"/>
  <sheetViews>
    <sheetView workbookViewId="0">
      <selection activeCell="F8" sqref="F8"/>
    </sheetView>
  </sheetViews>
  <sheetFormatPr defaultRowHeight="14.25"/>
  <cols>
    <col min="2" max="2" width="11.53125" bestFit="1" customWidth="1"/>
    <col min="3" max="3" width="8.1328125" bestFit="1" customWidth="1"/>
    <col min="4" max="4" width="14.86328125" bestFit="1" customWidth="1"/>
    <col min="5" max="5" width="11.59765625" bestFit="1" customWidth="1"/>
    <col min="6" max="6" width="14.86328125" bestFit="1" customWidth="1"/>
    <col min="7" max="7" width="9.59765625" bestFit="1" customWidth="1"/>
    <col min="8" max="8" width="9" bestFit="1" customWidth="1"/>
    <col min="9" max="9" width="4.73046875" bestFit="1" customWidth="1"/>
    <col min="10" max="10" width="1.73046875" bestFit="1" customWidth="1"/>
    <col min="11" max="11" width="6.73046875" bestFit="1" customWidth="1"/>
    <col min="12" max="12" width="14.796875" bestFit="1" customWidth="1"/>
    <col min="13" max="13" width="3.796875" bestFit="1" customWidth="1"/>
    <col min="14" max="14" width="6.265625" bestFit="1" customWidth="1"/>
    <col min="15" max="15" width="7.9296875" bestFit="1" customWidth="1"/>
    <col min="16" max="16" width="4.46484375" bestFit="1" customWidth="1"/>
    <col min="18" max="18" width="9.796875" bestFit="1" customWidth="1"/>
    <col min="19" max="19" width="11.53125" bestFit="1" customWidth="1"/>
    <col min="20" max="20" width="37.9296875" bestFit="1" customWidth="1"/>
    <col min="21" max="21" width="4.06640625" bestFit="1" customWidth="1"/>
    <col min="22" max="22" width="4.3984375" bestFit="1" customWidth="1"/>
    <col min="23" max="23" width="7.59765625" bestFit="1" customWidth="1"/>
    <col min="25" max="25" width="6.73046875" bestFit="1" customWidth="1"/>
  </cols>
  <sheetData>
    <row r="3" spans="2:25">
      <c r="B3" s="128"/>
      <c r="C3" s="128"/>
      <c r="D3" s="128"/>
      <c r="E3" s="128"/>
      <c r="F3" s="128"/>
      <c r="G3" s="128"/>
      <c r="H3" s="128" t="s">
        <v>107</v>
      </c>
      <c r="I3" s="128"/>
      <c r="J3" s="128"/>
      <c r="K3" s="128"/>
      <c r="L3" s="128"/>
      <c r="M3" s="128"/>
      <c r="N3" s="128"/>
      <c r="O3" s="128"/>
      <c r="P3" s="128"/>
      <c r="Q3" s="128"/>
      <c r="R3" s="128" t="s">
        <v>89</v>
      </c>
      <c r="S3" s="128"/>
      <c r="T3" s="128"/>
      <c r="U3" s="128"/>
      <c r="V3" s="128"/>
      <c r="W3" s="128"/>
      <c r="X3" s="128"/>
      <c r="Y3" s="128"/>
    </row>
    <row r="4" spans="2:25">
      <c r="B4" s="128" t="s">
        <v>92</v>
      </c>
      <c r="C4" t="s">
        <v>91</v>
      </c>
      <c r="D4" t="s">
        <v>90</v>
      </c>
      <c r="E4" t="s">
        <v>108</v>
      </c>
      <c r="F4" t="s">
        <v>109</v>
      </c>
      <c r="G4" t="s">
        <v>110</v>
      </c>
      <c r="H4" t="s">
        <v>111</v>
      </c>
      <c r="I4">
        <v>2030</v>
      </c>
      <c r="J4">
        <v>0</v>
      </c>
      <c r="K4" s="128" t="s">
        <v>112</v>
      </c>
      <c r="L4" s="128" t="s">
        <v>113</v>
      </c>
      <c r="M4" s="128" t="s">
        <v>93</v>
      </c>
      <c r="N4" s="128" t="s">
        <v>59</v>
      </c>
      <c r="O4" s="128" t="s">
        <v>114</v>
      </c>
      <c r="P4" s="128" t="s">
        <v>115</v>
      </c>
      <c r="Q4" s="128"/>
      <c r="R4" s="128" t="s">
        <v>95</v>
      </c>
      <c r="S4" s="128" t="s">
        <v>92</v>
      </c>
      <c r="T4" s="128" t="s">
        <v>96</v>
      </c>
      <c r="U4" s="128" t="s">
        <v>98</v>
      </c>
      <c r="V4" s="128" t="s">
        <v>97</v>
      </c>
      <c r="W4" s="128" t="s">
        <v>99</v>
      </c>
      <c r="X4" s="128" t="s">
        <v>116</v>
      </c>
      <c r="Y4" s="128" t="s">
        <v>100</v>
      </c>
    </row>
    <row r="5" spans="2:25">
      <c r="B5" t="s">
        <v>117</v>
      </c>
      <c r="C5" t="s">
        <v>14</v>
      </c>
      <c r="F5" t="s">
        <v>118</v>
      </c>
      <c r="K5" s="128">
        <v>0.90249999999999997</v>
      </c>
      <c r="L5" s="129">
        <f>24/6</f>
        <v>4</v>
      </c>
      <c r="M5" s="128">
        <v>10</v>
      </c>
      <c r="N5" s="128">
        <v>150</v>
      </c>
      <c r="O5" s="129">
        <v>1</v>
      </c>
      <c r="P5" s="128">
        <v>1</v>
      </c>
      <c r="Q5" s="128"/>
      <c r="R5" s="128" t="s">
        <v>119</v>
      </c>
      <c r="S5" s="128" t="str">
        <f>B5</f>
        <v>ev_battery</v>
      </c>
      <c r="T5" s="128" t="s">
        <v>120</v>
      </c>
      <c r="U5" s="128" t="s">
        <v>18</v>
      </c>
      <c r="V5" s="128" t="s">
        <v>18</v>
      </c>
      <c r="W5" s="128" t="s">
        <v>104</v>
      </c>
      <c r="X5" s="128"/>
      <c r="Y5" s="128"/>
    </row>
    <row r="6" spans="2:25">
      <c r="B6" s="128"/>
      <c r="F6" t="s">
        <v>121</v>
      </c>
      <c r="K6" s="128"/>
      <c r="L6" s="130">
        <v>1</v>
      </c>
      <c r="M6" s="128"/>
      <c r="N6" s="128"/>
      <c r="O6" s="128"/>
      <c r="P6" s="128"/>
      <c r="Q6" s="128"/>
      <c r="R6" s="128"/>
      <c r="S6" s="128"/>
      <c r="T6" s="128"/>
      <c r="U6" s="128"/>
      <c r="V6" s="128"/>
      <c r="W6" s="128"/>
      <c r="X6" s="128"/>
      <c r="Y6" s="128"/>
    </row>
    <row r="7" spans="2:25">
      <c r="B7" s="128"/>
      <c r="D7" t="s">
        <v>122</v>
      </c>
      <c r="E7" t="s">
        <v>123</v>
      </c>
      <c r="K7" s="128"/>
      <c r="L7" s="128"/>
      <c r="M7" s="128"/>
      <c r="N7" s="128"/>
      <c r="O7" s="128"/>
      <c r="P7" s="128"/>
      <c r="Q7" s="128"/>
      <c r="R7" s="128"/>
      <c r="S7" s="128"/>
      <c r="T7" s="128"/>
      <c r="U7" s="128"/>
      <c r="V7" s="128"/>
      <c r="W7" s="128"/>
      <c r="X7" s="128"/>
      <c r="Y7" s="128"/>
    </row>
    <row r="8" spans="2:25" ht="17.649999999999999">
      <c r="B8" s="131"/>
      <c r="E8" s="132"/>
      <c r="F8" t="s">
        <v>124</v>
      </c>
      <c r="G8" t="str">
        <f>E7</f>
        <v>AuxStoIN</v>
      </c>
      <c r="H8" t="s">
        <v>125</v>
      </c>
      <c r="I8">
        <v>1</v>
      </c>
      <c r="J8">
        <v>3</v>
      </c>
      <c r="K8" s="133"/>
      <c r="L8" s="133"/>
      <c r="M8" s="133"/>
      <c r="N8" s="133"/>
      <c r="O8" s="133"/>
      <c r="P8" s="133"/>
      <c r="Q8" s="131"/>
      <c r="R8" s="131"/>
      <c r="S8" s="131"/>
      <c r="T8" s="131"/>
      <c r="U8" s="131"/>
      <c r="V8" s="131"/>
      <c r="W8" s="134"/>
      <c r="X8" s="134"/>
      <c r="Y8" s="134"/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DA47DC2-0751-4575-99C2-627C9C2F8DEE}">
  <dimension ref="B2:W61"/>
  <sheetViews>
    <sheetView workbookViewId="0">
      <selection activeCell="H23" sqref="H23"/>
    </sheetView>
  </sheetViews>
  <sheetFormatPr defaultColWidth="8.86328125" defaultRowHeight="14.25"/>
  <cols>
    <col min="2" max="2" width="18.86328125" bestFit="1" customWidth="1"/>
    <col min="3" max="3" width="17.59765625" bestFit="1" customWidth="1"/>
    <col min="4" max="4" width="26" customWidth="1"/>
    <col min="5" max="5" width="11.1328125" bestFit="1" customWidth="1"/>
    <col min="6" max="6" width="13.265625" bestFit="1" customWidth="1"/>
    <col min="7" max="7" width="12.1328125" bestFit="1" customWidth="1"/>
    <col min="8" max="8" width="10.265625" bestFit="1" customWidth="1"/>
    <col min="9" max="9" width="16.265625" bestFit="1" customWidth="1"/>
    <col min="10" max="10" width="19.265625" bestFit="1" customWidth="1"/>
    <col min="11" max="11" width="8.86328125" bestFit="1" customWidth="1"/>
    <col min="12" max="12" width="14.265625" bestFit="1" customWidth="1"/>
    <col min="13" max="13" width="9.1328125" bestFit="1" customWidth="1"/>
    <col min="14" max="14" width="13" bestFit="1" customWidth="1"/>
    <col min="15" max="15" width="7.59765625" bestFit="1" customWidth="1"/>
    <col min="16" max="17" width="9" bestFit="1" customWidth="1"/>
    <col min="18" max="18" width="7.59765625" bestFit="1" customWidth="1"/>
    <col min="19" max="20" width="9" bestFit="1" customWidth="1"/>
    <col min="21" max="21" width="10.33203125" bestFit="1" customWidth="1"/>
    <col min="22" max="22" width="12.1328125" bestFit="1" customWidth="1"/>
    <col min="23" max="23" width="3.796875" bestFit="1" customWidth="1"/>
  </cols>
  <sheetData>
    <row r="2" spans="2:23">
      <c r="B2" s="135" t="s">
        <v>126</v>
      </c>
      <c r="C2" s="135"/>
      <c r="D2" s="135"/>
      <c r="E2" s="135"/>
      <c r="F2" s="135"/>
      <c r="G2" s="135"/>
      <c r="H2" s="135"/>
      <c r="I2" s="135"/>
    </row>
    <row r="3" spans="2:23">
      <c r="B3" s="135" t="s">
        <v>127</v>
      </c>
      <c r="C3" s="135" t="s">
        <v>128</v>
      </c>
      <c r="D3" s="135" t="s">
        <v>129</v>
      </c>
      <c r="E3" s="135" t="s">
        <v>130</v>
      </c>
      <c r="F3" s="135" t="s">
        <v>131</v>
      </c>
      <c r="G3" s="135" t="s">
        <v>132</v>
      </c>
      <c r="H3" s="135" t="s">
        <v>133</v>
      </c>
      <c r="I3" s="135" t="s">
        <v>134</v>
      </c>
    </row>
    <row r="4" spans="2:23">
      <c r="B4" s="135" t="s">
        <v>135</v>
      </c>
      <c r="C4" s="135" t="s">
        <v>123</v>
      </c>
      <c r="D4" s="135" t="s">
        <v>136</v>
      </c>
      <c r="E4" s="135" t="s">
        <v>137</v>
      </c>
      <c r="F4" s="135"/>
      <c r="G4" s="136" t="s">
        <v>104</v>
      </c>
      <c r="H4" s="135"/>
      <c r="I4" s="135"/>
    </row>
    <row r="5" spans="2:23">
      <c r="C5" s="135" t="s">
        <v>138</v>
      </c>
      <c r="D5" s="135" t="s">
        <v>139</v>
      </c>
      <c r="E5" s="135" t="s">
        <v>137</v>
      </c>
      <c r="F5" s="135"/>
      <c r="G5" s="136" t="s">
        <v>104</v>
      </c>
    </row>
    <row r="8" spans="2:23">
      <c r="B8" s="136" t="s">
        <v>89</v>
      </c>
      <c r="C8" s="136"/>
      <c r="D8" s="136"/>
      <c r="E8" s="136"/>
      <c r="F8" s="136"/>
      <c r="G8" s="136"/>
      <c r="H8" s="137"/>
      <c r="I8" s="137"/>
      <c r="J8" s="137"/>
      <c r="K8" s="137"/>
      <c r="L8" s="137"/>
      <c r="M8" s="138" t="s">
        <v>140</v>
      </c>
      <c r="O8" s="137"/>
      <c r="P8" s="137"/>
      <c r="Q8" s="137"/>
      <c r="R8" s="137"/>
      <c r="S8" s="137"/>
      <c r="T8" s="137"/>
      <c r="U8" s="137"/>
      <c r="V8" s="137"/>
      <c r="W8" s="137"/>
    </row>
    <row r="9" spans="2:23">
      <c r="B9" s="136" t="s">
        <v>95</v>
      </c>
      <c r="C9" s="136" t="s">
        <v>92</v>
      </c>
      <c r="D9" s="136" t="s">
        <v>96</v>
      </c>
      <c r="E9" s="136" t="s">
        <v>98</v>
      </c>
      <c r="F9" s="136" t="s">
        <v>97</v>
      </c>
      <c r="G9" s="136" t="s">
        <v>99</v>
      </c>
      <c r="H9" s="137"/>
      <c r="I9" s="137" t="s">
        <v>92</v>
      </c>
      <c r="J9" s="137" t="s">
        <v>5</v>
      </c>
      <c r="K9" s="137" t="s">
        <v>109</v>
      </c>
      <c r="L9" s="137" t="s">
        <v>141</v>
      </c>
      <c r="M9" s="138" t="s">
        <v>142</v>
      </c>
      <c r="N9" s="137">
        <f>J35</f>
        <v>2020</v>
      </c>
      <c r="O9" s="137">
        <f t="shared" ref="O9:T9" si="0">K35</f>
        <v>2025</v>
      </c>
      <c r="P9" s="137">
        <f t="shared" si="0"/>
        <v>2030</v>
      </c>
      <c r="Q9" s="137">
        <f t="shared" si="0"/>
        <v>2035</v>
      </c>
      <c r="R9" s="137">
        <f t="shared" si="0"/>
        <v>2040</v>
      </c>
      <c r="S9" s="137">
        <f t="shared" si="0"/>
        <v>2045</v>
      </c>
      <c r="T9" s="137">
        <f t="shared" si="0"/>
        <v>2050</v>
      </c>
      <c r="U9" s="137" t="s">
        <v>90</v>
      </c>
      <c r="V9" s="137" t="s">
        <v>108</v>
      </c>
      <c r="W9" t="s">
        <v>93</v>
      </c>
    </row>
    <row r="10" spans="2:23">
      <c r="B10" s="136" t="s">
        <v>143</v>
      </c>
      <c r="C10" s="136" t="s">
        <v>144</v>
      </c>
      <c r="D10" s="139" t="s">
        <v>145</v>
      </c>
      <c r="E10" s="136" t="s">
        <v>137</v>
      </c>
      <c r="F10" s="136" t="s">
        <v>17</v>
      </c>
      <c r="G10" s="136" t="s">
        <v>104</v>
      </c>
      <c r="H10" s="137"/>
      <c r="I10" s="137" t="s">
        <v>146</v>
      </c>
      <c r="J10" s="137" t="s">
        <v>125</v>
      </c>
      <c r="K10" s="135" t="s">
        <v>138</v>
      </c>
      <c r="L10" s="135" t="s">
        <v>14</v>
      </c>
      <c r="M10" s="137" t="s">
        <v>147</v>
      </c>
      <c r="N10" s="140">
        <f>1/N17</f>
        <v>1.1764705882352942</v>
      </c>
      <c r="O10" s="140"/>
      <c r="P10" s="140"/>
      <c r="Q10" s="140"/>
      <c r="R10" s="140"/>
      <c r="S10" s="140"/>
      <c r="T10" s="140"/>
      <c r="U10" s="137"/>
      <c r="V10" s="136" t="str">
        <f>K10</f>
        <v>AuxStoOUT</v>
      </c>
      <c r="W10">
        <v>20</v>
      </c>
    </row>
    <row r="11" spans="2:23">
      <c r="B11" s="136"/>
      <c r="C11" s="138" t="s">
        <v>146</v>
      </c>
      <c r="D11" s="138" t="s">
        <v>148</v>
      </c>
      <c r="E11" s="136" t="s">
        <v>137</v>
      </c>
      <c r="F11" s="136" t="s">
        <v>17</v>
      </c>
      <c r="G11" s="136" t="s">
        <v>104</v>
      </c>
      <c r="H11" s="137"/>
      <c r="I11" s="137" t="s">
        <v>146</v>
      </c>
      <c r="J11" s="137" t="s">
        <v>149</v>
      </c>
      <c r="K11" s="137" t="s">
        <v>121</v>
      </c>
      <c r="L11" s="137" t="s">
        <v>14</v>
      </c>
      <c r="M11" s="137" t="s">
        <v>104</v>
      </c>
      <c r="N11" s="140">
        <f>4/24</f>
        <v>0.16666666666666666</v>
      </c>
      <c r="O11" s="127"/>
      <c r="P11" s="127"/>
      <c r="Q11" s="127"/>
      <c r="R11" s="127"/>
      <c r="S11" s="127"/>
      <c r="T11" s="127"/>
      <c r="U11" s="136" t="str">
        <f>L11</f>
        <v>ELC</v>
      </c>
    </row>
    <row r="12" spans="2:23">
      <c r="B12" s="136"/>
      <c r="C12" s="136"/>
      <c r="D12" s="136"/>
      <c r="E12" s="136"/>
      <c r="F12" s="136"/>
      <c r="G12" s="136"/>
      <c r="H12" s="137"/>
      <c r="I12" s="137" t="s">
        <v>146</v>
      </c>
      <c r="J12" s="137" t="s">
        <v>149</v>
      </c>
      <c r="K12" s="137" t="s">
        <v>118</v>
      </c>
      <c r="L12" s="137"/>
      <c r="M12" s="138" t="s">
        <v>104</v>
      </c>
      <c r="N12" s="140">
        <v>1</v>
      </c>
      <c r="O12" s="140"/>
      <c r="P12" s="140"/>
      <c r="Q12" s="140"/>
      <c r="R12" s="140"/>
      <c r="S12" s="140"/>
      <c r="T12" s="140"/>
      <c r="U12" s="137"/>
      <c r="V12" s="137"/>
    </row>
    <row r="13" spans="2:23">
      <c r="B13" s="136"/>
      <c r="C13" s="136"/>
      <c r="D13" s="136"/>
      <c r="E13" s="136"/>
      <c r="F13" s="136"/>
      <c r="G13" s="136"/>
      <c r="H13" s="137"/>
      <c r="I13" s="137" t="s">
        <v>146</v>
      </c>
      <c r="J13" s="137" t="s">
        <v>150</v>
      </c>
      <c r="K13" s="137"/>
      <c r="L13" s="137"/>
      <c r="M13" s="138"/>
      <c r="N13" s="140">
        <f>J40</f>
        <v>1363</v>
      </c>
      <c r="O13" s="140">
        <f t="shared" ref="O13:T13" si="1">K40</f>
        <v>956</v>
      </c>
      <c r="P13" s="140">
        <f t="shared" si="1"/>
        <v>784</v>
      </c>
      <c r="Q13" s="140">
        <f t="shared" si="1"/>
        <v>735</v>
      </c>
      <c r="R13" s="140">
        <f t="shared" si="1"/>
        <v>686</v>
      </c>
      <c r="S13" s="140">
        <f t="shared" si="1"/>
        <v>637</v>
      </c>
      <c r="T13" s="140">
        <f t="shared" si="1"/>
        <v>588</v>
      </c>
      <c r="U13" s="137"/>
      <c r="V13" s="137"/>
    </row>
    <row r="14" spans="2:23">
      <c r="I14" t="s">
        <v>146</v>
      </c>
      <c r="J14" t="s">
        <v>151</v>
      </c>
      <c r="N14" s="127">
        <f>J44</f>
        <v>34</v>
      </c>
      <c r="O14" s="127">
        <f t="shared" ref="O14:T14" si="2">K44</f>
        <v>24</v>
      </c>
      <c r="P14" s="127">
        <f t="shared" si="2"/>
        <v>20</v>
      </c>
      <c r="Q14" s="127">
        <f t="shared" si="2"/>
        <v>18</v>
      </c>
      <c r="R14" s="127">
        <f t="shared" si="2"/>
        <v>17</v>
      </c>
      <c r="S14" s="127">
        <f t="shared" si="2"/>
        <v>16</v>
      </c>
      <c r="T14" s="127">
        <f t="shared" si="2"/>
        <v>15</v>
      </c>
    </row>
    <row r="15" spans="2:23">
      <c r="I15" t="s">
        <v>146</v>
      </c>
      <c r="J15" t="s">
        <v>152</v>
      </c>
      <c r="M15" t="s">
        <v>147</v>
      </c>
      <c r="N15" s="127">
        <v>1</v>
      </c>
      <c r="O15" s="127"/>
      <c r="P15" s="127"/>
      <c r="Q15" s="127"/>
      <c r="R15" s="127"/>
      <c r="S15" s="127"/>
      <c r="T15" s="127"/>
    </row>
    <row r="16" spans="2:23">
      <c r="I16" t="s">
        <v>146</v>
      </c>
      <c r="J16" t="s">
        <v>153</v>
      </c>
      <c r="N16" s="140">
        <v>31.536000000000001</v>
      </c>
      <c r="O16" s="127"/>
      <c r="P16" s="127"/>
      <c r="Q16" s="127"/>
      <c r="R16" s="127"/>
      <c r="S16" s="127"/>
      <c r="T16" s="127"/>
    </row>
    <row r="17" spans="9:23">
      <c r="I17" t="s">
        <v>146</v>
      </c>
      <c r="J17" t="s">
        <v>154</v>
      </c>
      <c r="N17" s="127">
        <v>0.85</v>
      </c>
      <c r="O17" s="127"/>
      <c r="P17" s="127"/>
      <c r="Q17" s="127"/>
      <c r="R17" s="127"/>
      <c r="S17" s="127"/>
      <c r="T17" s="127"/>
    </row>
    <row r="18" spans="9:23">
      <c r="I18" t="s">
        <v>144</v>
      </c>
      <c r="J18" t="s">
        <v>125</v>
      </c>
      <c r="K18" s="135" t="s">
        <v>138</v>
      </c>
      <c r="L18" s="135" t="s">
        <v>14</v>
      </c>
      <c r="M18" t="s">
        <v>147</v>
      </c>
      <c r="N18" s="140">
        <f>1/N25</f>
        <v>1.1764705882352942</v>
      </c>
      <c r="O18" s="127"/>
      <c r="P18" s="127"/>
      <c r="Q18" s="127"/>
      <c r="R18" s="127"/>
      <c r="S18" s="127"/>
      <c r="T18" s="127"/>
      <c r="U18" s="137"/>
      <c r="V18" s="136" t="str">
        <f>K18</f>
        <v>AuxStoOUT</v>
      </c>
      <c r="W18">
        <v>20</v>
      </c>
    </row>
    <row r="19" spans="9:23">
      <c r="I19" t="s">
        <v>144</v>
      </c>
      <c r="J19" t="s">
        <v>149</v>
      </c>
      <c r="K19" t="s">
        <v>121</v>
      </c>
      <c r="L19" t="s">
        <v>14</v>
      </c>
      <c r="M19" t="s">
        <v>104</v>
      </c>
      <c r="N19" s="127">
        <f>8/24</f>
        <v>0.33333333333333331</v>
      </c>
      <c r="O19" s="127"/>
      <c r="P19" s="127"/>
      <c r="Q19" s="127"/>
      <c r="R19" s="127"/>
      <c r="S19" s="127"/>
      <c r="T19" s="127"/>
      <c r="U19" s="136" t="str">
        <f>L19</f>
        <v>ELC</v>
      </c>
    </row>
    <row r="20" spans="9:23">
      <c r="I20" t="s">
        <v>144</v>
      </c>
      <c r="J20" t="s">
        <v>149</v>
      </c>
      <c r="K20" t="s">
        <v>118</v>
      </c>
      <c r="M20" t="s">
        <v>104</v>
      </c>
      <c r="N20" s="127">
        <v>1</v>
      </c>
      <c r="O20" s="127"/>
      <c r="P20" s="127"/>
      <c r="Q20" s="127"/>
      <c r="R20" s="127"/>
      <c r="S20" s="127"/>
      <c r="T20" s="127"/>
    </row>
    <row r="21" spans="9:23">
      <c r="I21" t="s">
        <v>144</v>
      </c>
      <c r="J21" t="s">
        <v>150</v>
      </c>
      <c r="N21" s="127">
        <f>J49</f>
        <v>2470</v>
      </c>
      <c r="O21" s="127">
        <f t="shared" ref="O21:T21" si="3">K49</f>
        <v>1714</v>
      </c>
      <c r="P21" s="127">
        <f t="shared" si="3"/>
        <v>1371</v>
      </c>
      <c r="Q21" s="127">
        <f t="shared" si="3"/>
        <v>1277</v>
      </c>
      <c r="R21" s="127">
        <f t="shared" si="3"/>
        <v>1183</v>
      </c>
      <c r="S21" s="127">
        <f t="shared" si="3"/>
        <v>1089</v>
      </c>
      <c r="T21" s="127">
        <f t="shared" si="3"/>
        <v>995</v>
      </c>
    </row>
    <row r="22" spans="9:23">
      <c r="I22" t="s">
        <v>144</v>
      </c>
      <c r="J22" t="s">
        <v>151</v>
      </c>
      <c r="N22" s="127">
        <f>J53</f>
        <v>62</v>
      </c>
      <c r="O22" s="127">
        <f t="shared" ref="O22:T22" si="4">K53</f>
        <v>43</v>
      </c>
      <c r="P22" s="127">
        <f t="shared" si="4"/>
        <v>34</v>
      </c>
      <c r="Q22" s="127">
        <f t="shared" si="4"/>
        <v>32</v>
      </c>
      <c r="R22" s="127">
        <f t="shared" si="4"/>
        <v>30</v>
      </c>
      <c r="S22" s="127">
        <f t="shared" si="4"/>
        <v>27</v>
      </c>
      <c r="T22" s="127">
        <f t="shared" si="4"/>
        <v>25</v>
      </c>
    </row>
    <row r="23" spans="9:23">
      <c r="I23" t="s">
        <v>144</v>
      </c>
      <c r="J23" t="s">
        <v>152</v>
      </c>
      <c r="M23" t="s">
        <v>147</v>
      </c>
      <c r="N23" s="127">
        <v>1</v>
      </c>
      <c r="O23" s="127"/>
      <c r="P23" s="127"/>
      <c r="Q23" s="127"/>
      <c r="R23" s="127"/>
      <c r="S23" s="127"/>
      <c r="T23" s="127"/>
    </row>
    <row r="24" spans="9:23">
      <c r="I24" t="s">
        <v>144</v>
      </c>
      <c r="J24" t="s">
        <v>153</v>
      </c>
      <c r="N24" s="140">
        <v>31.536000000000001</v>
      </c>
      <c r="O24" s="127"/>
      <c r="P24" s="127"/>
      <c r="Q24" s="127"/>
      <c r="R24" s="127"/>
      <c r="S24" s="127"/>
      <c r="T24" s="127"/>
    </row>
    <row r="25" spans="9:23">
      <c r="I25" t="s">
        <v>144</v>
      </c>
      <c r="J25" t="s">
        <v>154</v>
      </c>
      <c r="N25" s="127">
        <v>0.85</v>
      </c>
      <c r="O25" s="127"/>
      <c r="P25" s="127"/>
      <c r="Q25" s="127"/>
      <c r="R25" s="127"/>
      <c r="S25" s="127"/>
      <c r="T25" s="127"/>
    </row>
    <row r="31" spans="9:23" ht="15.75">
      <c r="I31" s="141" t="s">
        <v>155</v>
      </c>
      <c r="J31" s="142"/>
      <c r="K31" s="142"/>
      <c r="L31" s="142"/>
      <c r="M31" s="142"/>
      <c r="N31" s="142"/>
      <c r="O31" s="142"/>
      <c r="P31" s="142"/>
    </row>
    <row r="32" spans="9:23" ht="15.75">
      <c r="I32" s="141" t="s">
        <v>156</v>
      </c>
      <c r="J32" s="142"/>
      <c r="K32" s="142"/>
      <c r="L32" s="142"/>
      <c r="M32" s="142"/>
      <c r="N32" s="142"/>
      <c r="O32" s="142"/>
      <c r="P32" s="142"/>
    </row>
    <row r="33" spans="9:16">
      <c r="I33" s="143"/>
      <c r="J33" s="143"/>
      <c r="K33" s="143"/>
      <c r="L33" s="143"/>
      <c r="M33" s="143"/>
      <c r="N33" s="143"/>
      <c r="O33" s="143"/>
      <c r="P33" s="143"/>
    </row>
    <row r="34" spans="9:16" ht="15.75">
      <c r="I34" s="144" t="s">
        <v>157</v>
      </c>
      <c r="J34" s="145"/>
      <c r="K34" s="145"/>
      <c r="L34" s="145"/>
      <c r="M34" s="145"/>
      <c r="N34" s="145"/>
      <c r="O34" s="145"/>
      <c r="P34" s="145"/>
    </row>
    <row r="35" spans="9:16" ht="15.75">
      <c r="I35" s="145"/>
      <c r="J35" s="145">
        <v>2020</v>
      </c>
      <c r="K35" s="145">
        <v>2025</v>
      </c>
      <c r="L35" s="145">
        <v>2030</v>
      </c>
      <c r="M35" s="145">
        <v>2035</v>
      </c>
      <c r="N35" s="145">
        <v>2040</v>
      </c>
      <c r="O35" s="145">
        <v>2045</v>
      </c>
      <c r="P35" s="145">
        <v>2050</v>
      </c>
    </row>
    <row r="36" spans="9:16" ht="15.75">
      <c r="I36" s="146" t="s">
        <v>158</v>
      </c>
      <c r="J36" s="145"/>
      <c r="K36" s="145"/>
      <c r="L36" s="145"/>
      <c r="M36" s="145"/>
      <c r="N36" s="145"/>
      <c r="O36" s="145"/>
      <c r="P36" s="145"/>
    </row>
    <row r="37" spans="9:16" ht="15.75">
      <c r="I37" s="144" t="s">
        <v>159</v>
      </c>
      <c r="J37" s="145"/>
      <c r="K37" s="145"/>
      <c r="L37" s="145"/>
      <c r="M37" s="145"/>
      <c r="N37" s="145"/>
      <c r="O37" s="145"/>
      <c r="P37" s="145"/>
    </row>
    <row r="38" spans="9:16" ht="15.75">
      <c r="I38" s="145" t="s">
        <v>160</v>
      </c>
      <c r="J38" s="147">
        <v>1363</v>
      </c>
      <c r="K38" s="147">
        <v>839</v>
      </c>
      <c r="L38" s="147">
        <v>566</v>
      </c>
      <c r="M38" s="147">
        <v>512</v>
      </c>
      <c r="N38" s="147">
        <v>454</v>
      </c>
      <c r="O38" s="147">
        <v>400</v>
      </c>
      <c r="P38" s="147">
        <v>346</v>
      </c>
    </row>
    <row r="39" spans="9:16" ht="15.75">
      <c r="I39" s="145" t="s">
        <v>161</v>
      </c>
      <c r="J39" s="147">
        <v>1363</v>
      </c>
      <c r="K39" s="147">
        <v>1167</v>
      </c>
      <c r="L39" s="147">
        <v>981</v>
      </c>
      <c r="M39" s="147">
        <v>981</v>
      </c>
      <c r="N39" s="147">
        <v>981</v>
      </c>
      <c r="O39" s="147">
        <v>981</v>
      </c>
      <c r="P39" s="147">
        <v>981</v>
      </c>
    </row>
    <row r="40" spans="9:16" ht="15.75">
      <c r="I40" s="145" t="s">
        <v>162</v>
      </c>
      <c r="J40" s="147">
        <v>1363</v>
      </c>
      <c r="K40" s="147">
        <v>956</v>
      </c>
      <c r="L40" s="147">
        <v>784</v>
      </c>
      <c r="M40" s="147">
        <v>735</v>
      </c>
      <c r="N40" s="147">
        <v>686</v>
      </c>
      <c r="O40" s="147">
        <v>637</v>
      </c>
      <c r="P40" s="147">
        <v>588</v>
      </c>
    </row>
    <row r="41" spans="9:16" ht="15.75">
      <c r="I41" s="144" t="s">
        <v>163</v>
      </c>
      <c r="J41" s="148"/>
      <c r="K41" s="148"/>
      <c r="L41" s="148"/>
      <c r="M41" s="148"/>
      <c r="N41" s="148"/>
      <c r="O41" s="148"/>
      <c r="P41" s="148"/>
    </row>
    <row r="42" spans="9:16" ht="15.75">
      <c r="I42" s="145" t="s">
        <v>160</v>
      </c>
      <c r="J42" s="149">
        <v>34</v>
      </c>
      <c r="K42" s="149">
        <v>21</v>
      </c>
      <c r="L42" s="149">
        <v>14</v>
      </c>
      <c r="M42" s="149">
        <v>13</v>
      </c>
      <c r="N42" s="149">
        <v>11</v>
      </c>
      <c r="O42" s="149">
        <v>10</v>
      </c>
      <c r="P42" s="149">
        <v>9</v>
      </c>
    </row>
    <row r="43" spans="9:16" ht="15.75">
      <c r="I43" s="145" t="s">
        <v>161</v>
      </c>
      <c r="J43" s="149">
        <v>34</v>
      </c>
      <c r="K43" s="149">
        <v>29</v>
      </c>
      <c r="L43" s="149">
        <v>25</v>
      </c>
      <c r="M43" s="149">
        <v>25</v>
      </c>
      <c r="N43" s="149">
        <v>25</v>
      </c>
      <c r="O43" s="149">
        <v>25</v>
      </c>
      <c r="P43" s="149">
        <v>25</v>
      </c>
    </row>
    <row r="44" spans="9:16" ht="15.75">
      <c r="I44" s="145" t="s">
        <v>162</v>
      </c>
      <c r="J44" s="149">
        <v>34</v>
      </c>
      <c r="K44" s="149">
        <v>24</v>
      </c>
      <c r="L44" s="149">
        <v>20</v>
      </c>
      <c r="M44" s="149">
        <v>18</v>
      </c>
      <c r="N44" s="149">
        <v>17</v>
      </c>
      <c r="O44" s="149">
        <v>16</v>
      </c>
      <c r="P44" s="149">
        <v>15</v>
      </c>
    </row>
    <row r="45" spans="9:16" ht="15.75">
      <c r="I45" s="146" t="s">
        <v>164</v>
      </c>
      <c r="J45" s="148"/>
      <c r="K45" s="148"/>
      <c r="L45" s="148"/>
      <c r="M45" s="148"/>
      <c r="N45" s="148"/>
      <c r="O45" s="148"/>
      <c r="P45" s="148"/>
    </row>
    <row r="46" spans="9:16" ht="15.75">
      <c r="I46" s="144" t="s">
        <v>159</v>
      </c>
      <c r="J46" s="148"/>
      <c r="K46" s="148"/>
      <c r="L46" s="148"/>
      <c r="M46" s="148"/>
      <c r="N46" s="148"/>
      <c r="O46" s="148"/>
      <c r="P46" s="148"/>
    </row>
    <row r="47" spans="9:16" ht="15.75">
      <c r="I47" s="145" t="s">
        <v>160</v>
      </c>
      <c r="J47" s="147">
        <v>2470</v>
      </c>
      <c r="K47" s="147">
        <v>1518</v>
      </c>
      <c r="L47" s="147">
        <v>1024</v>
      </c>
      <c r="M47" s="147">
        <v>927</v>
      </c>
      <c r="N47" s="147">
        <v>822</v>
      </c>
      <c r="O47" s="147">
        <v>724</v>
      </c>
      <c r="P47" s="147">
        <v>626</v>
      </c>
    </row>
    <row r="48" spans="9:16" ht="15.75">
      <c r="I48" s="145" t="s">
        <v>161</v>
      </c>
      <c r="J48" s="147">
        <v>2470</v>
      </c>
      <c r="K48" s="147">
        <v>2111</v>
      </c>
      <c r="L48" s="147">
        <v>1754</v>
      </c>
      <c r="M48" s="147">
        <v>1754</v>
      </c>
      <c r="N48" s="147">
        <v>1754</v>
      </c>
      <c r="O48" s="147">
        <v>1754</v>
      </c>
      <c r="P48" s="147">
        <v>1754</v>
      </c>
    </row>
    <row r="49" spans="9:16" ht="15.75">
      <c r="I49" s="145" t="s">
        <v>162</v>
      </c>
      <c r="J49" s="147">
        <v>2470</v>
      </c>
      <c r="K49" s="147">
        <v>1714</v>
      </c>
      <c r="L49" s="147">
        <v>1371</v>
      </c>
      <c r="M49" s="147">
        <v>1277</v>
      </c>
      <c r="N49" s="147">
        <v>1183</v>
      </c>
      <c r="O49" s="147">
        <v>1089</v>
      </c>
      <c r="P49" s="147">
        <v>995</v>
      </c>
    </row>
    <row r="50" spans="9:16" ht="15.75">
      <c r="I50" s="144" t="s">
        <v>163</v>
      </c>
      <c r="J50" s="148"/>
      <c r="K50" s="148"/>
      <c r="L50" s="148"/>
      <c r="M50" s="148"/>
      <c r="N50" s="148"/>
      <c r="O50" s="148"/>
      <c r="P50" s="148"/>
    </row>
    <row r="51" spans="9:16" ht="15.75">
      <c r="I51" s="145" t="s">
        <v>160</v>
      </c>
      <c r="J51" s="149">
        <v>62</v>
      </c>
      <c r="K51" s="149">
        <v>38</v>
      </c>
      <c r="L51" s="149">
        <v>26</v>
      </c>
      <c r="M51" s="149">
        <v>23</v>
      </c>
      <c r="N51" s="149">
        <v>21</v>
      </c>
      <c r="O51" s="149">
        <v>18</v>
      </c>
      <c r="P51" s="149">
        <v>16</v>
      </c>
    </row>
    <row r="52" spans="9:16" ht="15.75">
      <c r="I52" s="145" t="s">
        <v>161</v>
      </c>
      <c r="J52" s="149">
        <v>62</v>
      </c>
      <c r="K52" s="149">
        <v>53</v>
      </c>
      <c r="L52" s="149">
        <v>44</v>
      </c>
      <c r="M52" s="149">
        <v>44</v>
      </c>
      <c r="N52" s="149">
        <v>44</v>
      </c>
      <c r="O52" s="149">
        <v>44</v>
      </c>
      <c r="P52" s="149">
        <v>44</v>
      </c>
    </row>
    <row r="53" spans="9:16" ht="15.75">
      <c r="I53" s="145" t="s">
        <v>162</v>
      </c>
      <c r="J53" s="149">
        <v>62</v>
      </c>
      <c r="K53" s="149">
        <v>43</v>
      </c>
      <c r="L53" s="149">
        <v>34</v>
      </c>
      <c r="M53" s="149">
        <v>32</v>
      </c>
      <c r="N53" s="149">
        <v>30</v>
      </c>
      <c r="O53" s="149">
        <v>27</v>
      </c>
      <c r="P53" s="149">
        <v>25</v>
      </c>
    </row>
    <row r="54" spans="9:16">
      <c r="I54" s="143"/>
      <c r="J54" s="143"/>
      <c r="K54" s="143"/>
      <c r="L54" s="143"/>
      <c r="M54" s="143"/>
      <c r="N54" s="143"/>
      <c r="O54" s="143"/>
      <c r="P54" s="143"/>
    </row>
    <row r="55" spans="9:16" ht="15.75">
      <c r="I55" s="142" t="s">
        <v>165</v>
      </c>
      <c r="J55" s="142">
        <v>0.85</v>
      </c>
      <c r="K55" s="142"/>
      <c r="L55" s="142"/>
      <c r="M55" s="142"/>
      <c r="N55" s="142"/>
      <c r="O55" s="142"/>
      <c r="P55" s="142"/>
    </row>
    <row r="56" spans="9:16" ht="15.75">
      <c r="I56" s="142" t="s">
        <v>166</v>
      </c>
      <c r="J56" s="142"/>
      <c r="K56" s="142"/>
      <c r="L56" s="142"/>
      <c r="M56" s="142"/>
      <c r="N56" s="142"/>
      <c r="O56" s="142"/>
      <c r="P56" s="142"/>
    </row>
    <row r="57" spans="9:16" ht="15.75">
      <c r="I57" s="142" t="s">
        <v>167</v>
      </c>
      <c r="J57" s="142"/>
      <c r="K57" s="142"/>
      <c r="L57" s="142"/>
      <c r="M57" s="150"/>
      <c r="N57" s="142"/>
      <c r="O57" s="142"/>
      <c r="P57" s="142"/>
    </row>
    <row r="58" spans="9:16" ht="15.75">
      <c r="I58" s="142"/>
      <c r="J58" s="142"/>
      <c r="K58" s="142"/>
      <c r="L58" s="142"/>
      <c r="M58" s="150"/>
      <c r="N58" s="142"/>
      <c r="O58" s="142"/>
      <c r="P58" s="142"/>
    </row>
    <row r="59" spans="9:16" ht="15.75">
      <c r="I59" s="142"/>
      <c r="J59" s="150"/>
      <c r="K59" s="142"/>
      <c r="L59" s="142"/>
      <c r="M59" s="150"/>
      <c r="N59" s="142"/>
      <c r="O59" s="142"/>
      <c r="P59" s="142"/>
    </row>
    <row r="60" spans="9:16" ht="15.75">
      <c r="I60" s="142"/>
      <c r="J60" s="150"/>
      <c r="K60" s="142"/>
      <c r="L60" s="142"/>
      <c r="M60" s="142"/>
      <c r="N60" s="142"/>
      <c r="O60" s="142"/>
      <c r="P60" s="142"/>
    </row>
    <row r="61" spans="9:16" ht="15.75">
      <c r="I61" s="142"/>
      <c r="J61" s="150"/>
      <c r="K61" s="142"/>
      <c r="L61" s="142"/>
      <c r="M61" s="142"/>
      <c r="N61" s="142"/>
      <c r="O61" s="142"/>
      <c r="P61" s="142"/>
    </row>
  </sheetData>
  <pageMargins left="0.7" right="0.7" top="0.75" bottom="0.75" header="0.3" footer="0.3"/>
  <pageSetup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9C4D062-95AD-4929-A7F7-25E61E5AA483}">
  <dimension ref="B11:V29"/>
  <sheetViews>
    <sheetView tabSelected="1" workbookViewId="0">
      <selection activeCell="A17" sqref="A17"/>
    </sheetView>
  </sheetViews>
  <sheetFormatPr defaultRowHeight="14.25"/>
  <cols>
    <col min="2" max="2" width="12.19921875" bestFit="1" customWidth="1"/>
    <col min="3" max="3" width="17.9296875" bestFit="1" customWidth="1"/>
    <col min="4" max="4" width="19.33203125" bestFit="1" customWidth="1"/>
    <col min="5" max="5" width="4.3984375" bestFit="1" customWidth="1"/>
    <col min="6" max="6" width="4.6640625" bestFit="1" customWidth="1"/>
    <col min="7" max="7" width="7.59765625" bestFit="1" customWidth="1"/>
    <col min="10" max="10" width="17.9296875" bestFit="1" customWidth="1"/>
    <col min="11" max="11" width="8.3984375" bestFit="1" customWidth="1"/>
    <col min="12" max="12" width="32.19921875" bestFit="1" customWidth="1"/>
    <col min="13" max="13" width="3.3984375" bestFit="1" customWidth="1"/>
    <col min="14" max="14" width="7.86328125" bestFit="1" customWidth="1"/>
    <col min="15" max="15" width="7.1328125" bestFit="1" customWidth="1"/>
    <col min="16" max="16" width="4.73046875" bestFit="1" customWidth="1"/>
    <col min="17" max="17" width="1.73046875" bestFit="1" customWidth="1"/>
    <col min="18" max="18" width="6.53125" bestFit="1" customWidth="1"/>
    <col min="19" max="19" width="3.265625" bestFit="1" customWidth="1"/>
    <col min="22" max="22" width="4.265625" bestFit="1" customWidth="1"/>
  </cols>
  <sheetData>
    <row r="11" spans="2:22" ht="17.25" thickBot="1">
      <c r="B11" s="123" t="s">
        <v>89</v>
      </c>
      <c r="L11" s="123" t="s">
        <v>168</v>
      </c>
      <c r="N11" s="151"/>
      <c r="O11" s="151"/>
      <c r="P11" s="151"/>
      <c r="Q11" s="151"/>
    </row>
    <row r="12" spans="2:22" ht="15" thickTop="1" thickBot="1">
      <c r="B12" s="152" t="s">
        <v>95</v>
      </c>
      <c r="C12" s="152" t="s">
        <v>92</v>
      </c>
      <c r="D12" s="152" t="s">
        <v>96</v>
      </c>
      <c r="E12" s="152" t="s">
        <v>169</v>
      </c>
      <c r="F12" s="152" t="s">
        <v>170</v>
      </c>
      <c r="G12" s="152" t="s">
        <v>99</v>
      </c>
      <c r="J12" s="152" t="s">
        <v>171</v>
      </c>
      <c r="K12" s="152" t="s">
        <v>91</v>
      </c>
      <c r="L12" s="152" t="s">
        <v>90</v>
      </c>
      <c r="M12" s="152" t="s">
        <v>172</v>
      </c>
      <c r="N12" s="152" t="s">
        <v>173</v>
      </c>
      <c r="O12" s="152" t="s">
        <v>174</v>
      </c>
      <c r="P12" s="152">
        <v>2022</v>
      </c>
      <c r="Q12" s="152">
        <v>0</v>
      </c>
      <c r="R12" s="152" t="s">
        <v>59</v>
      </c>
      <c r="S12" s="152" t="s">
        <v>175</v>
      </c>
    </row>
    <row r="13" spans="2:22">
      <c r="B13" s="151" t="s">
        <v>176</v>
      </c>
      <c r="C13" s="151" t="s">
        <v>177</v>
      </c>
      <c r="E13" s="151" t="s">
        <v>18</v>
      </c>
      <c r="F13" t="s">
        <v>17</v>
      </c>
      <c r="G13" t="s">
        <v>104</v>
      </c>
      <c r="J13" s="151" t="str">
        <f>C13</f>
        <v>ElcAgg_Solar</v>
      </c>
      <c r="L13" s="151" t="s">
        <v>102</v>
      </c>
      <c r="M13" s="151">
        <v>1</v>
      </c>
      <c r="N13" s="151">
        <v>8.76</v>
      </c>
      <c r="O13" s="151"/>
      <c r="P13" s="151"/>
      <c r="Q13" s="151"/>
    </row>
    <row r="14" spans="2:22">
      <c r="B14" s="151" t="s">
        <v>176</v>
      </c>
      <c r="C14" s="151" t="s">
        <v>178</v>
      </c>
      <c r="E14" s="151" t="s">
        <v>18</v>
      </c>
      <c r="F14" t="s">
        <v>17</v>
      </c>
      <c r="G14" t="s">
        <v>104</v>
      </c>
      <c r="H14" s="151"/>
      <c r="I14" s="151"/>
      <c r="J14" s="151" t="str">
        <f>C14</f>
        <v>ElcAgg_Wind</v>
      </c>
      <c r="L14" s="151" t="s">
        <v>102</v>
      </c>
      <c r="M14" s="151">
        <v>1</v>
      </c>
      <c r="N14" s="151">
        <v>8.76</v>
      </c>
      <c r="O14" s="151"/>
      <c r="P14" s="151"/>
      <c r="Q14" s="151"/>
    </row>
    <row r="15" spans="2:22">
      <c r="B15" t="s">
        <v>179</v>
      </c>
      <c r="C15" t="s">
        <v>180</v>
      </c>
      <c r="D15" s="151" t="s">
        <v>181</v>
      </c>
      <c r="E15" s="151" t="s">
        <v>18</v>
      </c>
      <c r="F15" t="s">
        <v>17</v>
      </c>
      <c r="G15" s="151"/>
      <c r="H15" s="151"/>
      <c r="I15" s="151"/>
      <c r="J15" s="151" t="str">
        <f>C15</f>
        <v>e_demand</v>
      </c>
      <c r="K15" s="151"/>
      <c r="L15" t="s">
        <v>182</v>
      </c>
      <c r="M15" s="151">
        <v>1</v>
      </c>
      <c r="N15" s="151">
        <v>8.76</v>
      </c>
      <c r="O15" s="151"/>
      <c r="P15" s="151"/>
      <c r="Q15" s="151"/>
      <c r="V15" t="s">
        <v>183</v>
      </c>
    </row>
    <row r="16" spans="2:22">
      <c r="B16" t="s">
        <v>179</v>
      </c>
      <c r="C16" t="s">
        <v>184</v>
      </c>
      <c r="D16" s="151" t="s">
        <v>185</v>
      </c>
      <c r="E16" s="151" t="s">
        <v>18</v>
      </c>
      <c r="F16" t="s">
        <v>17</v>
      </c>
      <c r="G16" s="151"/>
      <c r="H16" s="151"/>
      <c r="I16" s="151"/>
      <c r="J16" s="151" t="str">
        <f>C16</f>
        <v>h2_demand</v>
      </c>
      <c r="K16" s="151" t="s">
        <v>101</v>
      </c>
      <c r="L16" t="s">
        <v>186</v>
      </c>
      <c r="M16" s="151">
        <v>1</v>
      </c>
      <c r="N16" s="151">
        <v>8.76</v>
      </c>
      <c r="O16" s="151"/>
      <c r="P16" s="151"/>
      <c r="Q16" s="151"/>
    </row>
    <row r="17" spans="2:22">
      <c r="B17" t="s">
        <v>179</v>
      </c>
      <c r="C17" t="s">
        <v>187</v>
      </c>
      <c r="D17" t="s">
        <v>188</v>
      </c>
      <c r="E17" s="151" t="s">
        <v>18</v>
      </c>
      <c r="F17" t="s">
        <v>17</v>
      </c>
      <c r="G17" s="151"/>
      <c r="H17" s="151"/>
      <c r="I17" s="151"/>
      <c r="J17" t="str">
        <f>C17</f>
        <v>h_demand</v>
      </c>
      <c r="K17" s="151"/>
      <c r="L17" t="s">
        <v>189</v>
      </c>
      <c r="M17" s="151">
        <v>1</v>
      </c>
      <c r="N17" s="151">
        <v>8.76</v>
      </c>
      <c r="O17" s="151"/>
      <c r="P17" s="151"/>
      <c r="Q17" s="151"/>
    </row>
    <row r="18" spans="2:22">
      <c r="B18" t="s">
        <v>190</v>
      </c>
      <c r="C18" t="s">
        <v>191</v>
      </c>
      <c r="D18" s="151"/>
      <c r="E18" s="151" t="s">
        <v>18</v>
      </c>
      <c r="F18" t="s">
        <v>17</v>
      </c>
      <c r="G18" t="s">
        <v>104</v>
      </c>
      <c r="H18" s="151"/>
      <c r="I18" s="151"/>
      <c r="J18" s="151" t="str">
        <f>C20</f>
        <v>fossil_supply</v>
      </c>
      <c r="K18" s="151"/>
      <c r="L18" s="151" t="s">
        <v>49</v>
      </c>
      <c r="M18" s="151"/>
      <c r="N18" s="151"/>
      <c r="O18" s="151">
        <f t="shared" ref="O18:O22" si="0">V18*3.6</f>
        <v>7.2</v>
      </c>
      <c r="P18" s="151"/>
      <c r="V18" s="151">
        <v>2</v>
      </c>
    </row>
    <row r="19" spans="2:22">
      <c r="B19" t="s">
        <v>192</v>
      </c>
      <c r="C19" t="s">
        <v>193</v>
      </c>
      <c r="D19" s="151"/>
      <c r="E19" s="151" t="s">
        <v>18</v>
      </c>
      <c r="F19" t="s">
        <v>17</v>
      </c>
      <c r="G19" t="s">
        <v>104</v>
      </c>
      <c r="H19" s="151"/>
      <c r="I19" s="151"/>
      <c r="K19" s="151"/>
      <c r="L19" s="151" t="s">
        <v>13</v>
      </c>
      <c r="M19" s="151"/>
      <c r="N19" s="151"/>
      <c r="O19" s="151">
        <f t="shared" si="0"/>
        <v>18</v>
      </c>
      <c r="P19" s="151"/>
      <c r="V19" s="151">
        <v>5</v>
      </c>
    </row>
    <row r="20" spans="2:22">
      <c r="B20" s="151" t="s">
        <v>190</v>
      </c>
      <c r="C20" s="151" t="s">
        <v>194</v>
      </c>
      <c r="D20" s="151" t="s">
        <v>195</v>
      </c>
      <c r="E20" s="151" t="s">
        <v>18</v>
      </c>
      <c r="F20" t="s">
        <v>17</v>
      </c>
      <c r="G20" s="151"/>
      <c r="H20" s="151"/>
      <c r="I20" s="151"/>
      <c r="K20" s="151"/>
      <c r="L20" s="151" t="s">
        <v>196</v>
      </c>
      <c r="M20" s="151"/>
      <c r="N20" s="151"/>
      <c r="O20" s="151">
        <f>V20*3.6</f>
        <v>36</v>
      </c>
      <c r="P20" s="151"/>
      <c r="V20">
        <v>10</v>
      </c>
    </row>
    <row r="21" spans="2:22">
      <c r="B21" s="151" t="s">
        <v>190</v>
      </c>
      <c r="C21" s="151" t="s">
        <v>197</v>
      </c>
      <c r="D21" s="151" t="s">
        <v>198</v>
      </c>
      <c r="E21" s="151" t="s">
        <v>18</v>
      </c>
      <c r="F21" t="s">
        <v>17</v>
      </c>
      <c r="G21" s="151"/>
      <c r="H21" s="151"/>
      <c r="I21" s="151"/>
      <c r="J21" s="151" t="str">
        <f>C21</f>
        <v>renewable</v>
      </c>
      <c r="K21" s="151"/>
      <c r="L21" s="151" t="s">
        <v>199</v>
      </c>
      <c r="M21" s="151"/>
      <c r="N21" s="151"/>
      <c r="O21" s="151">
        <f t="shared" si="0"/>
        <v>0.36000000000000004</v>
      </c>
      <c r="P21" s="151"/>
      <c r="V21">
        <v>0.1</v>
      </c>
    </row>
    <row r="22" spans="2:22">
      <c r="B22" s="151" t="s">
        <v>190</v>
      </c>
      <c r="C22" s="151" t="s">
        <v>200</v>
      </c>
      <c r="D22" s="151" t="s">
        <v>201</v>
      </c>
      <c r="E22" s="151" t="s">
        <v>18</v>
      </c>
      <c r="F22" t="s">
        <v>17</v>
      </c>
      <c r="G22" s="151"/>
      <c r="H22" s="151"/>
      <c r="I22" s="151"/>
      <c r="K22" s="151"/>
      <c r="L22" s="151" t="s">
        <v>202</v>
      </c>
      <c r="M22" s="151"/>
      <c r="N22" s="151"/>
      <c r="O22" s="151">
        <f t="shared" si="0"/>
        <v>0.36000000000000004</v>
      </c>
      <c r="P22" s="151"/>
      <c r="V22">
        <v>0.1</v>
      </c>
    </row>
    <row r="23" spans="2:22">
      <c r="B23" s="151" t="s">
        <v>190</v>
      </c>
      <c r="C23" s="151" t="s">
        <v>203</v>
      </c>
      <c r="D23" s="151" t="s">
        <v>204</v>
      </c>
      <c r="E23" s="151" t="s">
        <v>18</v>
      </c>
      <c r="F23" t="s">
        <v>17</v>
      </c>
      <c r="G23" s="151"/>
      <c r="H23" s="151"/>
      <c r="I23" s="151"/>
      <c r="L23" s="151" t="s">
        <v>51</v>
      </c>
      <c r="M23" s="151"/>
      <c r="N23" s="151"/>
      <c r="O23" s="151">
        <f>V23*3.6</f>
        <v>25.2</v>
      </c>
      <c r="P23" s="151"/>
      <c r="V23" s="151">
        <v>7</v>
      </c>
    </row>
    <row r="24" spans="2:22">
      <c r="B24" s="151" t="s">
        <v>190</v>
      </c>
      <c r="C24" t="s">
        <v>205</v>
      </c>
      <c r="D24" t="s">
        <v>206</v>
      </c>
      <c r="E24" s="151" t="s">
        <v>18</v>
      </c>
      <c r="F24" t="s">
        <v>17</v>
      </c>
      <c r="G24" s="151"/>
      <c r="H24" s="151"/>
      <c r="I24" s="151"/>
      <c r="J24" s="151" t="str">
        <f>C22</f>
        <v>nuclear_fuel</v>
      </c>
      <c r="K24" s="151"/>
      <c r="L24" s="151" t="s">
        <v>50</v>
      </c>
      <c r="M24" s="151"/>
      <c r="N24" s="151"/>
      <c r="O24" s="151">
        <f>V24*3.6</f>
        <v>0.36000000000000004</v>
      </c>
      <c r="P24" s="151"/>
      <c r="V24">
        <v>0.1</v>
      </c>
    </row>
    <row r="25" spans="2:22">
      <c r="B25" s="151" t="s">
        <v>190</v>
      </c>
      <c r="C25" t="s">
        <v>207</v>
      </c>
      <c r="D25" t="s">
        <v>208</v>
      </c>
      <c r="E25" s="151" t="s">
        <v>18</v>
      </c>
      <c r="F25" t="s">
        <v>17</v>
      </c>
      <c r="G25" s="151"/>
      <c r="H25" s="151"/>
      <c r="I25" s="151"/>
      <c r="J25" s="151" t="str">
        <f>C23</f>
        <v>solar_potential</v>
      </c>
      <c r="K25" s="151"/>
      <c r="L25" s="151" t="s">
        <v>209</v>
      </c>
      <c r="M25" s="151"/>
      <c r="N25" s="151"/>
      <c r="O25" s="151">
        <f>V25*3.6</f>
        <v>0.36000000000000004</v>
      </c>
      <c r="P25" s="151"/>
      <c r="V25">
        <v>0.1</v>
      </c>
    </row>
    <row r="26" spans="2:22">
      <c r="B26" s="151"/>
      <c r="C26" s="151"/>
      <c r="D26" s="151"/>
      <c r="E26" s="151"/>
      <c r="F26" s="151"/>
      <c r="G26" s="151"/>
      <c r="H26" s="151"/>
      <c r="I26" s="151"/>
      <c r="J26" s="151" t="str">
        <f>C24</f>
        <v>winon_potential</v>
      </c>
      <c r="K26" s="151"/>
      <c r="L26" s="151" t="s">
        <v>210</v>
      </c>
      <c r="M26" s="151"/>
      <c r="N26" s="151"/>
      <c r="O26" s="151">
        <f>V26*3.6</f>
        <v>0.36000000000000004</v>
      </c>
      <c r="P26" s="151"/>
      <c r="V26">
        <v>0.1</v>
      </c>
    </row>
    <row r="27" spans="2:22">
      <c r="B27" s="151"/>
      <c r="C27" s="151"/>
      <c r="D27" s="151"/>
      <c r="E27" s="151"/>
      <c r="F27" s="151"/>
      <c r="G27" s="151"/>
      <c r="H27" s="151"/>
      <c r="I27" s="151"/>
      <c r="J27" s="151" t="str">
        <f>C25</f>
        <v>winoff_potential</v>
      </c>
      <c r="K27" s="151"/>
      <c r="L27" s="151" t="s">
        <v>211</v>
      </c>
      <c r="M27" s="151"/>
      <c r="N27" s="151"/>
      <c r="O27" s="151">
        <f t="shared" ref="O27" si="1">V27*3.6</f>
        <v>0.36000000000000004</v>
      </c>
      <c r="P27" s="151"/>
      <c r="V27">
        <v>0.1</v>
      </c>
    </row>
    <row r="28" spans="2:22">
      <c r="J28" t="str">
        <f>C18</f>
        <v>Trd_electricity import</v>
      </c>
      <c r="L28" t="str">
        <f>$V$29</f>
        <v>ELC</v>
      </c>
      <c r="P28">
        <v>0</v>
      </c>
      <c r="Q28">
        <v>3</v>
      </c>
      <c r="R28">
        <v>1000</v>
      </c>
      <c r="S28">
        <v>50</v>
      </c>
    </row>
    <row r="29" spans="2:22">
      <c r="J29" t="str">
        <f>C19</f>
        <v>Trd_electricity export</v>
      </c>
      <c r="K29" t="str">
        <f>$V$29</f>
        <v>ELC</v>
      </c>
      <c r="P29">
        <v>0</v>
      </c>
      <c r="Q29">
        <v>3</v>
      </c>
      <c r="R29">
        <v>1000</v>
      </c>
      <c r="S29">
        <v>50</v>
      </c>
      <c r="V29" s="153" t="s">
        <v>14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conventional</vt:lpstr>
      <vt:lpstr>H2 prod</vt:lpstr>
      <vt:lpstr>EV Battery</vt:lpstr>
      <vt:lpstr>ELC_Storage</vt:lpstr>
      <vt:lpstr>misc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Amit Kanudia</cp:lastModifiedBy>
  <dcterms:created xsi:type="dcterms:W3CDTF">2026-08-29T13:03:14Z</dcterms:created>
  <dcterms:modified xsi:type="dcterms:W3CDTF">2026-08-29T13:03:15Z</dcterms:modified>
</cp:coreProperties>
</file>