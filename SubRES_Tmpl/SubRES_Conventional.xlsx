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S_CEA_8C\SubRES_Tmpl\"/>
    </mc:Choice>
  </mc:AlternateContent>
  <xr:revisionPtr revIDLastSave="0" documentId="8_{351B02EA-6B79-4099-81A9-B84A0B7060B1}" xr6:coauthVersionLast="47" xr6:coauthVersionMax="47" xr10:uidLastSave="{00000000-0000-0000-0000-000000000000}"/>
  <bookViews>
    <workbookView xWindow="3308" yWindow="3308" windowWidth="21600" windowHeight="12772" activeTab="3" xr2:uid="{34306113-F2EF-4BDE-9C38-1E498EE01DFB}"/>
  </bookViews>
  <sheets>
    <sheet name="conventional" sheetId="2" r:id="rId1"/>
    <sheet name="H2 prod" sheetId="3" r:id="rId2"/>
    <sheet name="EV Battery" sheetId="4" r:id="rId3"/>
    <sheet name="misc" sheetId="5" r:id="rId4"/>
  </sheets>
  <externalReferences>
    <externalReference r:id="rId5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5" l="1"/>
  <c r="J29" i="5"/>
  <c r="L28" i="5"/>
  <c r="J28" i="5"/>
  <c r="O27" i="5"/>
  <c r="J27" i="5"/>
  <c r="O26" i="5"/>
  <c r="J26" i="5"/>
  <c r="O25" i="5"/>
  <c r="J25" i="5"/>
  <c r="O24" i="5"/>
  <c r="J24" i="5"/>
  <c r="O23" i="5"/>
  <c r="O22" i="5"/>
  <c r="O21" i="5"/>
  <c r="J21" i="5"/>
  <c r="O20" i="5"/>
  <c r="O19" i="5"/>
  <c r="O18" i="5"/>
  <c r="J18" i="5"/>
  <c r="J17" i="5"/>
  <c r="J16" i="5"/>
  <c r="J15" i="5"/>
  <c r="J14" i="5"/>
  <c r="J13" i="5"/>
  <c r="G8" i="4"/>
  <c r="S5" i="4"/>
  <c r="L5" i="4"/>
  <c r="V29" i="3"/>
  <c r="U29" i="3"/>
  <c r="T29" i="3"/>
  <c r="N29" i="3"/>
  <c r="L29" i="3"/>
  <c r="J29" i="3"/>
  <c r="H29" i="3"/>
  <c r="G29" i="3"/>
  <c r="F29" i="3"/>
  <c r="D29" i="3"/>
  <c r="C29" i="3"/>
  <c r="V28" i="3"/>
  <c r="U28" i="3"/>
  <c r="T28" i="3"/>
  <c r="N28" i="3"/>
  <c r="L28" i="3"/>
  <c r="J28" i="3"/>
  <c r="H28" i="3"/>
  <c r="G28" i="3"/>
  <c r="F28" i="3"/>
  <c r="D28" i="3"/>
  <c r="C28" i="3"/>
  <c r="N27" i="3"/>
  <c r="L27" i="3"/>
  <c r="K27" i="3"/>
  <c r="I27" i="3"/>
  <c r="H27" i="3"/>
  <c r="F27" i="3"/>
  <c r="E27" i="3"/>
  <c r="D27" i="3"/>
  <c r="C27" i="3"/>
  <c r="H3" i="3"/>
  <c r="G3" i="3"/>
  <c r="G27" i="3" s="1"/>
  <c r="F3" i="3"/>
  <c r="K2" i="3"/>
  <c r="M2" i="3" s="1"/>
  <c r="M27" i="3" s="1"/>
</calcChain>
</file>

<file path=xl/sharedStrings.xml><?xml version="1.0" encoding="utf-8"?>
<sst xmlns="http://schemas.openxmlformats.org/spreadsheetml/2006/main" count="837" uniqueCount="214">
  <si>
    <t>~fi_t: UP</t>
  </si>
  <si>
    <t>~fi_process</t>
  </si>
  <si>
    <t>process</t>
  </si>
  <si>
    <t>comm-in</t>
  </si>
  <si>
    <t>comm-out</t>
  </si>
  <si>
    <t>attribute</t>
  </si>
  <si>
    <t>other_indexes</t>
  </si>
  <si>
    <t>time_slice</t>
  </si>
  <si>
    <t>set</t>
  </si>
  <si>
    <t>description</t>
  </si>
  <si>
    <t>capacity_unit</t>
  </si>
  <si>
    <t>activity_unit</t>
  </si>
  <si>
    <t>timeslicelevel</t>
  </si>
  <si>
    <t>vintage</t>
  </si>
  <si>
    <t>pcg</t>
  </si>
  <si>
    <t>en_gas_ccgt</t>
  </si>
  <si>
    <t>gas</t>
  </si>
  <si>
    <t>ELC</t>
  </si>
  <si>
    <t>ncap_cost</t>
  </si>
  <si>
    <t>ele</t>
  </si>
  <si>
    <t>Natural gas combined cycle. IEA GEC</t>
  </si>
  <si>
    <t>GW</t>
  </si>
  <si>
    <t>TWh</t>
  </si>
  <si>
    <t>daynite</t>
  </si>
  <si>
    <t>yes</t>
  </si>
  <si>
    <t>ncap_fom</t>
  </si>
  <si>
    <t>en_gas_turbine</t>
  </si>
  <si>
    <t>Natural gas open-cycle combustion turbine. IEA GEC</t>
  </si>
  <si>
    <t>act_cost</t>
  </si>
  <si>
    <t>CHP</t>
  </si>
  <si>
    <t>en_chp_gas_cc_ext</t>
  </si>
  <si>
    <t>Gas combined cycle CHP, steam extraction (large). DEA el&amp;dh 05</t>
  </si>
  <si>
    <t>efficiency</t>
  </si>
  <si>
    <t>en_gas_ccs</t>
  </si>
  <si>
    <t>Natural gas CCGT with post-combustion CCS. IEA GEC</t>
  </si>
  <si>
    <t>ncap_tlife</t>
  </si>
  <si>
    <t>en_coal_subcritical</t>
  </si>
  <si>
    <t>Coal subcritical steam cycle. IEA GEC</t>
  </si>
  <si>
    <t>ncap_iled</t>
  </si>
  <si>
    <t>en_coal_supercritical</t>
  </si>
  <si>
    <t>Coal supercritical steam cycle. IEA GEC</t>
  </si>
  <si>
    <t>en_coal_ultrasupercritical</t>
  </si>
  <si>
    <t>Coal ultra-supercritical steam cycle. IEA GEC</t>
  </si>
  <si>
    <t>en_coal_igcc</t>
  </si>
  <si>
    <t>Coal integrated gasification combined cycle. IEA GEC</t>
  </si>
  <si>
    <t>en_nuclear</t>
  </si>
  <si>
    <t>Nuclear large reactor (Gen III/III+). IEA GEC</t>
  </si>
  <si>
    <t>en_nuclear_smr</t>
  </si>
  <si>
    <t>Nuclear small modular reactor. ATB</t>
  </si>
  <si>
    <t>en_biomass</t>
  </si>
  <si>
    <t>Biomass dedicated large-scale. IEA GEC</t>
  </si>
  <si>
    <t>en_chp_biomass_chips_ext</t>
  </si>
  <si>
    <t>Wood-chips CHP, steam extraction (large). DEA el&amp;dh 09a</t>
  </si>
  <si>
    <t>HET</t>
  </si>
  <si>
    <t>HPL</t>
  </si>
  <si>
    <t>en_hop_gas_boiler</t>
  </si>
  <si>
    <t>Natural gas DH boiler (medium). DEA el&amp;dh 44. Heat capacity basis</t>
  </si>
  <si>
    <t>season</t>
  </si>
  <si>
    <t>en_hop_biomass_chips</t>
  </si>
  <si>
    <t>Wood-chips DH boiler (large). DEA el&amp;dh 09a. Heat capacity basis</t>
  </si>
  <si>
    <t>en_hop_electric_boiler</t>
  </si>
  <si>
    <t>Electric DH boiler (large). DEA el&amp;dh 41. Heat capacity basis; region-uniform</t>
  </si>
  <si>
    <t>en_hp_air_10mw</t>
  </si>
  <si>
    <t>Utility heat pump, air source, 10 MW, 70/35C DH. DEA el&amp;dh 40. heat_efficiency = COP; component split preserved</t>
  </si>
  <si>
    <t>STG</t>
  </si>
  <si>
    <t>en_battery_4h</t>
  </si>
  <si>
    <t>Utility-scale Li-ion battery, 4-hour duration. ATB</t>
  </si>
  <si>
    <t>NRGI</t>
  </si>
  <si>
    <t>en_battery_8h</t>
  </si>
  <si>
    <t>Utility-scale Li-ion battery, 8-hour duration. ATB</t>
  </si>
  <si>
    <t>ncap_chpr</t>
  </si>
  <si>
    <t>en_chp_gas_cc_ext_ccs</t>
  </si>
  <si>
    <t>Gas combined cycle CHP with post-combustion CCS. Synthetic (DEA 05 + GEC gas CCS)</t>
  </si>
  <si>
    <t>ncap_ceh</t>
  </si>
  <si>
    <t>ELC,CO2Cap</t>
  </si>
  <si>
    <t>coal</t>
  </si>
  <si>
    <t>nuclear</t>
  </si>
  <si>
    <t>bioenergy</t>
  </si>
  <si>
    <t>ncap_af</t>
  </si>
  <si>
    <t>stg_eff</t>
  </si>
  <si>
    <t>ncap_afc</t>
  </si>
  <si>
    <t>ACT</t>
  </si>
  <si>
    <t>DAYNITE</t>
  </si>
  <si>
    <t>NRG</t>
  </si>
  <si>
    <t>prc_capact</t>
  </si>
  <si>
    <t>ncap_pkcnt</t>
  </si>
  <si>
    <t>ANNUAL</t>
  </si>
  <si>
    <t>HET,CO2Cap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</si>
  <si>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</si>
  <si>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</si>
  <si>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</si>
  <si>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</si>
  <si>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</si>
  <si>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invcost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</si>
  <si>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</si>
  <si>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</si>
  <si>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</si>
  <si>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</si>
  <si>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</si>
  <si>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</si>
  <si>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</si>
  <si>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</si>
  <si>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</si>
  <si>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</si>
  <si>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</si>
  <si>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</si>
  <si>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</si>
  <si>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</si>
  <si>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</si>
  <si>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</si>
  <si>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</si>
  <si>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</si>
  <si>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</si>
  <si>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</si>
  <si>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</si>
  <si>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</si>
  <si>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</si>
  <si>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</si>
  <si>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</si>
  <si>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</si>
  <si>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</si>
  <si>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</si>
  <si>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</si>
  <si>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~FI_Process</t>
  </si>
  <si>
    <t>Comm-OUT</t>
  </si>
  <si>
    <t>Comm-IN</t>
  </si>
  <si>
    <t>TechName</t>
  </si>
  <si>
    <t>LIFE</t>
  </si>
  <si>
    <t>Cap2Act</t>
  </si>
  <si>
    <t>Sets</t>
  </si>
  <si>
    <t>TechDesc</t>
  </si>
  <si>
    <t>Tcap</t>
  </si>
  <si>
    <t>Tact</t>
  </si>
  <si>
    <t>Tslvl</t>
  </si>
  <si>
    <t>Vintage</t>
  </si>
  <si>
    <t>hydrogen</t>
  </si>
  <si>
    <t>ELC,ELCCurt</t>
  </si>
  <si>
    <t>H2prd_Elc_PEM</t>
  </si>
  <si>
    <t>Yes</t>
  </si>
  <si>
    <t>H2prd_Elc_ALK</t>
  </si>
  <si>
    <t>~FI_T: FX</t>
  </si>
  <si>
    <t>Comm-OUT-A</t>
  </si>
  <si>
    <t>CommGrp</t>
  </si>
  <si>
    <t>commodity</t>
  </si>
  <si>
    <t>Attribute</t>
  </si>
  <si>
    <t>S_EFF</t>
  </si>
  <si>
    <t>AFC~DAYNITE~UP</t>
  </si>
  <si>
    <t>CAP2ACT</t>
  </si>
  <si>
    <t>Peak</t>
  </si>
  <si>
    <t>PrimaryCG</t>
  </si>
  <si>
    <t>ev_battery</t>
  </si>
  <si>
    <t>Car battery - 6kw/60Kwh - with V2G (optional)</t>
  </si>
  <si>
    <t>elc_roadtransport</t>
  </si>
  <si>
    <t>AuxStoIN</t>
  </si>
  <si>
    <t>ELC_BatIn</t>
  </si>
  <si>
    <t>FLO_FUNC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</si>
  <si>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</si>
  <si>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</si>
  <si>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</si>
  <si>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</si>
  <si>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</si>
  <si>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</si>
  <si>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</si>
  <si>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</si>
  <si>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</si>
  <si>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ENV</t>
  </si>
  <si>
    <t>Aux commodity for storage charging</t>
  </si>
  <si>
    <t>PJ</t>
  </si>
  <si>
    <t>AuxStoOUT</t>
  </si>
  <si>
    <t>Aux commodity for storage discharging</t>
  </si>
  <si>
    <t>~FI_T: USD25~FX~ACT_BND</t>
  </si>
  <si>
    <t>TAct</t>
  </si>
  <si>
    <t>TCap</t>
  </si>
  <si>
    <t>Process</t>
  </si>
  <si>
    <t>EFF</t>
  </si>
  <si>
    <t>Cap2ACT</t>
  </si>
  <si>
    <t>flo_cost</t>
  </si>
  <si>
    <t>life</t>
  </si>
  <si>
    <t>ELE</t>
  </si>
  <si>
    <t>ElcAgg_Solar</t>
  </si>
  <si>
    <t>ElcAgg_Wind</t>
  </si>
  <si>
    <t>DMD</t>
  </si>
  <si>
    <t>e_demand</t>
  </si>
  <si>
    <t>Demand sectors</t>
  </si>
  <si>
    <t>elc_buildings,elc_industry,elc_transport</t>
  </si>
  <si>
    <t>$/GJ</t>
  </si>
  <si>
    <t>h2_demand</t>
  </si>
  <si>
    <t>Hydrogen demand</t>
  </si>
  <si>
    <t>hydrogen_allsect</t>
  </si>
  <si>
    <t>h_demand</t>
  </si>
  <si>
    <t>Heat demand</t>
  </si>
  <si>
    <t>het_buildings,het_industry</t>
  </si>
  <si>
    <t>IMP</t>
  </si>
  <si>
    <t>Trd_electricity import</t>
  </si>
  <si>
    <t>EXP</t>
  </si>
  <si>
    <t>Trd_electricity export</t>
  </si>
  <si>
    <t>fossil_supply</t>
  </si>
  <si>
    <t>generic fuel supply</t>
  </si>
  <si>
    <t>oil</t>
  </si>
  <si>
    <t>renewable</t>
  </si>
  <si>
    <t>hydro and geothermal</t>
  </si>
  <si>
    <t>geothermal</t>
  </si>
  <si>
    <t>nuclear_fuel</t>
  </si>
  <si>
    <t>Nuclear fuel supply</t>
  </si>
  <si>
    <t>hydro</t>
  </si>
  <si>
    <t>solar_potential</t>
  </si>
  <si>
    <t>solar potential</t>
  </si>
  <si>
    <t>winon_potential</t>
  </si>
  <si>
    <t>wind onshore potential</t>
  </si>
  <si>
    <t>winoff_potential</t>
  </si>
  <si>
    <t>wnid offshore potential</t>
  </si>
  <si>
    <t>solar</t>
  </si>
  <si>
    <t>windon</t>
  </si>
  <si>
    <t>windoff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</si>
</sst>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\Te\x\t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游ゴシック"/>
    </font>
    <font>
      <sz val="10"/>
      <name val="STKFLOW - 14 of 38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3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11" fillId="0" borderId="0"/>
    <xf numFmtId="0" fontId="13" fillId="0" borderId="0"/>
  </cellStyleXfs>
  <cellXfs count="140">
    <xf numFmtId="0" fontId="0" fillId="0" borderId="0" xfId="0"/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6" fillId="4" borderId="0" xfId="6" applyBorder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left" vertical="center" wrapText="1"/>
    </xf>
    <xf numFmtId="0" fontId="8" fillId="5" borderId="7" xfId="0" applyFont="1" applyFill="1" applyBorder="1" applyAlignment="1">
      <alignment horizontal="left" vertical="center" wrapText="1"/>
    </xf>
    <xf numFmtId="0" fontId="8" fillId="5" borderId="8" xfId="0" applyFont="1" applyFill="1" applyBorder="1" applyAlignment="1">
      <alignment horizontal="left" vertical="center" wrapText="1"/>
    </xf>
    <xf numFmtId="0" fontId="8" fillId="5" borderId="9" xfId="0" applyFont="1" applyFill="1" applyBorder="1" applyAlignment="1">
      <alignment horizontal="left" vertical="center" wrapText="1"/>
    </xf>
    <xf numFmtId="0" fontId="8" fillId="5" borderId="10" xfId="0" applyFont="1" applyFill="1" applyBorder="1" applyAlignment="1">
      <alignment horizontal="left" vertical="center" wrapText="1"/>
    </xf>
    <xf numFmtId="0" fontId="8" fillId="5" borderId="11" xfId="0" applyFont="1" applyFill="1" applyBorder="1" applyAlignment="1">
      <alignment horizontal="center" vertical="center"/>
    </xf>
    <xf numFmtId="0" fontId="9" fillId="6" borderId="0" xfId="0" applyFont="1" applyFill="1" applyAlignment="1">
      <alignment vertical="center"/>
    </xf>
    <xf numFmtId="164" fontId="9" fillId="6" borderId="7" xfId="0" applyNumberFormat="1" applyFont="1" applyFill="1" applyBorder="1" applyAlignment="1">
      <alignment vertical="center"/>
    </xf>
    <xf numFmtId="164" fontId="9" fillId="6" borderId="0" xfId="0" applyNumberFormat="1" applyFont="1" applyFill="1" applyAlignment="1">
      <alignment vertical="center"/>
    </xf>
    <xf numFmtId="164" fontId="9" fillId="6" borderId="8" xfId="0" applyNumberFormat="1" applyFont="1" applyFill="1" applyBorder="1" applyAlignment="1">
      <alignment vertical="center"/>
    </xf>
    <xf numFmtId="2" fontId="9" fillId="6" borderId="0" xfId="0" applyNumberFormat="1" applyFont="1" applyFill="1" applyAlignment="1">
      <alignment vertical="center"/>
    </xf>
    <xf numFmtId="2" fontId="9" fillId="6" borderId="9" xfId="0" applyNumberFormat="1" applyFont="1" applyFill="1" applyBorder="1" applyAlignment="1">
      <alignment vertical="center"/>
    </xf>
    <xf numFmtId="2" fontId="9" fillId="6" borderId="10" xfId="0" applyNumberFormat="1" applyFont="1" applyFill="1" applyBorder="1" applyAlignment="1">
      <alignment vertical="center"/>
    </xf>
    <xf numFmtId="0" fontId="9" fillId="6" borderId="11" xfId="0" applyFont="1" applyFill="1" applyBorder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0" fontId="9" fillId="7" borderId="0" xfId="0" applyFont="1" applyFill="1" applyAlignment="1">
      <alignment vertical="center"/>
    </xf>
    <xf numFmtId="164" fontId="9" fillId="7" borderId="7" xfId="0" applyNumberFormat="1" applyFont="1" applyFill="1" applyBorder="1" applyAlignment="1">
      <alignment vertical="center"/>
    </xf>
    <xf numFmtId="164" fontId="9" fillId="7" borderId="0" xfId="0" applyNumberFormat="1" applyFont="1" applyFill="1" applyAlignment="1">
      <alignment vertical="center"/>
    </xf>
    <xf numFmtId="164" fontId="9" fillId="7" borderId="8" xfId="0" applyNumberFormat="1" applyFont="1" applyFill="1" applyBorder="1" applyAlignment="1">
      <alignment vertical="center"/>
    </xf>
    <xf numFmtId="2" fontId="9" fillId="7" borderId="0" xfId="0" applyNumberFormat="1" applyFont="1" applyFill="1" applyAlignment="1">
      <alignment vertical="center"/>
    </xf>
    <xf numFmtId="2" fontId="9" fillId="7" borderId="9" xfId="0" applyNumberFormat="1" applyFont="1" applyFill="1" applyBorder="1" applyAlignment="1">
      <alignment vertical="center"/>
    </xf>
    <xf numFmtId="2" fontId="9" fillId="7" borderId="10" xfId="0" applyNumberFormat="1" applyFont="1" applyFill="1" applyBorder="1" applyAlignment="1">
      <alignment vertical="center"/>
    </xf>
    <xf numFmtId="0" fontId="9" fillId="7" borderId="11" xfId="0" applyFont="1" applyFill="1" applyBorder="1" applyAlignment="1">
      <alignment horizontal="left" vertical="center"/>
    </xf>
    <xf numFmtId="0" fontId="9" fillId="7" borderId="0" xfId="0" applyFont="1" applyFill="1" applyAlignment="1">
      <alignment horizontal="left" vertical="center"/>
    </xf>
    <xf numFmtId="1" fontId="9" fillId="7" borderId="0" xfId="0" applyNumberFormat="1" applyFont="1" applyFill="1" applyAlignment="1">
      <alignment vertical="center"/>
    </xf>
    <xf numFmtId="1" fontId="9" fillId="6" borderId="0" xfId="0" applyNumberFormat="1" applyFont="1" applyFill="1" applyAlignment="1">
      <alignment vertical="center"/>
    </xf>
    <xf numFmtId="0" fontId="10" fillId="8" borderId="0" xfId="0" applyFont="1" applyFill="1" applyAlignment="1">
      <alignment vertical="center"/>
    </xf>
    <xf numFmtId="164" fontId="10" fillId="8" borderId="7" xfId="0" applyNumberFormat="1" applyFont="1" applyFill="1" applyBorder="1" applyAlignment="1">
      <alignment vertical="center"/>
    </xf>
    <xf numFmtId="164" fontId="10" fillId="8" borderId="0" xfId="0" applyNumberFormat="1" applyFont="1" applyFill="1" applyAlignment="1">
      <alignment vertical="center"/>
    </xf>
    <xf numFmtId="164" fontId="10" fillId="8" borderId="8" xfId="0" applyNumberFormat="1" applyFont="1" applyFill="1" applyBorder="1" applyAlignment="1">
      <alignment vertical="center"/>
    </xf>
    <xf numFmtId="165" fontId="10" fillId="8" borderId="7" xfId="0" applyNumberFormat="1" applyFont="1" applyFill="1" applyBorder="1" applyAlignment="1">
      <alignment vertical="center"/>
    </xf>
    <xf numFmtId="165" fontId="10" fillId="8" borderId="0" xfId="0" applyNumberFormat="1" applyFont="1" applyFill="1" applyAlignment="1">
      <alignment vertical="center"/>
    </xf>
    <xf numFmtId="165" fontId="10" fillId="8" borderId="9" xfId="0" applyNumberFormat="1" applyFont="1" applyFill="1" applyBorder="1" applyAlignment="1">
      <alignment vertical="center"/>
    </xf>
    <xf numFmtId="165" fontId="10" fillId="8" borderId="10" xfId="0" applyNumberFormat="1" applyFont="1" applyFill="1" applyBorder="1" applyAlignment="1">
      <alignment vertical="center"/>
    </xf>
    <xf numFmtId="0" fontId="10" fillId="8" borderId="11" xfId="0" applyFont="1" applyFill="1" applyBorder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164" fontId="9" fillId="9" borderId="7" xfId="0" applyNumberFormat="1" applyFont="1" applyFill="1" applyBorder="1" applyAlignment="1">
      <alignment vertical="center"/>
    </xf>
    <xf numFmtId="164" fontId="9" fillId="9" borderId="0" xfId="0" applyNumberFormat="1" applyFont="1" applyFill="1" applyAlignment="1">
      <alignment vertical="center"/>
    </xf>
    <xf numFmtId="164" fontId="9" fillId="9" borderId="8" xfId="0" applyNumberFormat="1" applyFont="1" applyFill="1" applyBorder="1" applyAlignment="1">
      <alignment vertical="center"/>
    </xf>
    <xf numFmtId="165" fontId="9" fillId="9" borderId="7" xfId="0" applyNumberFormat="1" applyFont="1" applyFill="1" applyBorder="1" applyAlignment="1">
      <alignment vertical="center"/>
    </xf>
    <xf numFmtId="165" fontId="9" fillId="9" borderId="0" xfId="0" applyNumberFormat="1" applyFont="1" applyFill="1" applyAlignment="1">
      <alignment vertical="center"/>
    </xf>
    <xf numFmtId="165" fontId="9" fillId="9" borderId="9" xfId="0" applyNumberFormat="1" applyFont="1" applyFill="1" applyBorder="1" applyAlignment="1">
      <alignment vertical="center"/>
    </xf>
    <xf numFmtId="165" fontId="9" fillId="9" borderId="10" xfId="0" applyNumberFormat="1" applyFont="1" applyFill="1" applyBorder="1" applyAlignment="1">
      <alignment vertical="center"/>
    </xf>
    <xf numFmtId="0" fontId="9" fillId="9" borderId="11" xfId="0" applyFont="1" applyFill="1" applyBorder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164" fontId="9" fillId="10" borderId="7" xfId="0" applyNumberFormat="1" applyFont="1" applyFill="1" applyBorder="1" applyAlignment="1">
      <alignment vertical="center"/>
    </xf>
    <xf numFmtId="164" fontId="9" fillId="10" borderId="0" xfId="0" applyNumberFormat="1" applyFont="1" applyFill="1" applyAlignment="1">
      <alignment vertical="center"/>
    </xf>
    <xf numFmtId="164" fontId="9" fillId="10" borderId="8" xfId="0" applyNumberFormat="1" applyFont="1" applyFill="1" applyBorder="1" applyAlignment="1">
      <alignment vertical="center"/>
    </xf>
    <xf numFmtId="165" fontId="9" fillId="10" borderId="7" xfId="0" applyNumberFormat="1" applyFont="1" applyFill="1" applyBorder="1" applyAlignment="1">
      <alignment vertical="center"/>
    </xf>
    <xf numFmtId="165" fontId="9" fillId="10" borderId="0" xfId="0" applyNumberFormat="1" applyFont="1" applyFill="1" applyAlignment="1">
      <alignment vertical="center"/>
    </xf>
    <xf numFmtId="165" fontId="9" fillId="10" borderId="9" xfId="0" applyNumberFormat="1" applyFont="1" applyFill="1" applyBorder="1" applyAlignment="1">
      <alignment vertical="center"/>
    </xf>
    <xf numFmtId="165" fontId="9" fillId="10" borderId="10" xfId="0" applyNumberFormat="1" applyFont="1" applyFill="1" applyBorder="1" applyAlignment="1">
      <alignment vertical="center"/>
    </xf>
    <xf numFmtId="0" fontId="9" fillId="10" borderId="11" xfId="0" applyFont="1" applyFill="1" applyBorder="1" applyAlignment="1">
      <alignment horizontal="left" vertical="center"/>
    </xf>
    <xf numFmtId="0" fontId="9" fillId="10" borderId="0" xfId="0" applyFont="1" applyFill="1" applyAlignment="1">
      <alignment horizontal="left" vertical="center"/>
    </xf>
    <xf numFmtId="0" fontId="9" fillId="11" borderId="3" xfId="0" applyFont="1" applyFill="1" applyBorder="1" applyAlignment="1">
      <alignment vertical="center"/>
    </xf>
    <xf numFmtId="164" fontId="9" fillId="11" borderId="4" xfId="0" applyNumberFormat="1" applyFont="1" applyFill="1" applyBorder="1" applyAlignment="1">
      <alignment vertical="center"/>
    </xf>
    <xf numFmtId="164" fontId="9" fillId="11" borderId="3" xfId="0" applyNumberFormat="1" applyFont="1" applyFill="1" applyBorder="1" applyAlignment="1">
      <alignment vertical="center"/>
    </xf>
    <xf numFmtId="164" fontId="9" fillId="11" borderId="5" xfId="0" applyNumberFormat="1" applyFont="1" applyFill="1" applyBorder="1" applyAlignment="1">
      <alignment vertical="center"/>
    </xf>
    <xf numFmtId="165" fontId="10" fillId="11" borderId="4" xfId="0" applyNumberFormat="1" applyFont="1" applyFill="1" applyBorder="1" applyAlignment="1">
      <alignment vertical="center"/>
    </xf>
    <xf numFmtId="165" fontId="10" fillId="11" borderId="3" xfId="0" applyNumberFormat="1" applyFont="1" applyFill="1" applyBorder="1" applyAlignment="1">
      <alignment vertical="center"/>
    </xf>
    <xf numFmtId="165" fontId="10" fillId="11" borderId="12" xfId="0" applyNumberFormat="1" applyFont="1" applyFill="1" applyBorder="1" applyAlignment="1">
      <alignment vertical="center"/>
    </xf>
    <xf numFmtId="165" fontId="10" fillId="11" borderId="13" xfId="0" applyNumberFormat="1" applyFont="1" applyFill="1" applyBorder="1" applyAlignment="1">
      <alignment vertical="center"/>
    </xf>
    <xf numFmtId="0" fontId="9" fillId="11" borderId="6" xfId="0" applyFont="1" applyFill="1" applyBorder="1" applyAlignment="1">
      <alignment horizontal="left" vertical="center"/>
    </xf>
    <xf numFmtId="0" fontId="9" fillId="11" borderId="0" xfId="0" applyFont="1" applyFill="1" applyAlignment="1">
      <alignment horizontal="left" vertical="center"/>
    </xf>
    <xf numFmtId="0" fontId="9" fillId="12" borderId="0" xfId="0" applyFont="1" applyFill="1" applyAlignment="1">
      <alignment vertical="center"/>
    </xf>
    <xf numFmtId="0" fontId="9" fillId="13" borderId="0" xfId="0" applyFont="1" applyFill="1" applyAlignment="1">
      <alignment vertical="center"/>
    </xf>
    <xf numFmtId="164" fontId="9" fillId="13" borderId="7" xfId="0" applyNumberFormat="1" applyFont="1" applyFill="1" applyBorder="1" applyAlignment="1">
      <alignment vertical="center"/>
    </xf>
    <xf numFmtId="164" fontId="9" fillId="13" borderId="0" xfId="0" applyNumberFormat="1" applyFont="1" applyFill="1" applyAlignment="1">
      <alignment vertical="center"/>
    </xf>
    <xf numFmtId="164" fontId="9" fillId="13" borderId="8" xfId="0" applyNumberFormat="1" applyFont="1" applyFill="1" applyBorder="1" applyAlignment="1">
      <alignment vertical="center"/>
    </xf>
    <xf numFmtId="165" fontId="10" fillId="13" borderId="7" xfId="0" applyNumberFormat="1" applyFont="1" applyFill="1" applyBorder="1" applyAlignment="1">
      <alignment vertical="center"/>
    </xf>
    <xf numFmtId="165" fontId="10" fillId="13" borderId="0" xfId="0" applyNumberFormat="1" applyFont="1" applyFill="1" applyAlignment="1">
      <alignment vertical="center"/>
    </xf>
    <xf numFmtId="165" fontId="10" fillId="13" borderId="9" xfId="0" applyNumberFormat="1" applyFont="1" applyFill="1" applyBorder="1" applyAlignment="1">
      <alignment vertical="center"/>
    </xf>
    <xf numFmtId="165" fontId="10" fillId="13" borderId="10" xfId="0" applyNumberFormat="1" applyFont="1" applyFill="1" applyBorder="1" applyAlignment="1">
      <alignment vertical="center"/>
    </xf>
    <xf numFmtId="0" fontId="9" fillId="12" borderId="11" xfId="0" applyFont="1" applyFill="1" applyBorder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9" fillId="11" borderId="14" xfId="0" applyFont="1" applyFill="1" applyBorder="1" applyAlignment="1">
      <alignment vertical="center"/>
    </xf>
    <xf numFmtId="164" fontId="9" fillId="11" borderId="15" xfId="0" applyNumberFormat="1" applyFont="1" applyFill="1" applyBorder="1" applyAlignment="1">
      <alignment vertical="center"/>
    </xf>
    <xf numFmtId="164" fontId="9" fillId="11" borderId="14" xfId="0" applyNumberFormat="1" applyFont="1" applyFill="1" applyBorder="1" applyAlignment="1">
      <alignment vertical="center"/>
    </xf>
    <xf numFmtId="164" fontId="9" fillId="11" borderId="16" xfId="0" applyNumberFormat="1" applyFont="1" applyFill="1" applyBorder="1" applyAlignment="1">
      <alignment vertical="center"/>
    </xf>
    <xf numFmtId="165" fontId="10" fillId="11" borderId="15" xfId="0" applyNumberFormat="1" applyFont="1" applyFill="1" applyBorder="1" applyAlignment="1">
      <alignment vertical="center"/>
    </xf>
    <xf numFmtId="165" fontId="10" fillId="11" borderId="14" xfId="0" applyNumberFormat="1" applyFont="1" applyFill="1" applyBorder="1" applyAlignment="1">
      <alignment vertical="center"/>
    </xf>
    <xf numFmtId="165" fontId="10" fillId="11" borderId="17" xfId="0" applyNumberFormat="1" applyFont="1" applyFill="1" applyBorder="1" applyAlignment="1">
      <alignment vertical="center"/>
    </xf>
    <xf numFmtId="165" fontId="10" fillId="11" borderId="18" xfId="0" applyNumberFormat="1" applyFont="1" applyFill="1" applyBorder="1" applyAlignment="1">
      <alignment vertical="center"/>
    </xf>
    <xf numFmtId="0" fontId="9" fillId="11" borderId="19" xfId="0" applyFont="1" applyFill="1" applyBorder="1" applyAlignment="1">
      <alignment horizontal="left" vertical="center"/>
    </xf>
    <xf numFmtId="1" fontId="9" fillId="14" borderId="0" xfId="0" applyNumberFormat="1" applyFont="1" applyFill="1" applyAlignment="1">
      <alignment vertical="center"/>
    </xf>
    <xf numFmtId="164" fontId="9" fillId="14" borderId="7" xfId="0" applyNumberFormat="1" applyFont="1" applyFill="1" applyBorder="1" applyAlignment="1">
      <alignment vertical="center"/>
    </xf>
    <xf numFmtId="164" fontId="9" fillId="14" borderId="0" xfId="0" applyNumberFormat="1" applyFont="1" applyFill="1" applyAlignment="1">
      <alignment vertical="center"/>
    </xf>
    <xf numFmtId="164" fontId="9" fillId="14" borderId="8" xfId="0" applyNumberFormat="1" applyFont="1" applyFill="1" applyBorder="1" applyAlignment="1">
      <alignment vertical="center"/>
    </xf>
    <xf numFmtId="165" fontId="9" fillId="14" borderId="7" xfId="0" applyNumberFormat="1" applyFont="1" applyFill="1" applyBorder="1" applyAlignment="1">
      <alignment vertical="center"/>
    </xf>
    <xf numFmtId="165" fontId="9" fillId="14" borderId="0" xfId="0" applyNumberFormat="1" applyFont="1" applyFill="1" applyAlignment="1">
      <alignment vertical="center"/>
    </xf>
    <xf numFmtId="165" fontId="9" fillId="14" borderId="9" xfId="0" applyNumberFormat="1" applyFont="1" applyFill="1" applyBorder="1" applyAlignment="1">
      <alignment vertical="center"/>
    </xf>
    <xf numFmtId="165" fontId="9" fillId="14" borderId="10" xfId="0" applyNumberFormat="1" applyFont="1" applyFill="1" applyBorder="1" applyAlignment="1">
      <alignment vertical="center"/>
    </xf>
    <xf numFmtId="0" fontId="9" fillId="14" borderId="11" xfId="0" applyFont="1" applyFill="1" applyBorder="1" applyAlignment="1">
      <alignment horizontal="left" vertical="center"/>
    </xf>
    <xf numFmtId="0" fontId="9" fillId="14" borderId="0" xfId="0" applyFont="1" applyFill="1" applyAlignment="1">
      <alignment horizontal="left" vertical="center"/>
    </xf>
    <xf numFmtId="1" fontId="9" fillId="15" borderId="0" xfId="0" applyNumberFormat="1" applyFont="1" applyFill="1" applyAlignment="1">
      <alignment vertical="center"/>
    </xf>
    <xf numFmtId="164" fontId="9" fillId="15" borderId="7" xfId="0" applyNumberFormat="1" applyFont="1" applyFill="1" applyBorder="1" applyAlignment="1">
      <alignment vertical="center"/>
    </xf>
    <xf numFmtId="164" fontId="9" fillId="15" borderId="0" xfId="0" applyNumberFormat="1" applyFont="1" applyFill="1" applyAlignment="1">
      <alignment vertical="center"/>
    </xf>
    <xf numFmtId="164" fontId="9" fillId="15" borderId="8" xfId="0" applyNumberFormat="1" applyFont="1" applyFill="1" applyBorder="1" applyAlignment="1">
      <alignment vertical="center"/>
    </xf>
    <xf numFmtId="165" fontId="9" fillId="15" borderId="7" xfId="0" applyNumberFormat="1" applyFont="1" applyFill="1" applyBorder="1" applyAlignment="1">
      <alignment vertical="center"/>
    </xf>
    <xf numFmtId="165" fontId="9" fillId="15" borderId="0" xfId="0" applyNumberFormat="1" applyFont="1" applyFill="1" applyAlignment="1">
      <alignment vertical="center"/>
    </xf>
    <xf numFmtId="165" fontId="9" fillId="15" borderId="9" xfId="0" applyNumberFormat="1" applyFont="1" applyFill="1" applyBorder="1" applyAlignment="1">
      <alignment vertical="center"/>
    </xf>
    <xf numFmtId="165" fontId="9" fillId="15" borderId="10" xfId="0" applyNumberFormat="1" applyFont="1" applyFill="1" applyBorder="1" applyAlignment="1">
      <alignment vertical="center"/>
    </xf>
    <xf numFmtId="0" fontId="9" fillId="15" borderId="11" xfId="0" applyFont="1" applyFill="1" applyBorder="1" applyAlignment="1">
      <alignment horizontal="left" vertical="center"/>
    </xf>
    <xf numFmtId="0" fontId="9" fillId="15" borderId="0" xfId="0" applyFont="1" applyFill="1" applyAlignment="1">
      <alignment horizontal="left" vertical="center"/>
    </xf>
    <xf numFmtId="0" fontId="9" fillId="14" borderId="14" xfId="0" applyFont="1" applyFill="1" applyBorder="1" applyAlignment="1">
      <alignment vertical="center"/>
    </xf>
    <xf numFmtId="164" fontId="9" fillId="14" borderId="15" xfId="0" applyNumberFormat="1" applyFont="1" applyFill="1" applyBorder="1" applyAlignment="1">
      <alignment vertical="center"/>
    </xf>
    <xf numFmtId="164" fontId="9" fillId="14" borderId="14" xfId="0" applyNumberFormat="1" applyFont="1" applyFill="1" applyBorder="1" applyAlignment="1">
      <alignment vertical="center"/>
    </xf>
    <xf numFmtId="164" fontId="9" fillId="14" borderId="16" xfId="0" applyNumberFormat="1" applyFont="1" applyFill="1" applyBorder="1" applyAlignment="1">
      <alignment vertical="center"/>
    </xf>
    <xf numFmtId="165" fontId="9" fillId="14" borderId="15" xfId="0" applyNumberFormat="1" applyFont="1" applyFill="1" applyBorder="1" applyAlignment="1">
      <alignment vertical="center"/>
    </xf>
    <xf numFmtId="165" fontId="9" fillId="14" borderId="14" xfId="0" applyNumberFormat="1" applyFont="1" applyFill="1" applyBorder="1" applyAlignment="1">
      <alignment vertical="center"/>
    </xf>
    <xf numFmtId="165" fontId="9" fillId="14" borderId="17" xfId="0" applyNumberFormat="1" applyFont="1" applyFill="1" applyBorder="1" applyAlignment="1">
      <alignment vertical="center"/>
    </xf>
    <xf numFmtId="165" fontId="9" fillId="14" borderId="18" xfId="0" applyNumberFormat="1" applyFont="1" applyFill="1" applyBorder="1" applyAlignment="1">
      <alignment vertical="center"/>
    </xf>
    <xf numFmtId="0" fontId="9" fillId="14" borderId="19" xfId="0" applyFont="1" applyFill="1" applyBorder="1" applyAlignment="1">
      <alignment horizontal="left" vertical="center"/>
    </xf>
    <xf numFmtId="0" fontId="2" fillId="0" borderId="1" xfId="1"/>
    <xf numFmtId="0" fontId="3" fillId="0" borderId="0" xfId="3"/>
    <xf numFmtId="1" fontId="0" fillId="0" borderId="0" xfId="0" applyNumberFormat="1"/>
    <xf numFmtId="1" fontId="7" fillId="0" borderId="0" xfId="0" applyNumberFormat="1" applyFont="1"/>
    <xf numFmtId="2" fontId="0" fillId="0" borderId="0" xfId="0" applyNumberFormat="1"/>
    <xf numFmtId="0" fontId="1" fillId="0" borderId="0" xfId="7" applyFont="1" applyAlignment="1">
      <alignment horizontal="left"/>
    </xf>
    <xf numFmtId="0" fontId="4" fillId="2" borderId="0" xfId="4" applyAlignment="1">
      <alignment horizontal="right"/>
    </xf>
    <xf numFmtId="0" fontId="4" fillId="2" borderId="0" xfId="4" applyAlignment="1">
      <alignment vertical="center"/>
    </xf>
    <xf numFmtId="0" fontId="11" fillId="0" borderId="0" xfId="7" applyAlignment="1">
      <alignment vertical="center"/>
    </xf>
    <xf numFmtId="0" fontId="11" fillId="0" borderId="0" xfId="7"/>
    <xf numFmtId="0" fontId="1" fillId="0" borderId="0" xfId="7" applyFont="1" applyAlignment="1">
      <alignment vertical="center"/>
    </xf>
    <xf numFmtId="0" fontId="12" fillId="0" borderId="0" xfId="7" applyFont="1" applyAlignment="1">
      <alignment vertical="center"/>
    </xf>
    <xf numFmtId="166" fontId="0" fillId="0" borderId="0" xfId="0" applyNumberFormat="1"/>
    <xf numFmtId="166" fontId="13" fillId="0" borderId="0" xfId="8" applyNumberFormat="1"/>
    <xf numFmtId="0" fontId="1" fillId="0" borderId="0" xfId="0" applyFont="1"/>
    <xf numFmtId="0" fontId="3" fillId="0" borderId="2" xfId="2"/>
    <xf numFmtId="0" fontId="5" fillId="3" borderId="0" xfId="5"/>
  </cellXfs>
  <cellStyles count="9">
    <cellStyle name="Bad" xfId="5" builtinId="27"/>
    <cellStyle name="Good" xfId="4" builtinId="26"/>
    <cellStyle name="Heading 2" xfId="1" builtinId="17"/>
    <cellStyle name="Heading 3" xfId="2" builtinId="18"/>
    <cellStyle name="Heading 4" xfId="3" builtinId="19"/>
    <cellStyle name="Neutral" xfId="6" builtinId="28"/>
    <cellStyle name="Normal" xfId="0" builtinId="0"/>
    <cellStyle name="Normal 10" xfId="7" xr:uid="{D4C2EA9A-AD6C-4D65-8DC6-DF3744963A7E}"/>
    <cellStyle name="Normal 3 2" xfId="8" xr:uid="{F0B9B3DD-12D9-4D14-860C-065C7244DC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9F905-A8EB-4CC2-9608-F37A840F2E88}">
  <dimension ref="B9:Y136"/>
  <sheetViews>
    <sheetView workbookViewId="0"/>
  </sheetViews>
  <sheetFormatPr defaultRowHeight="14.25"/>
  <sheetData>
    <row r="9" spans="2:25">
      <c r="B9" t="s">
        <v>0</v>
      </c>
      <c r="R9" t="s">
        <v>1</v>
      </c>
    </row>
    <row r="10" spans="2:25">
      <c r="B10" t="s">
        <v>2</v>
      </c>
      <c r="C10" t="s">
        <v>3</v>
      </c>
      <c r="D10" t="s">
        <v>4</v>
      </c>
      <c r="E10">
        <v>2020</v>
      </c>
      <c r="F10">
        <v>2022</v>
      </c>
      <c r="G10">
        <v>2024</v>
      </c>
      <c r="H10">
        <v>2025</v>
      </c>
      <c r="I10">
        <v>2030</v>
      </c>
      <c r="J10">
        <v>2035</v>
      </c>
      <c r="K10">
        <v>2040</v>
      </c>
      <c r="L10">
        <v>2045</v>
      </c>
      <c r="M10">
        <v>2050</v>
      </c>
      <c r="N10" t="s">
        <v>5</v>
      </c>
      <c r="O10" t="s">
        <v>6</v>
      </c>
      <c r="P10" t="s">
        <v>7</v>
      </c>
      <c r="R10" t="s">
        <v>8</v>
      </c>
      <c r="S10" t="s">
        <v>2</v>
      </c>
      <c r="T10" t="s">
        <v>9</v>
      </c>
      <c r="U10" t="s">
        <v>10</v>
      </c>
      <c r="V10" t="s">
        <v>11</v>
      </c>
      <c r="W10" t="s">
        <v>12</v>
      </c>
      <c r="X10" t="s">
        <v>13</v>
      </c>
      <c r="Y10" t="s">
        <v>14</v>
      </c>
    </row>
    <row r="11" spans="2:25">
      <c r="B11" t="s">
        <v>15</v>
      </c>
      <c r="C11" t="s">
        <v>16</v>
      </c>
      <c r="D11" t="s">
        <v>17</v>
      </c>
      <c r="G11">
        <v>941</v>
      </c>
      <c r="J11">
        <v>941</v>
      </c>
      <c r="M11">
        <v>941</v>
      </c>
      <c r="N11" t="s">
        <v>18</v>
      </c>
      <c r="R11" t="s">
        <v>19</v>
      </c>
      <c r="S11" t="s">
        <v>15</v>
      </c>
      <c r="T11" t="s">
        <v>20</v>
      </c>
      <c r="U11" t="s">
        <v>21</v>
      </c>
      <c r="V11" t="s">
        <v>22</v>
      </c>
      <c r="W11" t="s">
        <v>23</v>
      </c>
      <c r="X11" t="s">
        <v>24</v>
      </c>
    </row>
    <row r="12" spans="2:25">
      <c r="B12" t="s">
        <v>15</v>
      </c>
      <c r="C12" t="s">
        <v>16</v>
      </c>
      <c r="D12" t="s">
        <v>17</v>
      </c>
      <c r="G12">
        <v>23.5</v>
      </c>
      <c r="J12">
        <v>23.5</v>
      </c>
      <c r="M12">
        <v>23.5</v>
      </c>
      <c r="N12" t="s">
        <v>25</v>
      </c>
      <c r="R12" t="s">
        <v>19</v>
      </c>
      <c r="S12" t="s">
        <v>26</v>
      </c>
      <c r="T12" t="s">
        <v>27</v>
      </c>
      <c r="U12" t="s">
        <v>21</v>
      </c>
      <c r="V12" t="s">
        <v>22</v>
      </c>
      <c r="W12" t="s">
        <v>23</v>
      </c>
      <c r="X12" t="s">
        <v>24</v>
      </c>
    </row>
    <row r="13" spans="2:25">
      <c r="B13" t="s">
        <v>15</v>
      </c>
      <c r="C13" t="s">
        <v>16</v>
      </c>
      <c r="D13" t="s">
        <v>17</v>
      </c>
      <c r="G13">
        <v>2.1204000000000001</v>
      </c>
      <c r="J13">
        <v>1.9583999999999999</v>
      </c>
      <c r="M13">
        <v>1.7891999999999999</v>
      </c>
      <c r="N13" t="s">
        <v>28</v>
      </c>
      <c r="R13" t="s">
        <v>29</v>
      </c>
      <c r="S13" t="s">
        <v>30</v>
      </c>
      <c r="T13" t="s">
        <v>31</v>
      </c>
      <c r="U13" t="s">
        <v>21</v>
      </c>
      <c r="V13" t="s">
        <v>22</v>
      </c>
      <c r="W13" t="s">
        <v>23</v>
      </c>
      <c r="X13" t="s">
        <v>24</v>
      </c>
    </row>
    <row r="14" spans="2:25">
      <c r="B14" t="s">
        <v>15</v>
      </c>
      <c r="C14" t="s">
        <v>16</v>
      </c>
      <c r="D14" t="s">
        <v>17</v>
      </c>
      <c r="G14">
        <v>0.59</v>
      </c>
      <c r="J14">
        <v>0.61</v>
      </c>
      <c r="M14">
        <v>0.61</v>
      </c>
      <c r="N14" t="s">
        <v>32</v>
      </c>
      <c r="R14" t="s">
        <v>19</v>
      </c>
      <c r="S14" t="s">
        <v>33</v>
      </c>
      <c r="T14" t="s">
        <v>34</v>
      </c>
      <c r="U14" t="s">
        <v>21</v>
      </c>
      <c r="V14" t="s">
        <v>22</v>
      </c>
      <c r="W14" t="s">
        <v>23</v>
      </c>
      <c r="X14" t="s">
        <v>24</v>
      </c>
    </row>
    <row r="15" spans="2:25">
      <c r="B15" t="s">
        <v>15</v>
      </c>
      <c r="C15" t="s">
        <v>16</v>
      </c>
      <c r="D15" t="s">
        <v>17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 t="s">
        <v>35</v>
      </c>
      <c r="R15" t="s">
        <v>19</v>
      </c>
      <c r="S15" t="s">
        <v>36</v>
      </c>
      <c r="T15" t="s">
        <v>37</v>
      </c>
      <c r="U15" t="s">
        <v>21</v>
      </c>
      <c r="V15" t="s">
        <v>22</v>
      </c>
      <c r="W15" t="s">
        <v>23</v>
      </c>
      <c r="X15" t="s">
        <v>24</v>
      </c>
    </row>
    <row r="16" spans="2:25">
      <c r="B16" t="s">
        <v>15</v>
      </c>
      <c r="C16" t="s">
        <v>16</v>
      </c>
      <c r="D16" t="s">
        <v>17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 t="s">
        <v>38</v>
      </c>
      <c r="R16" t="s">
        <v>19</v>
      </c>
      <c r="S16" t="s">
        <v>39</v>
      </c>
      <c r="T16" t="s">
        <v>40</v>
      </c>
      <c r="U16" t="s">
        <v>21</v>
      </c>
      <c r="V16" t="s">
        <v>22</v>
      </c>
      <c r="W16" t="s">
        <v>23</v>
      </c>
      <c r="X16" t="s">
        <v>24</v>
      </c>
    </row>
    <row r="17" spans="2:25">
      <c r="B17" t="s">
        <v>26</v>
      </c>
      <c r="C17" t="s">
        <v>16</v>
      </c>
      <c r="D17" t="s">
        <v>17</v>
      </c>
      <c r="G17">
        <v>470.5</v>
      </c>
      <c r="J17">
        <v>470.5</v>
      </c>
      <c r="M17">
        <v>470.5</v>
      </c>
      <c r="N17" t="s">
        <v>18</v>
      </c>
      <c r="R17" t="s">
        <v>19</v>
      </c>
      <c r="S17" t="s">
        <v>41</v>
      </c>
      <c r="T17" t="s">
        <v>42</v>
      </c>
      <c r="U17" t="s">
        <v>21</v>
      </c>
      <c r="V17" t="s">
        <v>22</v>
      </c>
      <c r="W17" t="s">
        <v>23</v>
      </c>
      <c r="X17" t="s">
        <v>24</v>
      </c>
    </row>
    <row r="18" spans="2:25">
      <c r="B18" t="s">
        <v>26</v>
      </c>
      <c r="C18" t="s">
        <v>16</v>
      </c>
      <c r="D18" t="s">
        <v>17</v>
      </c>
      <c r="G18">
        <v>18.8</v>
      </c>
      <c r="J18">
        <v>18.8</v>
      </c>
      <c r="M18">
        <v>18.8</v>
      </c>
      <c r="N18" t="s">
        <v>25</v>
      </c>
      <c r="R18" t="s">
        <v>19</v>
      </c>
      <c r="S18" t="s">
        <v>43</v>
      </c>
      <c r="T18" t="s">
        <v>44</v>
      </c>
      <c r="U18" t="s">
        <v>21</v>
      </c>
      <c r="V18" t="s">
        <v>22</v>
      </c>
      <c r="W18" t="s">
        <v>23</v>
      </c>
      <c r="X18" t="s">
        <v>24</v>
      </c>
    </row>
    <row r="19" spans="2:25">
      <c r="B19" t="s">
        <v>26</v>
      </c>
      <c r="C19" t="s">
        <v>16</v>
      </c>
      <c r="D19" t="s">
        <v>17</v>
      </c>
      <c r="G19">
        <v>6.9408000000000003</v>
      </c>
      <c r="J19">
        <v>6.9408000000000003</v>
      </c>
      <c r="M19">
        <v>6.9408000000000003</v>
      </c>
      <c r="N19" t="s">
        <v>28</v>
      </c>
      <c r="R19" t="s">
        <v>19</v>
      </c>
      <c r="S19" t="s">
        <v>45</v>
      </c>
      <c r="T19" t="s">
        <v>46</v>
      </c>
      <c r="U19" t="s">
        <v>21</v>
      </c>
      <c r="V19" t="s">
        <v>22</v>
      </c>
      <c r="W19" t="s">
        <v>23</v>
      </c>
      <c r="X19" t="s">
        <v>24</v>
      </c>
    </row>
    <row r="20" spans="2:25">
      <c r="B20" t="s">
        <v>26</v>
      </c>
      <c r="C20" t="s">
        <v>16</v>
      </c>
      <c r="D20" t="s">
        <v>17</v>
      </c>
      <c r="G20">
        <v>0.41</v>
      </c>
      <c r="J20">
        <v>0.42</v>
      </c>
      <c r="M20">
        <v>0.42</v>
      </c>
      <c r="N20" t="s">
        <v>32</v>
      </c>
      <c r="R20" t="s">
        <v>19</v>
      </c>
      <c r="S20" t="s">
        <v>47</v>
      </c>
      <c r="T20" t="s">
        <v>48</v>
      </c>
      <c r="U20" t="s">
        <v>21</v>
      </c>
      <c r="V20" t="s">
        <v>22</v>
      </c>
      <c r="W20" t="s">
        <v>23</v>
      </c>
      <c r="X20" t="s">
        <v>24</v>
      </c>
    </row>
    <row r="21" spans="2:25">
      <c r="B21" t="s">
        <v>26</v>
      </c>
      <c r="C21" t="s">
        <v>16</v>
      </c>
      <c r="D21" t="s">
        <v>17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>
        <v>30</v>
      </c>
      <c r="L21">
        <v>30</v>
      </c>
      <c r="M21">
        <v>30</v>
      </c>
      <c r="N21" t="s">
        <v>35</v>
      </c>
      <c r="R21" t="s">
        <v>19</v>
      </c>
      <c r="S21" t="s">
        <v>49</v>
      </c>
      <c r="T21" t="s">
        <v>50</v>
      </c>
      <c r="U21" t="s">
        <v>21</v>
      </c>
      <c r="V21" t="s">
        <v>22</v>
      </c>
      <c r="W21" t="s">
        <v>23</v>
      </c>
      <c r="X21" t="s">
        <v>24</v>
      </c>
    </row>
    <row r="22" spans="2:25">
      <c r="B22" t="s">
        <v>26</v>
      </c>
      <c r="C22" t="s">
        <v>16</v>
      </c>
      <c r="D22" t="s">
        <v>17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 t="s">
        <v>38</v>
      </c>
      <c r="R22" t="s">
        <v>29</v>
      </c>
      <c r="S22" t="s">
        <v>51</v>
      </c>
      <c r="T22" t="s">
        <v>52</v>
      </c>
      <c r="U22" t="s">
        <v>21</v>
      </c>
      <c r="V22" t="s">
        <v>22</v>
      </c>
      <c r="W22" t="s">
        <v>23</v>
      </c>
      <c r="X22" t="s">
        <v>24</v>
      </c>
    </row>
    <row r="23" spans="2:25">
      <c r="B23" t="s">
        <v>30</v>
      </c>
      <c r="C23" t="s">
        <v>16</v>
      </c>
      <c r="D23" t="s">
        <v>53</v>
      </c>
      <c r="E23">
        <v>967.6</v>
      </c>
      <c r="I23">
        <v>912.6</v>
      </c>
      <c r="M23">
        <v>879.6</v>
      </c>
      <c r="N23" t="s">
        <v>18</v>
      </c>
      <c r="R23" t="s">
        <v>54</v>
      </c>
      <c r="S23" t="s">
        <v>55</v>
      </c>
      <c r="T23" t="s">
        <v>56</v>
      </c>
      <c r="U23" t="s">
        <v>21</v>
      </c>
      <c r="V23" t="s">
        <v>22</v>
      </c>
      <c r="W23" t="s">
        <v>57</v>
      </c>
      <c r="X23" t="s">
        <v>24</v>
      </c>
    </row>
    <row r="24" spans="2:25">
      <c r="B24" t="s">
        <v>30</v>
      </c>
      <c r="C24" t="s">
        <v>16</v>
      </c>
      <c r="D24" t="s">
        <v>53</v>
      </c>
      <c r="E24">
        <v>32.200000000000003</v>
      </c>
      <c r="I24">
        <v>30.6</v>
      </c>
      <c r="M24">
        <v>28.6</v>
      </c>
      <c r="N24" t="s">
        <v>25</v>
      </c>
      <c r="R24" t="s">
        <v>54</v>
      </c>
      <c r="S24" t="s">
        <v>58</v>
      </c>
      <c r="T24" t="s">
        <v>59</v>
      </c>
      <c r="U24" t="s">
        <v>21</v>
      </c>
      <c r="V24" t="s">
        <v>22</v>
      </c>
      <c r="W24" t="s">
        <v>57</v>
      </c>
      <c r="X24" t="s">
        <v>24</v>
      </c>
    </row>
    <row r="25" spans="2:25">
      <c r="B25" t="s">
        <v>30</v>
      </c>
      <c r="C25" t="s">
        <v>16</v>
      </c>
      <c r="D25" t="s">
        <v>53</v>
      </c>
      <c r="E25">
        <v>4.68</v>
      </c>
      <c r="I25">
        <v>4.68</v>
      </c>
      <c r="M25">
        <v>4.32</v>
      </c>
      <c r="N25" t="s">
        <v>28</v>
      </c>
      <c r="R25" t="s">
        <v>54</v>
      </c>
      <c r="S25" t="s">
        <v>60</v>
      </c>
      <c r="T25" t="s">
        <v>61</v>
      </c>
      <c r="U25" t="s">
        <v>21</v>
      </c>
      <c r="V25" t="s">
        <v>22</v>
      </c>
      <c r="W25" t="s">
        <v>57</v>
      </c>
      <c r="X25" t="s">
        <v>24</v>
      </c>
    </row>
    <row r="26" spans="2:25">
      <c r="B26" t="s">
        <v>30</v>
      </c>
      <c r="C26" t="s">
        <v>16</v>
      </c>
      <c r="D26" t="s">
        <v>53</v>
      </c>
      <c r="E26">
        <v>0.56000000000000005</v>
      </c>
      <c r="I26">
        <v>0.57999999999999996</v>
      </c>
      <c r="M26">
        <v>0.6</v>
      </c>
      <c r="N26" t="s">
        <v>32</v>
      </c>
      <c r="R26" t="s">
        <v>54</v>
      </c>
      <c r="S26" t="s">
        <v>62</v>
      </c>
      <c r="T26" t="s">
        <v>63</v>
      </c>
      <c r="U26" t="s">
        <v>21</v>
      </c>
      <c r="V26" t="s">
        <v>22</v>
      </c>
      <c r="W26" t="s">
        <v>57</v>
      </c>
      <c r="X26" t="s">
        <v>24</v>
      </c>
    </row>
    <row r="27" spans="2:25">
      <c r="B27" t="s">
        <v>30</v>
      </c>
      <c r="C27" t="s">
        <v>16</v>
      </c>
      <c r="D27" t="s">
        <v>53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>
        <v>25</v>
      </c>
      <c r="L27">
        <v>25</v>
      </c>
      <c r="M27">
        <v>25</v>
      </c>
      <c r="N27" t="s">
        <v>35</v>
      </c>
      <c r="R27" t="s">
        <v>64</v>
      </c>
      <c r="S27" t="s">
        <v>65</v>
      </c>
      <c r="T27" t="s">
        <v>66</v>
      </c>
      <c r="U27" t="s">
        <v>21</v>
      </c>
      <c r="V27" t="s">
        <v>22</v>
      </c>
      <c r="W27" t="s">
        <v>23</v>
      </c>
      <c r="X27" t="s">
        <v>24</v>
      </c>
      <c r="Y27" t="s">
        <v>67</v>
      </c>
    </row>
    <row r="28" spans="2:25">
      <c r="B28" t="s">
        <v>30</v>
      </c>
      <c r="C28" t="s">
        <v>16</v>
      </c>
      <c r="D28" t="s">
        <v>53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 t="s">
        <v>38</v>
      </c>
      <c r="R28" t="s">
        <v>64</v>
      </c>
      <c r="S28" t="s">
        <v>68</v>
      </c>
      <c r="T28" t="s">
        <v>69</v>
      </c>
      <c r="U28" t="s">
        <v>21</v>
      </c>
      <c r="V28" t="s">
        <v>22</v>
      </c>
      <c r="W28" t="s">
        <v>23</v>
      </c>
      <c r="X28" t="s">
        <v>24</v>
      </c>
      <c r="Y28" t="s">
        <v>67</v>
      </c>
    </row>
    <row r="29" spans="2:25">
      <c r="B29" t="s">
        <v>30</v>
      </c>
      <c r="C29" t="s">
        <v>16</v>
      </c>
      <c r="D29" t="s">
        <v>53</v>
      </c>
      <c r="E29">
        <v>0.55559999999999998</v>
      </c>
      <c r="I29">
        <v>0.5</v>
      </c>
      <c r="M29">
        <v>0.45450000000000002</v>
      </c>
      <c r="N29" t="s">
        <v>70</v>
      </c>
      <c r="R29" t="s">
        <v>29</v>
      </c>
      <c r="S29" t="s">
        <v>71</v>
      </c>
      <c r="T29" t="s">
        <v>72</v>
      </c>
      <c r="U29" t="s">
        <v>21</v>
      </c>
      <c r="V29" t="s">
        <v>22</v>
      </c>
      <c r="W29" t="s">
        <v>23</v>
      </c>
      <c r="X29" t="s">
        <v>24</v>
      </c>
    </row>
    <row r="30" spans="2:25">
      <c r="B30" t="s">
        <v>30</v>
      </c>
      <c r="C30" t="s">
        <v>16</v>
      </c>
      <c r="D30" t="s">
        <v>53</v>
      </c>
      <c r="E30">
        <v>0.15</v>
      </c>
      <c r="I30">
        <v>0.15</v>
      </c>
      <c r="M30">
        <v>0.15</v>
      </c>
      <c r="N30" t="s">
        <v>73</v>
      </c>
    </row>
    <row r="31" spans="2:25">
      <c r="B31" t="s">
        <v>33</v>
      </c>
      <c r="C31" t="s">
        <v>16</v>
      </c>
      <c r="D31" t="s">
        <v>74</v>
      </c>
      <c r="G31">
        <v>2917</v>
      </c>
      <c r="J31">
        <v>2681.7</v>
      </c>
      <c r="M31">
        <v>2446.5</v>
      </c>
      <c r="N31" t="s">
        <v>18</v>
      </c>
    </row>
    <row r="32" spans="2:25">
      <c r="B32" t="s">
        <v>33</v>
      </c>
      <c r="C32" t="s">
        <v>16</v>
      </c>
      <c r="D32" t="s">
        <v>74</v>
      </c>
      <c r="G32">
        <v>70.599999999999994</v>
      </c>
      <c r="J32">
        <v>65.900000000000006</v>
      </c>
      <c r="M32">
        <v>61.2</v>
      </c>
      <c r="N32" t="s">
        <v>25</v>
      </c>
    </row>
    <row r="33" spans="2:14">
      <c r="B33" t="s">
        <v>33</v>
      </c>
      <c r="C33" t="s">
        <v>16</v>
      </c>
      <c r="D33" t="s">
        <v>74</v>
      </c>
      <c r="G33">
        <v>4.6584000000000003</v>
      </c>
      <c r="J33">
        <v>3.9815999999999998</v>
      </c>
      <c r="M33">
        <v>3.5604</v>
      </c>
      <c r="N33" t="s">
        <v>28</v>
      </c>
    </row>
    <row r="34" spans="2:14">
      <c r="B34" t="s">
        <v>33</v>
      </c>
      <c r="C34" t="s">
        <v>16</v>
      </c>
      <c r="D34" t="s">
        <v>74</v>
      </c>
      <c r="G34">
        <v>0.52</v>
      </c>
      <c r="J34">
        <v>0.54</v>
      </c>
      <c r="M34">
        <v>0.54</v>
      </c>
      <c r="N34" t="s">
        <v>32</v>
      </c>
    </row>
    <row r="35" spans="2:14">
      <c r="B35" t="s">
        <v>33</v>
      </c>
      <c r="C35" t="s">
        <v>16</v>
      </c>
      <c r="D35" t="s">
        <v>74</v>
      </c>
      <c r="E35">
        <v>30</v>
      </c>
      <c r="F35">
        <v>30</v>
      </c>
      <c r="G35">
        <v>30</v>
      </c>
      <c r="H35">
        <v>30</v>
      </c>
      <c r="I35">
        <v>30</v>
      </c>
      <c r="J35">
        <v>30</v>
      </c>
      <c r="K35">
        <v>30</v>
      </c>
      <c r="L35">
        <v>30</v>
      </c>
      <c r="M35">
        <v>30</v>
      </c>
      <c r="N35" t="s">
        <v>35</v>
      </c>
    </row>
    <row r="36" spans="2:14">
      <c r="B36" t="s">
        <v>33</v>
      </c>
      <c r="C36" t="s">
        <v>16</v>
      </c>
      <c r="D36" t="s">
        <v>74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 t="s">
        <v>38</v>
      </c>
    </row>
    <row r="37" spans="2:14">
      <c r="B37" t="s">
        <v>36</v>
      </c>
      <c r="C37" t="s">
        <v>75</v>
      </c>
      <c r="D37" t="s">
        <v>17</v>
      </c>
      <c r="G37">
        <v>1599.6</v>
      </c>
      <c r="J37">
        <v>1599.6</v>
      </c>
      <c r="M37">
        <v>1599.6</v>
      </c>
      <c r="N37" t="s">
        <v>18</v>
      </c>
    </row>
    <row r="38" spans="2:14">
      <c r="B38" t="s">
        <v>36</v>
      </c>
      <c r="C38" t="s">
        <v>75</v>
      </c>
      <c r="D38" t="s">
        <v>17</v>
      </c>
      <c r="G38">
        <v>42.3</v>
      </c>
      <c r="J38">
        <v>42.3</v>
      </c>
      <c r="M38">
        <v>42.3</v>
      </c>
      <c r="N38" t="s">
        <v>25</v>
      </c>
    </row>
    <row r="39" spans="2:14">
      <c r="B39" t="s">
        <v>36</v>
      </c>
      <c r="C39" t="s">
        <v>75</v>
      </c>
      <c r="D39" t="s">
        <v>17</v>
      </c>
      <c r="G39">
        <v>8.4995999999999992</v>
      </c>
      <c r="J39">
        <v>8.4995999999999992</v>
      </c>
      <c r="M39">
        <v>8.4995999999999992</v>
      </c>
      <c r="N39" t="s">
        <v>28</v>
      </c>
    </row>
    <row r="40" spans="2:14">
      <c r="B40" t="s">
        <v>36</v>
      </c>
      <c r="C40" t="s">
        <v>75</v>
      </c>
      <c r="D40" t="s">
        <v>17</v>
      </c>
      <c r="G40">
        <v>0.39</v>
      </c>
      <c r="J40">
        <v>0.39</v>
      </c>
      <c r="M40">
        <v>0.39</v>
      </c>
      <c r="N40" t="s">
        <v>32</v>
      </c>
    </row>
    <row r="41" spans="2:14">
      <c r="B41" t="s">
        <v>36</v>
      </c>
      <c r="C41" t="s">
        <v>75</v>
      </c>
      <c r="D41" t="s">
        <v>17</v>
      </c>
      <c r="E41">
        <v>40</v>
      </c>
      <c r="F41">
        <v>40</v>
      </c>
      <c r="G41">
        <v>40</v>
      </c>
      <c r="H41">
        <v>40</v>
      </c>
      <c r="I41">
        <v>40</v>
      </c>
      <c r="J41">
        <v>40</v>
      </c>
      <c r="K41">
        <v>40</v>
      </c>
      <c r="L41">
        <v>40</v>
      </c>
      <c r="M41">
        <v>40</v>
      </c>
      <c r="N41" t="s">
        <v>35</v>
      </c>
    </row>
    <row r="42" spans="2:14">
      <c r="B42" t="s">
        <v>36</v>
      </c>
      <c r="C42" t="s">
        <v>75</v>
      </c>
      <c r="D42" t="s">
        <v>17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 t="s">
        <v>38</v>
      </c>
    </row>
    <row r="43" spans="2:14">
      <c r="B43" t="s">
        <v>39</v>
      </c>
      <c r="C43" t="s">
        <v>75</v>
      </c>
      <c r="D43" t="s">
        <v>17</v>
      </c>
      <c r="G43">
        <v>1881.9</v>
      </c>
      <c r="J43">
        <v>1881.9</v>
      </c>
      <c r="M43">
        <v>1881.9</v>
      </c>
      <c r="N43" t="s">
        <v>18</v>
      </c>
    </row>
    <row r="44" spans="2:14">
      <c r="B44" t="s">
        <v>39</v>
      </c>
      <c r="C44" t="s">
        <v>75</v>
      </c>
      <c r="D44" t="s">
        <v>17</v>
      </c>
      <c r="G44">
        <v>56.5</v>
      </c>
      <c r="J44">
        <v>56.5</v>
      </c>
      <c r="M44">
        <v>56.5</v>
      </c>
      <c r="N44" t="s">
        <v>25</v>
      </c>
    </row>
    <row r="45" spans="2:14">
      <c r="B45" t="s">
        <v>39</v>
      </c>
      <c r="C45" t="s">
        <v>75</v>
      </c>
      <c r="D45" t="s">
        <v>17</v>
      </c>
      <c r="G45">
        <v>9.18</v>
      </c>
      <c r="J45">
        <v>8.7911999999999999</v>
      </c>
      <c r="M45">
        <v>8.3412000000000006</v>
      </c>
      <c r="N45" t="s">
        <v>28</v>
      </c>
    </row>
    <row r="46" spans="2:14">
      <c r="B46" t="s">
        <v>39</v>
      </c>
      <c r="C46" t="s">
        <v>75</v>
      </c>
      <c r="D46" t="s">
        <v>17</v>
      </c>
      <c r="G46">
        <v>0.43</v>
      </c>
      <c r="J46">
        <v>0.43</v>
      </c>
      <c r="M46">
        <v>0.43</v>
      </c>
      <c r="N46" t="s">
        <v>32</v>
      </c>
    </row>
    <row r="47" spans="2:14">
      <c r="B47" t="s">
        <v>39</v>
      </c>
      <c r="C47" t="s">
        <v>75</v>
      </c>
      <c r="D47" t="s">
        <v>17</v>
      </c>
      <c r="E47">
        <v>40</v>
      </c>
      <c r="F47">
        <v>40</v>
      </c>
      <c r="G47">
        <v>40</v>
      </c>
      <c r="H47">
        <v>40</v>
      </c>
      <c r="I47">
        <v>40</v>
      </c>
      <c r="J47">
        <v>40</v>
      </c>
      <c r="K47">
        <v>40</v>
      </c>
      <c r="L47">
        <v>40</v>
      </c>
      <c r="M47">
        <v>40</v>
      </c>
      <c r="N47" t="s">
        <v>35</v>
      </c>
    </row>
    <row r="48" spans="2:14">
      <c r="B48" t="s">
        <v>39</v>
      </c>
      <c r="C48" t="s">
        <v>75</v>
      </c>
      <c r="D48" t="s">
        <v>17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 t="s">
        <v>38</v>
      </c>
    </row>
    <row r="49" spans="2:14">
      <c r="B49" t="s">
        <v>41</v>
      </c>
      <c r="C49" t="s">
        <v>75</v>
      </c>
      <c r="D49" t="s">
        <v>17</v>
      </c>
      <c r="G49">
        <v>2070.1</v>
      </c>
      <c r="J49">
        <v>2070.1</v>
      </c>
      <c r="M49">
        <v>2070.1</v>
      </c>
      <c r="N49" t="s">
        <v>18</v>
      </c>
    </row>
    <row r="50" spans="2:14">
      <c r="B50" t="s">
        <v>41</v>
      </c>
      <c r="C50" t="s">
        <v>75</v>
      </c>
      <c r="D50" t="s">
        <v>17</v>
      </c>
      <c r="G50">
        <v>61.2</v>
      </c>
      <c r="J50">
        <v>61.2</v>
      </c>
      <c r="M50">
        <v>61.2</v>
      </c>
      <c r="N50" t="s">
        <v>25</v>
      </c>
    </row>
    <row r="51" spans="2:14">
      <c r="B51" t="s">
        <v>41</v>
      </c>
      <c r="C51" t="s">
        <v>75</v>
      </c>
      <c r="D51" t="s">
        <v>17</v>
      </c>
      <c r="G51">
        <v>9.5004000000000008</v>
      </c>
      <c r="J51">
        <v>9.5004000000000008</v>
      </c>
      <c r="M51">
        <v>9.5004000000000008</v>
      </c>
      <c r="N51" t="s">
        <v>28</v>
      </c>
    </row>
    <row r="52" spans="2:14">
      <c r="B52" t="s">
        <v>41</v>
      </c>
      <c r="C52" t="s">
        <v>75</v>
      </c>
      <c r="D52" t="s">
        <v>17</v>
      </c>
      <c r="G52">
        <v>0.46</v>
      </c>
      <c r="J52">
        <v>0.47</v>
      </c>
      <c r="M52">
        <v>0.48</v>
      </c>
      <c r="N52" t="s">
        <v>32</v>
      </c>
    </row>
    <row r="53" spans="2:14">
      <c r="B53" t="s">
        <v>41</v>
      </c>
      <c r="C53" t="s">
        <v>75</v>
      </c>
      <c r="D53" t="s">
        <v>17</v>
      </c>
      <c r="E53">
        <v>40</v>
      </c>
      <c r="F53">
        <v>40</v>
      </c>
      <c r="G53">
        <v>40</v>
      </c>
      <c r="H53">
        <v>40</v>
      </c>
      <c r="I53">
        <v>40</v>
      </c>
      <c r="J53">
        <v>40</v>
      </c>
      <c r="K53">
        <v>40</v>
      </c>
      <c r="L53">
        <v>40</v>
      </c>
      <c r="M53">
        <v>40</v>
      </c>
      <c r="N53" t="s">
        <v>35</v>
      </c>
    </row>
    <row r="54" spans="2:14">
      <c r="B54" t="s">
        <v>41</v>
      </c>
      <c r="C54" t="s">
        <v>75</v>
      </c>
      <c r="D54" t="s">
        <v>17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 t="s">
        <v>38</v>
      </c>
    </row>
    <row r="55" spans="2:14">
      <c r="B55" t="s">
        <v>43</v>
      </c>
      <c r="C55" t="s">
        <v>75</v>
      </c>
      <c r="D55" t="s">
        <v>17</v>
      </c>
      <c r="G55">
        <v>2352.4</v>
      </c>
      <c r="J55">
        <v>2164.1999999999998</v>
      </c>
      <c r="M55">
        <v>2164.1999999999998</v>
      </c>
      <c r="N55" t="s">
        <v>18</v>
      </c>
    </row>
    <row r="56" spans="2:14">
      <c r="B56" t="s">
        <v>43</v>
      </c>
      <c r="C56" t="s">
        <v>75</v>
      </c>
      <c r="D56" t="s">
        <v>17</v>
      </c>
      <c r="G56">
        <v>84.7</v>
      </c>
      <c r="J56">
        <v>75.3</v>
      </c>
      <c r="M56">
        <v>75.3</v>
      </c>
      <c r="N56" t="s">
        <v>25</v>
      </c>
    </row>
    <row r="57" spans="2:14">
      <c r="B57" t="s">
        <v>43</v>
      </c>
      <c r="C57" t="s">
        <v>75</v>
      </c>
      <c r="D57" t="s">
        <v>17</v>
      </c>
      <c r="G57">
        <v>0.46</v>
      </c>
      <c r="J57">
        <v>0.49</v>
      </c>
      <c r="M57">
        <v>0.5</v>
      </c>
      <c r="N57" t="s">
        <v>32</v>
      </c>
    </row>
    <row r="58" spans="2:14">
      <c r="B58" t="s">
        <v>43</v>
      </c>
      <c r="C58" t="s">
        <v>75</v>
      </c>
      <c r="D58" t="s">
        <v>17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>
        <v>40</v>
      </c>
      <c r="L58">
        <v>40</v>
      </c>
      <c r="M58">
        <v>40</v>
      </c>
      <c r="N58" t="s">
        <v>35</v>
      </c>
    </row>
    <row r="59" spans="2:14">
      <c r="B59" t="s">
        <v>43</v>
      </c>
      <c r="C59" t="s">
        <v>75</v>
      </c>
      <c r="D59" t="s">
        <v>17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 t="s">
        <v>38</v>
      </c>
    </row>
    <row r="60" spans="2:14">
      <c r="B60" t="s">
        <v>45</v>
      </c>
      <c r="C60" t="s">
        <v>76</v>
      </c>
      <c r="D60" t="s">
        <v>17</v>
      </c>
      <c r="G60">
        <v>6210.4</v>
      </c>
      <c r="J60">
        <v>4704.8</v>
      </c>
      <c r="M60">
        <v>4234.3</v>
      </c>
      <c r="N60" t="s">
        <v>18</v>
      </c>
    </row>
    <row r="61" spans="2:14">
      <c r="B61" t="s">
        <v>45</v>
      </c>
      <c r="C61" t="s">
        <v>76</v>
      </c>
      <c r="D61" t="s">
        <v>17</v>
      </c>
      <c r="G61">
        <v>155.30000000000001</v>
      </c>
      <c r="J61">
        <v>160</v>
      </c>
      <c r="M61">
        <v>150.6</v>
      </c>
      <c r="N61" t="s">
        <v>25</v>
      </c>
    </row>
    <row r="62" spans="2:14">
      <c r="B62" t="s">
        <v>45</v>
      </c>
      <c r="C62" t="s">
        <v>76</v>
      </c>
      <c r="D62" t="s">
        <v>17</v>
      </c>
      <c r="J62">
        <v>2.8008000000000002</v>
      </c>
      <c r="M62">
        <v>2.8008000000000002</v>
      </c>
      <c r="N62" t="s">
        <v>28</v>
      </c>
    </row>
    <row r="63" spans="2:14">
      <c r="B63" t="s">
        <v>45</v>
      </c>
      <c r="C63" t="s">
        <v>76</v>
      </c>
      <c r="D63" t="s">
        <v>17</v>
      </c>
      <c r="E63">
        <v>60</v>
      </c>
      <c r="F63">
        <v>60</v>
      </c>
      <c r="G63">
        <v>60</v>
      </c>
      <c r="H63">
        <v>60</v>
      </c>
      <c r="I63">
        <v>60</v>
      </c>
      <c r="J63">
        <v>60</v>
      </c>
      <c r="K63">
        <v>60</v>
      </c>
      <c r="L63">
        <v>60</v>
      </c>
      <c r="M63">
        <v>60</v>
      </c>
      <c r="N63" t="s">
        <v>35</v>
      </c>
    </row>
    <row r="64" spans="2:14">
      <c r="B64" t="s">
        <v>45</v>
      </c>
      <c r="C64" t="s">
        <v>76</v>
      </c>
      <c r="D64" t="s">
        <v>17</v>
      </c>
      <c r="E64">
        <v>7</v>
      </c>
      <c r="F64">
        <v>7</v>
      </c>
      <c r="G64">
        <v>7</v>
      </c>
      <c r="H64">
        <v>7</v>
      </c>
      <c r="I64">
        <v>7</v>
      </c>
      <c r="J64">
        <v>7</v>
      </c>
      <c r="K64">
        <v>7</v>
      </c>
      <c r="L64">
        <v>7</v>
      </c>
      <c r="M64">
        <v>7</v>
      </c>
      <c r="N64" t="s">
        <v>38</v>
      </c>
    </row>
    <row r="65" spans="2:14">
      <c r="B65" t="s">
        <v>47</v>
      </c>
      <c r="C65" t="s">
        <v>76</v>
      </c>
      <c r="D65" t="s">
        <v>17</v>
      </c>
      <c r="I65">
        <v>10266</v>
      </c>
      <c r="J65">
        <v>8364.9</v>
      </c>
      <c r="K65">
        <v>6373.8</v>
      </c>
      <c r="L65">
        <v>5480.2</v>
      </c>
      <c r="M65">
        <v>4884.6000000000004</v>
      </c>
      <c r="N65" t="s">
        <v>18</v>
      </c>
    </row>
    <row r="66" spans="2:14">
      <c r="B66" t="s">
        <v>47</v>
      </c>
      <c r="C66" t="s">
        <v>76</v>
      </c>
      <c r="D66" t="s">
        <v>17</v>
      </c>
      <c r="I66">
        <v>144.69999999999999</v>
      </c>
      <c r="J66">
        <v>144.69999999999999</v>
      </c>
      <c r="K66">
        <v>136</v>
      </c>
      <c r="L66">
        <v>136</v>
      </c>
      <c r="M66">
        <v>136</v>
      </c>
      <c r="N66" t="s">
        <v>25</v>
      </c>
    </row>
    <row r="67" spans="2:14">
      <c r="B67" t="s">
        <v>47</v>
      </c>
      <c r="C67" t="s">
        <v>76</v>
      </c>
      <c r="D67" t="s">
        <v>17</v>
      </c>
      <c r="I67">
        <v>2.5992000000000002</v>
      </c>
      <c r="J67">
        <v>2.5992000000000002</v>
      </c>
      <c r="K67">
        <v>2.5992000000000002</v>
      </c>
      <c r="L67">
        <v>2.5992000000000002</v>
      </c>
      <c r="M67">
        <v>2.5992000000000002</v>
      </c>
      <c r="N67" t="s">
        <v>28</v>
      </c>
    </row>
    <row r="68" spans="2:14">
      <c r="B68" t="s">
        <v>47</v>
      </c>
      <c r="C68" t="s">
        <v>76</v>
      </c>
      <c r="D68" t="s">
        <v>17</v>
      </c>
      <c r="E68">
        <v>40</v>
      </c>
      <c r="F68">
        <v>40</v>
      </c>
      <c r="G68">
        <v>40</v>
      </c>
      <c r="H68">
        <v>40</v>
      </c>
      <c r="I68">
        <v>40</v>
      </c>
      <c r="J68">
        <v>40</v>
      </c>
      <c r="K68">
        <v>40</v>
      </c>
      <c r="L68">
        <v>40</v>
      </c>
      <c r="M68">
        <v>40</v>
      </c>
      <c r="N68" t="s">
        <v>35</v>
      </c>
    </row>
    <row r="69" spans="2:14">
      <c r="B69" t="s">
        <v>47</v>
      </c>
      <c r="C69" t="s">
        <v>76</v>
      </c>
      <c r="D69" t="s">
        <v>17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>
        <v>3</v>
      </c>
      <c r="N69" t="s">
        <v>38</v>
      </c>
    </row>
    <row r="70" spans="2:14">
      <c r="B70" t="s">
        <v>49</v>
      </c>
      <c r="C70" t="s">
        <v>77</v>
      </c>
      <c r="D70" t="s">
        <v>17</v>
      </c>
      <c r="G70">
        <v>2258.3000000000002</v>
      </c>
      <c r="J70">
        <v>2211.3000000000002</v>
      </c>
      <c r="M70">
        <v>2164.1999999999998</v>
      </c>
      <c r="N70" t="s">
        <v>18</v>
      </c>
    </row>
    <row r="71" spans="2:14">
      <c r="B71" t="s">
        <v>49</v>
      </c>
      <c r="C71" t="s">
        <v>77</v>
      </c>
      <c r="D71" t="s">
        <v>17</v>
      </c>
      <c r="G71">
        <v>80</v>
      </c>
      <c r="J71">
        <v>75.3</v>
      </c>
      <c r="M71">
        <v>75.3</v>
      </c>
      <c r="N71" t="s">
        <v>25</v>
      </c>
    </row>
    <row r="72" spans="2:14">
      <c r="B72" t="s">
        <v>49</v>
      </c>
      <c r="C72" t="s">
        <v>77</v>
      </c>
      <c r="D72" t="s">
        <v>17</v>
      </c>
      <c r="G72">
        <v>5.2451999999999996</v>
      </c>
      <c r="J72">
        <v>5.2451999999999996</v>
      </c>
      <c r="M72">
        <v>5.2451999999999996</v>
      </c>
      <c r="N72" t="s">
        <v>28</v>
      </c>
    </row>
    <row r="73" spans="2:14">
      <c r="B73" t="s">
        <v>49</v>
      </c>
      <c r="C73" t="s">
        <v>77</v>
      </c>
      <c r="D73" t="s">
        <v>17</v>
      </c>
      <c r="G73">
        <v>0.35</v>
      </c>
      <c r="J73">
        <v>0.35</v>
      </c>
      <c r="M73">
        <v>0.35</v>
      </c>
      <c r="N73" t="s">
        <v>32</v>
      </c>
    </row>
    <row r="74" spans="2:14">
      <c r="B74" t="s">
        <v>49</v>
      </c>
      <c r="C74" t="s">
        <v>77</v>
      </c>
      <c r="D74" t="s">
        <v>17</v>
      </c>
      <c r="G74">
        <v>0.6</v>
      </c>
      <c r="J74">
        <v>0.6</v>
      </c>
      <c r="M74">
        <v>0.6</v>
      </c>
      <c r="N74" t="s">
        <v>78</v>
      </c>
    </row>
    <row r="75" spans="2:14">
      <c r="B75" t="s">
        <v>49</v>
      </c>
      <c r="C75" t="s">
        <v>77</v>
      </c>
      <c r="D75" t="s">
        <v>17</v>
      </c>
      <c r="E75">
        <v>45</v>
      </c>
      <c r="F75">
        <v>45</v>
      </c>
      <c r="G75">
        <v>45</v>
      </c>
      <c r="H75">
        <v>45</v>
      </c>
      <c r="I75">
        <v>45</v>
      </c>
      <c r="J75">
        <v>45</v>
      </c>
      <c r="K75">
        <v>45</v>
      </c>
      <c r="L75">
        <v>45</v>
      </c>
      <c r="M75">
        <v>45</v>
      </c>
      <c r="N75" t="s">
        <v>35</v>
      </c>
    </row>
    <row r="76" spans="2:14">
      <c r="B76" t="s">
        <v>49</v>
      </c>
      <c r="C76" t="s">
        <v>77</v>
      </c>
      <c r="D76" t="s">
        <v>17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 t="s">
        <v>38</v>
      </c>
    </row>
    <row r="77" spans="2:14">
      <c r="B77" t="s">
        <v>51</v>
      </c>
      <c r="C77" t="s">
        <v>77</v>
      </c>
      <c r="D77" t="s">
        <v>53</v>
      </c>
      <c r="E77">
        <v>2748.9</v>
      </c>
      <c r="I77">
        <v>2638.9</v>
      </c>
      <c r="M77">
        <v>2528.9</v>
      </c>
      <c r="N77" t="s">
        <v>18</v>
      </c>
    </row>
    <row r="78" spans="2:14">
      <c r="B78" t="s">
        <v>51</v>
      </c>
      <c r="C78" t="s">
        <v>77</v>
      </c>
      <c r="D78" t="s">
        <v>53</v>
      </c>
      <c r="E78">
        <v>75.900000000000006</v>
      </c>
      <c r="I78">
        <v>70.400000000000006</v>
      </c>
      <c r="M78">
        <v>68.2</v>
      </c>
      <c r="N78" t="s">
        <v>25</v>
      </c>
    </row>
    <row r="79" spans="2:14">
      <c r="B79" t="s">
        <v>51</v>
      </c>
      <c r="C79" t="s">
        <v>77</v>
      </c>
      <c r="D79" t="s">
        <v>53</v>
      </c>
      <c r="E79">
        <v>2.88</v>
      </c>
      <c r="I79">
        <v>2.88</v>
      </c>
      <c r="M79">
        <v>2.88</v>
      </c>
      <c r="N79" t="s">
        <v>28</v>
      </c>
    </row>
    <row r="80" spans="2:14">
      <c r="B80" t="s">
        <v>51</v>
      </c>
      <c r="C80" t="s">
        <v>77</v>
      </c>
      <c r="D80" t="s">
        <v>53</v>
      </c>
      <c r="E80">
        <v>0.40899999999999997</v>
      </c>
      <c r="I80">
        <v>0.41</v>
      </c>
      <c r="M80">
        <v>0.39400000000000002</v>
      </c>
      <c r="N80" t="s">
        <v>32</v>
      </c>
    </row>
    <row r="81" spans="2:14">
      <c r="B81" t="s">
        <v>51</v>
      </c>
      <c r="C81" t="s">
        <v>77</v>
      </c>
      <c r="D81" t="s">
        <v>53</v>
      </c>
      <c r="E81">
        <v>25</v>
      </c>
      <c r="F81">
        <v>25</v>
      </c>
      <c r="G81">
        <v>25</v>
      </c>
      <c r="H81">
        <v>25</v>
      </c>
      <c r="I81">
        <v>25</v>
      </c>
      <c r="J81">
        <v>25</v>
      </c>
      <c r="K81">
        <v>25</v>
      </c>
      <c r="L81">
        <v>25</v>
      </c>
      <c r="M81">
        <v>25</v>
      </c>
      <c r="N81" t="s">
        <v>35</v>
      </c>
    </row>
    <row r="82" spans="2:14">
      <c r="B82" t="s">
        <v>51</v>
      </c>
      <c r="C82" t="s">
        <v>77</v>
      </c>
      <c r="D82" t="s">
        <v>53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 t="s">
        <v>38</v>
      </c>
    </row>
    <row r="83" spans="2:14">
      <c r="B83" t="s">
        <v>51</v>
      </c>
      <c r="C83" t="s">
        <v>77</v>
      </c>
      <c r="D83" t="s">
        <v>53</v>
      </c>
      <c r="E83">
        <v>1.8237000000000001</v>
      </c>
      <c r="I83">
        <v>1.8137000000000001</v>
      </c>
      <c r="M83">
        <v>1.9169</v>
      </c>
      <c r="N83" t="s">
        <v>70</v>
      </c>
    </row>
    <row r="84" spans="2:14">
      <c r="B84" t="s">
        <v>51</v>
      </c>
      <c r="C84" t="s">
        <v>77</v>
      </c>
      <c r="D84" t="s">
        <v>53</v>
      </c>
      <c r="E84">
        <v>0.14000000000000001</v>
      </c>
      <c r="I84">
        <v>0.14000000000000001</v>
      </c>
      <c r="M84">
        <v>0.13</v>
      </c>
      <c r="N84" t="s">
        <v>73</v>
      </c>
    </row>
    <row r="85" spans="2:14">
      <c r="B85" t="s">
        <v>55</v>
      </c>
      <c r="C85" t="s">
        <v>16</v>
      </c>
      <c r="D85" t="s">
        <v>53</v>
      </c>
      <c r="E85">
        <v>66</v>
      </c>
      <c r="I85">
        <v>55</v>
      </c>
      <c r="M85">
        <v>55</v>
      </c>
      <c r="N85" t="s">
        <v>18</v>
      </c>
    </row>
    <row r="86" spans="2:14">
      <c r="B86" t="s">
        <v>55</v>
      </c>
      <c r="C86" t="s">
        <v>16</v>
      </c>
      <c r="D86" t="s">
        <v>53</v>
      </c>
      <c r="E86">
        <v>2.1</v>
      </c>
      <c r="I86">
        <v>2.1</v>
      </c>
      <c r="M86">
        <v>1.9</v>
      </c>
      <c r="N86" t="s">
        <v>25</v>
      </c>
    </row>
    <row r="87" spans="2:14">
      <c r="B87" t="s">
        <v>55</v>
      </c>
      <c r="C87" t="s">
        <v>16</v>
      </c>
      <c r="D87" t="s">
        <v>53</v>
      </c>
      <c r="E87">
        <v>1.08</v>
      </c>
      <c r="I87">
        <v>1.08</v>
      </c>
      <c r="M87">
        <v>1.08</v>
      </c>
      <c r="N87" t="s">
        <v>28</v>
      </c>
    </row>
    <row r="88" spans="2:14">
      <c r="B88" t="s">
        <v>55</v>
      </c>
      <c r="C88" t="s">
        <v>16</v>
      </c>
      <c r="D88" t="s">
        <v>53</v>
      </c>
      <c r="E88">
        <v>1.03</v>
      </c>
      <c r="I88">
        <v>1.04</v>
      </c>
      <c r="M88">
        <v>1.04</v>
      </c>
      <c r="N88" t="s">
        <v>32</v>
      </c>
    </row>
    <row r="89" spans="2:14">
      <c r="B89" t="s">
        <v>55</v>
      </c>
      <c r="C89" t="s">
        <v>16</v>
      </c>
      <c r="D89" t="s">
        <v>53</v>
      </c>
      <c r="E89">
        <v>25</v>
      </c>
      <c r="F89">
        <v>25</v>
      </c>
      <c r="G89">
        <v>25</v>
      </c>
      <c r="H89">
        <v>25</v>
      </c>
      <c r="I89">
        <v>25</v>
      </c>
      <c r="J89">
        <v>25</v>
      </c>
      <c r="K89">
        <v>25</v>
      </c>
      <c r="L89">
        <v>25</v>
      </c>
      <c r="M89">
        <v>25</v>
      </c>
      <c r="N89" t="s">
        <v>35</v>
      </c>
    </row>
    <row r="90" spans="2:14">
      <c r="B90" t="s">
        <v>55</v>
      </c>
      <c r="C90" t="s">
        <v>16</v>
      </c>
      <c r="D90" t="s">
        <v>53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 t="s">
        <v>38</v>
      </c>
    </row>
    <row r="91" spans="2:14">
      <c r="B91" t="s">
        <v>58</v>
      </c>
      <c r="C91" t="s">
        <v>77</v>
      </c>
      <c r="D91" t="s">
        <v>53</v>
      </c>
      <c r="E91">
        <v>483.8</v>
      </c>
      <c r="I91">
        <v>461.8</v>
      </c>
      <c r="M91">
        <v>439.8</v>
      </c>
      <c r="N91" t="s">
        <v>18</v>
      </c>
    </row>
    <row r="92" spans="2:14">
      <c r="B92" t="s">
        <v>58</v>
      </c>
      <c r="C92" t="s">
        <v>77</v>
      </c>
      <c r="D92" t="s">
        <v>53</v>
      </c>
      <c r="E92">
        <v>38</v>
      </c>
      <c r="I92">
        <v>36.6</v>
      </c>
      <c r="M92">
        <v>34.5</v>
      </c>
      <c r="N92" t="s">
        <v>25</v>
      </c>
    </row>
    <row r="93" spans="2:14">
      <c r="B93" t="s">
        <v>58</v>
      </c>
      <c r="C93" t="s">
        <v>77</v>
      </c>
      <c r="D93" t="s">
        <v>53</v>
      </c>
      <c r="E93">
        <v>1.44</v>
      </c>
      <c r="I93">
        <v>1.44</v>
      </c>
      <c r="M93">
        <v>1.44</v>
      </c>
      <c r="N93" t="s">
        <v>28</v>
      </c>
    </row>
    <row r="94" spans="2:14">
      <c r="B94" t="s">
        <v>58</v>
      </c>
      <c r="C94" t="s">
        <v>77</v>
      </c>
      <c r="D94" t="s">
        <v>53</v>
      </c>
      <c r="E94">
        <v>1.149</v>
      </c>
      <c r="I94">
        <v>1.149</v>
      </c>
      <c r="M94">
        <v>1.149</v>
      </c>
      <c r="N94" t="s">
        <v>32</v>
      </c>
    </row>
    <row r="95" spans="2:14">
      <c r="B95" t="s">
        <v>58</v>
      </c>
      <c r="C95" t="s">
        <v>77</v>
      </c>
      <c r="D95" t="s">
        <v>53</v>
      </c>
      <c r="E95">
        <v>25</v>
      </c>
      <c r="F95">
        <v>25</v>
      </c>
      <c r="G95">
        <v>25</v>
      </c>
      <c r="H95">
        <v>25</v>
      </c>
      <c r="I95">
        <v>25</v>
      </c>
      <c r="J95">
        <v>25</v>
      </c>
      <c r="K95">
        <v>25</v>
      </c>
      <c r="L95">
        <v>25</v>
      </c>
      <c r="M95">
        <v>25</v>
      </c>
      <c r="N95" t="s">
        <v>35</v>
      </c>
    </row>
    <row r="96" spans="2:14">
      <c r="B96" t="s">
        <v>58</v>
      </c>
      <c r="C96" t="s">
        <v>77</v>
      </c>
      <c r="D96" t="s">
        <v>53</v>
      </c>
      <c r="E96">
        <v>3</v>
      </c>
      <c r="F96">
        <v>3</v>
      </c>
      <c r="G96">
        <v>3</v>
      </c>
      <c r="H96">
        <v>3</v>
      </c>
      <c r="I96">
        <v>3</v>
      </c>
      <c r="J96">
        <v>3</v>
      </c>
      <c r="K96">
        <v>3</v>
      </c>
      <c r="L96">
        <v>3</v>
      </c>
      <c r="M96">
        <v>3</v>
      </c>
      <c r="N96" t="s">
        <v>38</v>
      </c>
    </row>
    <row r="97" spans="2:14">
      <c r="B97" t="s">
        <v>60</v>
      </c>
      <c r="D97" t="s">
        <v>53</v>
      </c>
      <c r="H97">
        <v>72.400000000000006</v>
      </c>
      <c r="I97">
        <v>72.400000000000006</v>
      </c>
      <c r="J97">
        <v>72.400000000000006</v>
      </c>
      <c r="K97">
        <v>72.400000000000006</v>
      </c>
      <c r="M97">
        <v>72.400000000000006</v>
      </c>
      <c r="N97" t="s">
        <v>18</v>
      </c>
    </row>
    <row r="98" spans="2:14">
      <c r="B98" t="s">
        <v>60</v>
      </c>
      <c r="D98" t="s">
        <v>53</v>
      </c>
      <c r="H98">
        <v>1.2</v>
      </c>
      <c r="I98">
        <v>1.2</v>
      </c>
      <c r="J98">
        <v>1.2</v>
      </c>
      <c r="K98">
        <v>1.2</v>
      </c>
      <c r="M98">
        <v>1.2</v>
      </c>
      <c r="N98" t="s">
        <v>25</v>
      </c>
    </row>
    <row r="99" spans="2:14">
      <c r="B99" t="s">
        <v>60</v>
      </c>
      <c r="D99" t="s">
        <v>53</v>
      </c>
      <c r="H99">
        <v>0.72</v>
      </c>
      <c r="I99">
        <v>0.72</v>
      </c>
      <c r="J99">
        <v>0.72</v>
      </c>
      <c r="K99">
        <v>0.72</v>
      </c>
      <c r="M99">
        <v>0.72</v>
      </c>
      <c r="N99" t="s">
        <v>28</v>
      </c>
    </row>
    <row r="100" spans="2:14">
      <c r="B100" t="s">
        <v>60</v>
      </c>
      <c r="D100" t="s">
        <v>53</v>
      </c>
      <c r="H100">
        <v>0.99</v>
      </c>
      <c r="I100">
        <v>0.99</v>
      </c>
      <c r="J100">
        <v>0.99</v>
      </c>
      <c r="K100">
        <v>0.99</v>
      </c>
      <c r="M100">
        <v>0.99</v>
      </c>
      <c r="N100" t="s">
        <v>32</v>
      </c>
    </row>
    <row r="101" spans="2:14">
      <c r="B101" t="s">
        <v>60</v>
      </c>
      <c r="D101" t="s">
        <v>53</v>
      </c>
      <c r="E101">
        <v>20</v>
      </c>
      <c r="F101">
        <v>20</v>
      </c>
      <c r="G101">
        <v>20</v>
      </c>
      <c r="H101">
        <v>20</v>
      </c>
      <c r="I101">
        <v>20</v>
      </c>
      <c r="J101">
        <v>20</v>
      </c>
      <c r="K101">
        <v>20</v>
      </c>
      <c r="L101">
        <v>20</v>
      </c>
      <c r="M101">
        <v>20</v>
      </c>
      <c r="N101" t="s">
        <v>35</v>
      </c>
    </row>
    <row r="102" spans="2:14">
      <c r="B102" t="s">
        <v>60</v>
      </c>
      <c r="D102" t="s">
        <v>53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 t="s">
        <v>38</v>
      </c>
    </row>
    <row r="103" spans="2:14">
      <c r="B103" t="s">
        <v>62</v>
      </c>
      <c r="D103" t="s">
        <v>53</v>
      </c>
      <c r="H103">
        <v>1054.7</v>
      </c>
      <c r="I103">
        <v>1028.3</v>
      </c>
      <c r="J103">
        <v>1002</v>
      </c>
      <c r="K103">
        <v>976.9</v>
      </c>
      <c r="M103">
        <v>951.9</v>
      </c>
      <c r="N103" t="s">
        <v>18</v>
      </c>
    </row>
    <row r="104" spans="2:14">
      <c r="B104" t="s">
        <v>62</v>
      </c>
      <c r="D104" t="s">
        <v>53</v>
      </c>
      <c r="H104">
        <v>2.2000000000000002</v>
      </c>
      <c r="I104">
        <v>2.1</v>
      </c>
      <c r="J104">
        <v>2.1</v>
      </c>
      <c r="K104">
        <v>2</v>
      </c>
      <c r="M104">
        <v>2</v>
      </c>
      <c r="N104" t="s">
        <v>25</v>
      </c>
    </row>
    <row r="105" spans="2:14">
      <c r="B105" t="s">
        <v>62</v>
      </c>
      <c r="D105" t="s">
        <v>53</v>
      </c>
      <c r="H105">
        <v>0.72</v>
      </c>
      <c r="I105">
        <v>0.72</v>
      </c>
      <c r="J105">
        <v>0.72</v>
      </c>
      <c r="K105">
        <v>0.72</v>
      </c>
      <c r="M105">
        <v>0.72</v>
      </c>
      <c r="N105" t="s">
        <v>28</v>
      </c>
    </row>
    <row r="106" spans="2:14">
      <c r="B106" t="s">
        <v>62</v>
      </c>
      <c r="D106" t="s">
        <v>53</v>
      </c>
      <c r="H106">
        <v>2.8</v>
      </c>
      <c r="I106">
        <v>2.8</v>
      </c>
      <c r="J106">
        <v>2.8</v>
      </c>
      <c r="K106">
        <v>2.8</v>
      </c>
      <c r="M106">
        <v>2.9169999999999998</v>
      </c>
      <c r="N106" t="s">
        <v>32</v>
      </c>
    </row>
    <row r="107" spans="2:14">
      <c r="B107" t="s">
        <v>62</v>
      </c>
      <c r="D107" t="s">
        <v>53</v>
      </c>
      <c r="E107">
        <v>25</v>
      </c>
      <c r="F107">
        <v>25</v>
      </c>
      <c r="G107">
        <v>25</v>
      </c>
      <c r="H107">
        <v>25</v>
      </c>
      <c r="I107">
        <v>25</v>
      </c>
      <c r="J107">
        <v>25</v>
      </c>
      <c r="K107">
        <v>25</v>
      </c>
      <c r="L107">
        <v>25</v>
      </c>
      <c r="M107">
        <v>25</v>
      </c>
      <c r="N107" t="s">
        <v>35</v>
      </c>
    </row>
    <row r="108" spans="2:14">
      <c r="B108" t="s">
        <v>62</v>
      </c>
      <c r="D108" t="s">
        <v>53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 t="s">
        <v>38</v>
      </c>
    </row>
    <row r="109" spans="2:14">
      <c r="B109" t="s">
        <v>65</v>
      </c>
      <c r="F109">
        <v>2100.8000000000002</v>
      </c>
      <c r="H109">
        <v>1390.7</v>
      </c>
      <c r="I109">
        <v>1117.5999999999999</v>
      </c>
      <c r="J109">
        <v>1028.7</v>
      </c>
      <c r="K109">
        <v>939.8</v>
      </c>
      <c r="L109">
        <v>850.9</v>
      </c>
      <c r="M109">
        <v>762</v>
      </c>
      <c r="N109" t="s">
        <v>18</v>
      </c>
    </row>
    <row r="110" spans="2:14">
      <c r="B110" t="s">
        <v>65</v>
      </c>
      <c r="F110">
        <v>48.2</v>
      </c>
      <c r="H110">
        <v>31</v>
      </c>
      <c r="I110">
        <v>24.5</v>
      </c>
      <c r="J110">
        <v>22.3</v>
      </c>
      <c r="K110">
        <v>20.2</v>
      </c>
      <c r="L110">
        <v>18</v>
      </c>
      <c r="M110">
        <v>15.9</v>
      </c>
      <c r="N110" t="s">
        <v>25</v>
      </c>
    </row>
    <row r="111" spans="2:14">
      <c r="B111" t="s">
        <v>65</v>
      </c>
      <c r="F111">
        <v>0.50039999999999996</v>
      </c>
      <c r="H111">
        <v>0.50039999999999996</v>
      </c>
      <c r="I111">
        <v>0.50039999999999996</v>
      </c>
      <c r="J111">
        <v>0.50039999999999996</v>
      </c>
      <c r="K111">
        <v>0.50039999999999996</v>
      </c>
      <c r="L111">
        <v>0.50039999999999996</v>
      </c>
      <c r="M111">
        <v>0.50039999999999996</v>
      </c>
      <c r="N111" t="s">
        <v>28</v>
      </c>
    </row>
    <row r="112" spans="2:14">
      <c r="B112" t="s">
        <v>65</v>
      </c>
      <c r="F112">
        <v>0.86</v>
      </c>
      <c r="H112">
        <v>0.86</v>
      </c>
      <c r="I112">
        <v>0.86</v>
      </c>
      <c r="J112">
        <v>0.86</v>
      </c>
      <c r="K112">
        <v>0.86</v>
      </c>
      <c r="L112">
        <v>0.86</v>
      </c>
      <c r="M112">
        <v>0.86</v>
      </c>
      <c r="N112" t="s">
        <v>79</v>
      </c>
    </row>
    <row r="113" spans="2:16">
      <c r="B113" t="s">
        <v>65</v>
      </c>
      <c r="E113">
        <v>20</v>
      </c>
      <c r="F113">
        <v>20</v>
      </c>
      <c r="G113">
        <v>20</v>
      </c>
      <c r="H113">
        <v>20</v>
      </c>
      <c r="I113">
        <v>20</v>
      </c>
      <c r="J113">
        <v>20</v>
      </c>
      <c r="K113">
        <v>20</v>
      </c>
      <c r="L113">
        <v>20</v>
      </c>
      <c r="M113">
        <v>20</v>
      </c>
      <c r="N113" t="s">
        <v>35</v>
      </c>
    </row>
    <row r="114" spans="2:16">
      <c r="B114" t="s">
        <v>65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 t="s">
        <v>38</v>
      </c>
    </row>
    <row r="115" spans="2:16">
      <c r="B115" t="s">
        <v>65</v>
      </c>
      <c r="E115">
        <v>0.16666700000000001</v>
      </c>
      <c r="F115">
        <v>0.16666700000000001</v>
      </c>
      <c r="G115">
        <v>0.16666700000000001</v>
      </c>
      <c r="H115">
        <v>0.16666700000000001</v>
      </c>
      <c r="I115">
        <v>0.16666700000000001</v>
      </c>
      <c r="J115">
        <v>0.16666700000000001</v>
      </c>
      <c r="K115">
        <v>0.16666700000000001</v>
      </c>
      <c r="L115">
        <v>0.16666700000000001</v>
      </c>
      <c r="M115">
        <v>0.16666700000000001</v>
      </c>
      <c r="N115" t="s">
        <v>80</v>
      </c>
      <c r="O115" t="s">
        <v>81</v>
      </c>
      <c r="P115" t="s">
        <v>82</v>
      </c>
    </row>
    <row r="116" spans="2:16">
      <c r="B116" t="s">
        <v>65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 t="s">
        <v>80</v>
      </c>
      <c r="O116" t="s">
        <v>83</v>
      </c>
      <c r="P116" t="s">
        <v>82</v>
      </c>
    </row>
    <row r="117" spans="2:16">
      <c r="B117" t="s">
        <v>65</v>
      </c>
      <c r="E117">
        <v>8.76</v>
      </c>
      <c r="F117">
        <v>8.76</v>
      </c>
      <c r="G117">
        <v>8.76</v>
      </c>
      <c r="H117">
        <v>8.76</v>
      </c>
      <c r="I117">
        <v>8.76</v>
      </c>
      <c r="J117">
        <v>8.76</v>
      </c>
      <c r="K117">
        <v>8.76</v>
      </c>
      <c r="L117">
        <v>8.76</v>
      </c>
      <c r="M117">
        <v>8.76</v>
      </c>
      <c r="N117" t="s">
        <v>84</v>
      </c>
    </row>
    <row r="118" spans="2:16">
      <c r="B118" t="s">
        <v>65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 t="s">
        <v>85</v>
      </c>
      <c r="P118" t="s">
        <v>86</v>
      </c>
    </row>
    <row r="119" spans="2:16">
      <c r="B119" t="s">
        <v>68</v>
      </c>
      <c r="F119">
        <v>3721.6</v>
      </c>
      <c r="H119">
        <v>2436.3000000000002</v>
      </c>
      <c r="I119">
        <v>1940.6</v>
      </c>
      <c r="J119">
        <v>1780.6</v>
      </c>
      <c r="K119">
        <v>1617.6</v>
      </c>
      <c r="L119">
        <v>1457.5</v>
      </c>
      <c r="M119">
        <v>1297.5</v>
      </c>
      <c r="N119" t="s">
        <v>18</v>
      </c>
    </row>
    <row r="120" spans="2:16">
      <c r="B120" t="s">
        <v>68</v>
      </c>
      <c r="F120">
        <v>87.3</v>
      </c>
      <c r="H120">
        <v>56.3</v>
      </c>
      <c r="I120">
        <v>44.3</v>
      </c>
      <c r="J120">
        <v>40.4</v>
      </c>
      <c r="K120">
        <v>36.5</v>
      </c>
      <c r="L120">
        <v>32.700000000000003</v>
      </c>
      <c r="M120">
        <v>28.8</v>
      </c>
      <c r="N120" t="s">
        <v>25</v>
      </c>
    </row>
    <row r="121" spans="2:16">
      <c r="B121" t="s">
        <v>68</v>
      </c>
      <c r="F121">
        <v>0.50039999999999996</v>
      </c>
      <c r="H121">
        <v>0.50039999999999996</v>
      </c>
      <c r="I121">
        <v>0.50039999999999996</v>
      </c>
      <c r="J121">
        <v>0.50039999999999996</v>
      </c>
      <c r="K121">
        <v>0.50039999999999996</v>
      </c>
      <c r="L121">
        <v>0.50039999999999996</v>
      </c>
      <c r="M121">
        <v>0.50039999999999996</v>
      </c>
      <c r="N121" t="s">
        <v>28</v>
      </c>
    </row>
    <row r="122" spans="2:16">
      <c r="B122" t="s">
        <v>68</v>
      </c>
      <c r="F122">
        <v>0.86</v>
      </c>
      <c r="H122">
        <v>0.86</v>
      </c>
      <c r="I122">
        <v>0.86</v>
      </c>
      <c r="J122">
        <v>0.86</v>
      </c>
      <c r="K122">
        <v>0.86</v>
      </c>
      <c r="L122">
        <v>0.86</v>
      </c>
      <c r="M122">
        <v>0.86</v>
      </c>
      <c r="N122" t="s">
        <v>79</v>
      </c>
    </row>
    <row r="123" spans="2:16">
      <c r="B123" t="s">
        <v>68</v>
      </c>
      <c r="E123">
        <v>20</v>
      </c>
      <c r="F123">
        <v>20</v>
      </c>
      <c r="G123">
        <v>20</v>
      </c>
      <c r="H123">
        <v>20</v>
      </c>
      <c r="I123">
        <v>20</v>
      </c>
      <c r="J123">
        <v>20</v>
      </c>
      <c r="K123">
        <v>20</v>
      </c>
      <c r="L123">
        <v>20</v>
      </c>
      <c r="M123">
        <v>20</v>
      </c>
      <c r="N123" t="s">
        <v>35</v>
      </c>
    </row>
    <row r="124" spans="2:16">
      <c r="B124" t="s">
        <v>68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 t="s">
        <v>38</v>
      </c>
    </row>
    <row r="125" spans="2:16">
      <c r="B125" t="s">
        <v>68</v>
      </c>
      <c r="E125">
        <v>0.33333299999999999</v>
      </c>
      <c r="F125">
        <v>0.33333299999999999</v>
      </c>
      <c r="G125">
        <v>0.33333299999999999</v>
      </c>
      <c r="H125">
        <v>0.33333299999999999</v>
      </c>
      <c r="I125">
        <v>0.33333299999999999</v>
      </c>
      <c r="J125">
        <v>0.33333299999999999</v>
      </c>
      <c r="K125">
        <v>0.33333299999999999</v>
      </c>
      <c r="L125">
        <v>0.33333299999999999</v>
      </c>
      <c r="M125">
        <v>0.33333299999999999</v>
      </c>
      <c r="N125" t="s">
        <v>80</v>
      </c>
      <c r="O125" t="s">
        <v>81</v>
      </c>
      <c r="P125" t="s">
        <v>82</v>
      </c>
    </row>
    <row r="126" spans="2:16">
      <c r="B126" t="s">
        <v>68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 t="s">
        <v>80</v>
      </c>
      <c r="O126" t="s">
        <v>83</v>
      </c>
      <c r="P126" t="s">
        <v>82</v>
      </c>
    </row>
    <row r="127" spans="2:16">
      <c r="B127" t="s">
        <v>68</v>
      </c>
      <c r="E127">
        <v>8.76</v>
      </c>
      <c r="F127">
        <v>8.76</v>
      </c>
      <c r="G127">
        <v>8.76</v>
      </c>
      <c r="H127">
        <v>8.76</v>
      </c>
      <c r="I127">
        <v>8.76</v>
      </c>
      <c r="J127">
        <v>8.76</v>
      </c>
      <c r="K127">
        <v>8.76</v>
      </c>
      <c r="L127">
        <v>8.76</v>
      </c>
      <c r="M127">
        <v>8.76</v>
      </c>
      <c r="N127" t="s">
        <v>84</v>
      </c>
    </row>
    <row r="128" spans="2:16">
      <c r="B128" t="s">
        <v>68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 t="s">
        <v>85</v>
      </c>
      <c r="P128" t="s">
        <v>86</v>
      </c>
    </row>
    <row r="129" spans="2:14">
      <c r="B129" t="s">
        <v>71</v>
      </c>
      <c r="C129" t="s">
        <v>16</v>
      </c>
      <c r="D129" t="s">
        <v>87</v>
      </c>
      <c r="E129">
        <v>0.52</v>
      </c>
      <c r="F129">
        <v>0.52</v>
      </c>
      <c r="G129">
        <v>0.52</v>
      </c>
      <c r="H129">
        <v>0.52</v>
      </c>
      <c r="I129">
        <v>0.52</v>
      </c>
      <c r="J129">
        <v>0.52</v>
      </c>
      <c r="K129">
        <v>0.52</v>
      </c>
      <c r="L129">
        <v>0.52</v>
      </c>
      <c r="M129">
        <v>0.52</v>
      </c>
      <c r="N129" t="s">
        <v>32</v>
      </c>
    </row>
    <row r="130" spans="2:14">
      <c r="B130" t="s">
        <v>71</v>
      </c>
      <c r="C130" t="s">
        <v>16</v>
      </c>
      <c r="D130" t="s">
        <v>87</v>
      </c>
      <c r="E130">
        <v>2917</v>
      </c>
      <c r="F130">
        <v>2917</v>
      </c>
      <c r="G130">
        <v>2917</v>
      </c>
      <c r="H130">
        <v>2917</v>
      </c>
      <c r="I130">
        <v>2917</v>
      </c>
      <c r="J130">
        <v>2917</v>
      </c>
      <c r="K130">
        <v>2917</v>
      </c>
      <c r="L130">
        <v>2917</v>
      </c>
      <c r="M130">
        <v>2917</v>
      </c>
      <c r="N130" t="s">
        <v>18</v>
      </c>
    </row>
    <row r="131" spans="2:14">
      <c r="B131" t="s">
        <v>71</v>
      </c>
      <c r="C131" t="s">
        <v>16</v>
      </c>
      <c r="D131" t="s">
        <v>87</v>
      </c>
      <c r="E131">
        <v>70.599999999999994</v>
      </c>
      <c r="F131">
        <v>70.599999999999994</v>
      </c>
      <c r="G131">
        <v>70.599999999999994</v>
      </c>
      <c r="H131">
        <v>70.599999999999994</v>
      </c>
      <c r="I131">
        <v>70.599999999999994</v>
      </c>
      <c r="J131">
        <v>70.599999999999994</v>
      </c>
      <c r="K131">
        <v>70.599999999999994</v>
      </c>
      <c r="L131">
        <v>70.599999999999994</v>
      </c>
      <c r="M131">
        <v>70.599999999999994</v>
      </c>
      <c r="N131" t="s">
        <v>25</v>
      </c>
    </row>
    <row r="132" spans="2:14">
      <c r="B132" t="s">
        <v>71</v>
      </c>
      <c r="C132" t="s">
        <v>16</v>
      </c>
      <c r="D132" t="s">
        <v>87</v>
      </c>
      <c r="E132">
        <v>4.68</v>
      </c>
      <c r="F132">
        <v>4.68</v>
      </c>
      <c r="G132">
        <v>4.68</v>
      </c>
      <c r="H132">
        <v>4.68</v>
      </c>
      <c r="I132">
        <v>4.68</v>
      </c>
      <c r="J132">
        <v>4.68</v>
      </c>
      <c r="K132">
        <v>4.68</v>
      </c>
      <c r="L132">
        <v>4.68</v>
      </c>
      <c r="M132">
        <v>4.68</v>
      </c>
      <c r="N132" t="s">
        <v>28</v>
      </c>
    </row>
    <row r="133" spans="2:14">
      <c r="B133" t="s">
        <v>71</v>
      </c>
      <c r="C133" t="s">
        <v>16</v>
      </c>
      <c r="D133" t="s">
        <v>87</v>
      </c>
      <c r="E133">
        <v>0.55559999999999998</v>
      </c>
      <c r="F133">
        <v>0.55559999999999998</v>
      </c>
      <c r="G133">
        <v>0.55559999999999998</v>
      </c>
      <c r="H133">
        <v>0.55559999999999998</v>
      </c>
      <c r="I133">
        <v>0.55559999999999998</v>
      </c>
      <c r="J133">
        <v>0.55559999999999998</v>
      </c>
      <c r="K133">
        <v>0.55559999999999998</v>
      </c>
      <c r="L133">
        <v>0.55559999999999998</v>
      </c>
      <c r="M133">
        <v>0.55559999999999998</v>
      </c>
      <c r="N133" t="s">
        <v>70</v>
      </c>
    </row>
    <row r="134" spans="2:14">
      <c r="B134" t="s">
        <v>71</v>
      </c>
      <c r="C134" t="s">
        <v>16</v>
      </c>
      <c r="D134" t="s">
        <v>87</v>
      </c>
      <c r="E134">
        <v>0.15</v>
      </c>
      <c r="F134">
        <v>0.15</v>
      </c>
      <c r="G134">
        <v>0.15</v>
      </c>
      <c r="H134">
        <v>0.15</v>
      </c>
      <c r="I134">
        <v>0.15</v>
      </c>
      <c r="J134">
        <v>0.15</v>
      </c>
      <c r="K134">
        <v>0.15</v>
      </c>
      <c r="L134">
        <v>0.15</v>
      </c>
      <c r="M134">
        <v>0.15</v>
      </c>
      <c r="N134" t="s">
        <v>73</v>
      </c>
    </row>
    <row r="135" spans="2:14">
      <c r="B135" t="s">
        <v>71</v>
      </c>
      <c r="C135" t="s">
        <v>16</v>
      </c>
      <c r="D135" t="s">
        <v>87</v>
      </c>
      <c r="E135">
        <v>25</v>
      </c>
      <c r="F135">
        <v>25</v>
      </c>
      <c r="G135">
        <v>25</v>
      </c>
      <c r="H135">
        <v>25</v>
      </c>
      <c r="I135">
        <v>25</v>
      </c>
      <c r="J135">
        <v>25</v>
      </c>
      <c r="K135">
        <v>25</v>
      </c>
      <c r="L135">
        <v>25</v>
      </c>
      <c r="M135">
        <v>25</v>
      </c>
      <c r="N135" t="s">
        <v>35</v>
      </c>
    </row>
    <row r="136" spans="2:14">
      <c r="B136" t="s">
        <v>71</v>
      </c>
      <c r="C136" t="s">
        <v>16</v>
      </c>
      <c r="D136" t="s">
        <v>87</v>
      </c>
      <c r="E136">
        <v>4</v>
      </c>
      <c r="F136">
        <v>4</v>
      </c>
      <c r="G136">
        <v>4</v>
      </c>
      <c r="H136">
        <v>4</v>
      </c>
      <c r="I136">
        <v>4</v>
      </c>
      <c r="J136">
        <v>4</v>
      </c>
      <c r="K136">
        <v>4</v>
      </c>
      <c r="L136">
        <v>4</v>
      </c>
      <c r="M136">
        <v>4</v>
      </c>
      <c r="N13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A53DD-8494-4220-B26F-4016408438C8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88</v>
      </c>
      <c r="C1" s="1" t="s">
        <v>89</v>
      </c>
      <c r="D1" s="1"/>
      <c r="E1" s="1"/>
      <c r="F1" s="2" t="s">
        <v>90</v>
      </c>
      <c r="G1" s="1"/>
      <c r="H1" s="3"/>
      <c r="I1" s="1" t="s">
        <v>91</v>
      </c>
      <c r="J1" s="1"/>
      <c r="K1" s="1"/>
      <c r="L1" s="1"/>
      <c r="M1" s="1"/>
      <c r="N1" s="1"/>
      <c r="O1" s="4" t="s">
        <v>92</v>
      </c>
      <c r="P1" s="5"/>
      <c r="Q1" s="5"/>
      <c r="R1" s="5"/>
    </row>
    <row r="2" spans="1:18">
      <c r="C2" s="6" t="s">
        <v>93</v>
      </c>
      <c r="D2" s="6" t="s">
        <v>93</v>
      </c>
      <c r="E2" s="6" t="s">
        <v>93</v>
      </c>
      <c r="F2" s="6" t="s">
        <v>94</v>
      </c>
      <c r="G2" s="6" t="s">
        <v>94</v>
      </c>
      <c r="H2" s="6" t="s">
        <v>94</v>
      </c>
      <c r="I2" s="6" t="s">
        <v>95</v>
      </c>
      <c r="J2" s="6" t="s">
        <v>32</v>
      </c>
      <c r="K2" s="6" t="str">
        <f>I2</f>
        <v>input~GASNGA</v>
      </c>
      <c r="L2" s="6" t="s">
        <v>32</v>
      </c>
      <c r="M2" s="6" t="str">
        <f>K2</f>
        <v>input~GASNGA</v>
      </c>
      <c r="N2" s="6" t="s">
        <v>32</v>
      </c>
      <c r="O2" s="7"/>
      <c r="P2" s="5"/>
      <c r="Q2" s="5"/>
      <c r="R2" s="5"/>
    </row>
    <row r="3" spans="1:18">
      <c r="C3" s="6">
        <v>2020</v>
      </c>
      <c r="D3" s="6">
        <v>2030</v>
      </c>
      <c r="E3" s="6">
        <v>2050</v>
      </c>
      <c r="F3" s="6">
        <f>C3</f>
        <v>2020</v>
      </c>
      <c r="G3" s="6">
        <f t="shared" ref="G3:H3" si="0">D3</f>
        <v>2030</v>
      </c>
      <c r="H3" s="6">
        <f t="shared" si="0"/>
        <v>2050</v>
      </c>
      <c r="I3" s="6">
        <v>2015</v>
      </c>
      <c r="J3" s="6">
        <v>2015</v>
      </c>
      <c r="K3" s="6">
        <v>2030</v>
      </c>
      <c r="L3" s="6">
        <v>2030</v>
      </c>
      <c r="M3" s="6">
        <v>2050</v>
      </c>
      <c r="N3" s="6">
        <v>2050</v>
      </c>
      <c r="O3" s="7"/>
      <c r="P3" s="5"/>
      <c r="Q3" s="5"/>
      <c r="R3" s="5"/>
    </row>
    <row r="4" spans="1:18" ht="26.25">
      <c r="C4" s="8">
        <v>2020</v>
      </c>
      <c r="D4" s="8">
        <v>2030</v>
      </c>
      <c r="E4" s="8" t="s">
        <v>96</v>
      </c>
      <c r="F4" s="9">
        <v>2015</v>
      </c>
      <c r="G4" s="8">
        <v>2030</v>
      </c>
      <c r="H4" s="10" t="s">
        <v>96</v>
      </c>
      <c r="I4" s="8" t="s">
        <v>97</v>
      </c>
      <c r="J4" s="8" t="s">
        <v>98</v>
      </c>
      <c r="K4" s="11" t="s">
        <v>99</v>
      </c>
      <c r="L4" s="12" t="s">
        <v>100</v>
      </c>
      <c r="M4" s="8" t="s">
        <v>101</v>
      </c>
      <c r="N4" s="8" t="s">
        <v>102</v>
      </c>
      <c r="O4" s="13"/>
      <c r="P4" s="5"/>
      <c r="Q4" s="5"/>
      <c r="R4" s="5"/>
    </row>
    <row r="5" spans="1:18">
      <c r="C5" s="14">
        <v>550</v>
      </c>
      <c r="D5" s="14">
        <v>500</v>
      </c>
      <c r="E5" s="14">
        <v>450</v>
      </c>
      <c r="F5" s="15">
        <v>22</v>
      </c>
      <c r="G5" s="16">
        <v>20</v>
      </c>
      <c r="H5" s="17">
        <v>18</v>
      </c>
      <c r="I5" s="18">
        <v>1.33</v>
      </c>
      <c r="J5" s="18">
        <v>9.4E-2</v>
      </c>
      <c r="K5" s="19">
        <v>1.3</v>
      </c>
      <c r="L5" s="20">
        <v>9.4E-2</v>
      </c>
      <c r="M5" s="18">
        <v>1.28</v>
      </c>
      <c r="N5" s="18">
        <v>9.4E-2</v>
      </c>
      <c r="O5" s="21" t="s">
        <v>103</v>
      </c>
      <c r="P5" s="22"/>
      <c r="Q5" s="22"/>
      <c r="R5" s="22"/>
    </row>
    <row r="6" spans="1:18">
      <c r="C6" s="23">
        <v>900</v>
      </c>
      <c r="D6" s="23">
        <v>850</v>
      </c>
      <c r="E6" s="23">
        <v>800</v>
      </c>
      <c r="F6" s="24">
        <v>36</v>
      </c>
      <c r="G6" s="25">
        <v>34</v>
      </c>
      <c r="H6" s="26">
        <v>32</v>
      </c>
      <c r="I6" s="27">
        <v>1.33</v>
      </c>
      <c r="J6" s="27">
        <v>1.0940000000000001</v>
      </c>
      <c r="K6" s="28">
        <v>1.3</v>
      </c>
      <c r="L6" s="29">
        <v>1.0940000000000001</v>
      </c>
      <c r="M6" s="27">
        <v>1.28</v>
      </c>
      <c r="N6" s="27">
        <v>1.0940000000000001</v>
      </c>
      <c r="O6" s="30" t="s">
        <v>104</v>
      </c>
      <c r="P6" s="31"/>
      <c r="Q6" s="31"/>
      <c r="R6" s="31"/>
    </row>
    <row r="7" spans="1:18">
      <c r="C7" s="14">
        <v>1978</v>
      </c>
      <c r="D7" s="14">
        <v>1598</v>
      </c>
      <c r="E7" s="14">
        <v>1450</v>
      </c>
      <c r="F7" s="15">
        <v>57</v>
      </c>
      <c r="G7" s="16">
        <v>31</v>
      </c>
      <c r="H7" s="17">
        <v>28</v>
      </c>
      <c r="I7" s="18">
        <v>1.53</v>
      </c>
      <c r="J7" s="18">
        <v>9.4E-2</v>
      </c>
      <c r="K7" s="19">
        <v>1.47</v>
      </c>
      <c r="L7" s="20">
        <v>9.4E-2</v>
      </c>
      <c r="M7" s="18">
        <v>1.43</v>
      </c>
      <c r="N7" s="18">
        <v>9.4E-2</v>
      </c>
      <c r="O7" s="21" t="s">
        <v>105</v>
      </c>
      <c r="P7" s="22"/>
      <c r="Q7" s="22"/>
      <c r="R7" s="22"/>
    </row>
    <row r="8" spans="1:18">
      <c r="C8" s="32">
        <v>1609.9999999999998</v>
      </c>
      <c r="D8" s="32">
        <v>740</v>
      </c>
      <c r="E8" s="32">
        <v>200</v>
      </c>
      <c r="F8" s="24">
        <v>49.000000000000007</v>
      </c>
      <c r="G8" s="25">
        <v>15</v>
      </c>
      <c r="H8" s="26">
        <v>10</v>
      </c>
      <c r="I8" s="27">
        <v>0</v>
      </c>
      <c r="J8" s="27">
        <v>1.39</v>
      </c>
      <c r="K8" s="28">
        <v>0</v>
      </c>
      <c r="L8" s="29">
        <v>1.19</v>
      </c>
      <c r="M8" s="27">
        <v>0</v>
      </c>
      <c r="N8" s="27">
        <v>1.17</v>
      </c>
      <c r="O8" s="30" t="s">
        <v>106</v>
      </c>
      <c r="P8" s="31"/>
      <c r="Q8" s="31"/>
      <c r="R8" s="31"/>
    </row>
    <row r="9" spans="1:18">
      <c r="C9" s="33">
        <v>2530</v>
      </c>
      <c r="D9" s="33">
        <v>1175</v>
      </c>
      <c r="E9" s="33">
        <v>350</v>
      </c>
      <c r="F9" s="15">
        <v>77.000000000000014</v>
      </c>
      <c r="G9" s="16">
        <v>34</v>
      </c>
      <c r="H9" s="17">
        <v>18</v>
      </c>
      <c r="I9" s="18">
        <v>0</v>
      </c>
      <c r="J9" s="18">
        <v>1.5</v>
      </c>
      <c r="K9" s="19">
        <v>0</v>
      </c>
      <c r="L9" s="20">
        <v>1.25</v>
      </c>
      <c r="M9" s="18">
        <v>0</v>
      </c>
      <c r="N9" s="18">
        <v>1.19</v>
      </c>
      <c r="O9" s="21" t="s">
        <v>107</v>
      </c>
      <c r="P9" s="22"/>
      <c r="Q9" s="22"/>
      <c r="R9" s="22"/>
    </row>
    <row r="10" spans="1:18">
      <c r="C10" s="32">
        <v>1265</v>
      </c>
      <c r="D10" s="32">
        <v>600</v>
      </c>
      <c r="E10" s="32">
        <v>180</v>
      </c>
      <c r="F10" s="24">
        <v>28</v>
      </c>
      <c r="G10" s="25">
        <v>14</v>
      </c>
      <c r="H10" s="26">
        <v>9</v>
      </c>
      <c r="I10" s="27">
        <v>0</v>
      </c>
      <c r="J10" s="27">
        <v>1.3952</v>
      </c>
      <c r="K10" s="28">
        <v>0</v>
      </c>
      <c r="L10" s="29">
        <v>1.268</v>
      </c>
      <c r="M10" s="27">
        <v>0</v>
      </c>
      <c r="N10" s="27">
        <v>1.18</v>
      </c>
      <c r="O10" s="30" t="s">
        <v>108</v>
      </c>
      <c r="P10" s="31"/>
      <c r="Q10" s="31"/>
      <c r="R10" s="31"/>
    </row>
    <row r="11" spans="1:18">
      <c r="C11" s="33">
        <v>1897.4999999999998</v>
      </c>
      <c r="D11" s="33">
        <v>715</v>
      </c>
      <c r="E11" s="33">
        <v>300</v>
      </c>
      <c r="F11" s="15">
        <v>41</v>
      </c>
      <c r="G11" s="16">
        <v>17</v>
      </c>
      <c r="H11" s="17">
        <v>15</v>
      </c>
      <c r="I11" s="18">
        <v>0</v>
      </c>
      <c r="J11" s="18">
        <v>1.3952</v>
      </c>
      <c r="K11" s="19">
        <v>0</v>
      </c>
      <c r="L11" s="20">
        <v>1.268</v>
      </c>
      <c r="M11" s="18">
        <v>0</v>
      </c>
      <c r="N11" s="18">
        <v>1.2</v>
      </c>
      <c r="O11" s="21" t="s">
        <v>109</v>
      </c>
      <c r="P11" s="22"/>
      <c r="Q11" s="22"/>
      <c r="R11" s="22"/>
    </row>
    <row r="12" spans="1:18">
      <c r="C12" s="32">
        <v>3332.088235294118</v>
      </c>
      <c r="D12" s="32">
        <v>1421.3921568627452</v>
      </c>
      <c r="E12" s="32">
        <v>600</v>
      </c>
      <c r="F12" s="24">
        <v>55.825000000000003</v>
      </c>
      <c r="G12" s="25">
        <v>36.18</v>
      </c>
      <c r="H12" s="26">
        <v>39</v>
      </c>
      <c r="I12" s="27">
        <v>1.996667038759689</v>
      </c>
      <c r="J12" s="27">
        <v>0.83711999999999998</v>
      </c>
      <c r="K12" s="28">
        <v>1.4556272790939169</v>
      </c>
      <c r="L12" s="29">
        <v>0.76080000000000003</v>
      </c>
      <c r="M12" s="27">
        <v>0.33333333333333337</v>
      </c>
      <c r="N12" s="27">
        <v>0.70799999999999996</v>
      </c>
      <c r="O12" s="30" t="s">
        <v>110</v>
      </c>
      <c r="P12" s="31"/>
      <c r="Q12" s="31"/>
      <c r="R12" s="31"/>
    </row>
    <row r="13" spans="1:18">
      <c r="C13" s="33">
        <v>5331.3411764705888</v>
      </c>
      <c r="D13" s="33">
        <v>2920.8941176470589</v>
      </c>
      <c r="E13" s="33">
        <v>1100</v>
      </c>
      <c r="F13" s="15">
        <v>94.902500000000003</v>
      </c>
      <c r="G13" s="16">
        <v>63.314999999999998</v>
      </c>
      <c r="H13" s="17">
        <v>48.75</v>
      </c>
      <c r="I13" s="18">
        <v>1.996667038759689</v>
      </c>
      <c r="J13" s="18">
        <v>0.83711999999999998</v>
      </c>
      <c r="K13" s="19">
        <v>1.4556272790939169</v>
      </c>
      <c r="L13" s="20">
        <v>0.76080000000000003</v>
      </c>
      <c r="M13" s="18">
        <v>0.33333333333333337</v>
      </c>
      <c r="N13" s="18">
        <v>0.72</v>
      </c>
      <c r="O13" s="21" t="s">
        <v>111</v>
      </c>
      <c r="P13" s="22"/>
      <c r="Q13" s="22"/>
      <c r="R13" s="22"/>
    </row>
    <row r="14" spans="1:18">
      <c r="C14" s="34">
        <v>1200</v>
      </c>
      <c r="D14" s="34">
        <v>733</v>
      </c>
      <c r="E14" s="34">
        <v>263</v>
      </c>
      <c r="F14" s="35">
        <v>42</v>
      </c>
      <c r="G14" s="36">
        <v>22</v>
      </c>
      <c r="H14" s="37">
        <v>9</v>
      </c>
      <c r="I14" s="38">
        <v>0</v>
      </c>
      <c r="J14" s="39">
        <v>0.01</v>
      </c>
      <c r="K14" s="40">
        <v>0</v>
      </c>
      <c r="L14" s="41">
        <v>0.01</v>
      </c>
      <c r="M14" s="39">
        <v>0</v>
      </c>
      <c r="N14" s="39">
        <v>0.01</v>
      </c>
      <c r="O14" s="42" t="s">
        <v>112</v>
      </c>
      <c r="P14" s="43"/>
      <c r="Q14" s="43"/>
      <c r="R14" s="43"/>
    </row>
    <row r="15" spans="1:18">
      <c r="C15" s="44">
        <v>450</v>
      </c>
      <c r="D15" s="44">
        <v>450</v>
      </c>
      <c r="E15" s="44">
        <v>450</v>
      </c>
      <c r="F15" s="45">
        <v>18</v>
      </c>
      <c r="G15" s="46">
        <v>18</v>
      </c>
      <c r="H15" s="47">
        <v>18</v>
      </c>
      <c r="I15" s="48">
        <v>0.26582278481012644</v>
      </c>
      <c r="J15" s="49">
        <v>0.06</v>
      </c>
      <c r="K15" s="50">
        <v>0.26582278481012644</v>
      </c>
      <c r="L15" s="51">
        <v>0.06</v>
      </c>
      <c r="M15" s="49">
        <v>0.26582278481012644</v>
      </c>
      <c r="N15" s="49">
        <v>0.06</v>
      </c>
      <c r="O15" s="52" t="s">
        <v>113</v>
      </c>
      <c r="P15" s="53"/>
      <c r="Q15" s="53"/>
      <c r="R15" s="53"/>
    </row>
    <row r="16" spans="1:18">
      <c r="C16" s="54">
        <v>200</v>
      </c>
      <c r="D16" s="54">
        <v>200</v>
      </c>
      <c r="E16" s="54">
        <v>200</v>
      </c>
      <c r="F16" s="55">
        <v>20</v>
      </c>
      <c r="G16" s="56">
        <v>20</v>
      </c>
      <c r="H16" s="57">
        <v>20</v>
      </c>
      <c r="I16" s="58">
        <v>1.2999999999999999E-2</v>
      </c>
      <c r="J16" s="59">
        <v>3.5999999999999997E-2</v>
      </c>
      <c r="K16" s="60">
        <v>1.2999999999999999E-2</v>
      </c>
      <c r="L16" s="61">
        <v>3.5999999999999997E-2</v>
      </c>
      <c r="M16" s="59">
        <v>1.2999999999999999E-2</v>
      </c>
      <c r="N16" s="59">
        <v>3.5999999999999997E-2</v>
      </c>
      <c r="O16" s="62" t="s">
        <v>114</v>
      </c>
      <c r="P16" s="63"/>
      <c r="Q16" s="63"/>
      <c r="R16" s="63"/>
    </row>
    <row r="17" spans="1:26">
      <c r="C17" s="44">
        <v>175</v>
      </c>
      <c r="D17" s="44">
        <v>175</v>
      </c>
      <c r="E17" s="44">
        <v>175</v>
      </c>
      <c r="F17" s="45">
        <v>5</v>
      </c>
      <c r="G17" s="46">
        <v>5</v>
      </c>
      <c r="H17" s="47">
        <v>5</v>
      </c>
      <c r="I17" s="48">
        <v>1.4E-2</v>
      </c>
      <c r="J17" s="49">
        <v>0</v>
      </c>
      <c r="K17" s="50">
        <v>1.4E-2</v>
      </c>
      <c r="L17" s="51">
        <v>0</v>
      </c>
      <c r="M17" s="49">
        <v>1.4E-2</v>
      </c>
      <c r="N17" s="49">
        <v>0</v>
      </c>
      <c r="O17" s="52" t="s">
        <v>115</v>
      </c>
      <c r="P17" s="53"/>
      <c r="Q17" s="53"/>
      <c r="R17" s="53"/>
    </row>
    <row r="18" spans="1:26">
      <c r="C18" s="64">
        <v>1000</v>
      </c>
      <c r="D18" s="64">
        <v>720</v>
      </c>
      <c r="E18" s="64">
        <v>364</v>
      </c>
      <c r="F18" s="65">
        <v>50</v>
      </c>
      <c r="G18" s="66">
        <v>31</v>
      </c>
      <c r="H18" s="67">
        <v>18</v>
      </c>
      <c r="I18" s="68">
        <v>0.2389</v>
      </c>
      <c r="J18" s="69">
        <v>3.056E-2</v>
      </c>
      <c r="K18" s="70">
        <v>0.2389</v>
      </c>
      <c r="L18" s="71">
        <v>3.056E-2</v>
      </c>
      <c r="M18" s="69">
        <v>0.2389</v>
      </c>
      <c r="N18" s="69">
        <v>3.056E-2</v>
      </c>
      <c r="O18" s="72" t="s">
        <v>116</v>
      </c>
      <c r="P18" s="73"/>
      <c r="Q18" s="73"/>
      <c r="R18" s="73"/>
    </row>
    <row r="19" spans="1:26">
      <c r="C19" s="74">
        <v>1556</v>
      </c>
      <c r="D19" s="74">
        <v>1143</v>
      </c>
      <c r="E19" s="75">
        <v>673</v>
      </c>
      <c r="F19" s="76">
        <v>54</v>
      </c>
      <c r="G19" s="77">
        <v>40</v>
      </c>
      <c r="H19" s="78">
        <v>24</v>
      </c>
      <c r="I19" s="79">
        <v>3.5000000000000003E-2</v>
      </c>
      <c r="J19" s="80">
        <v>0.02</v>
      </c>
      <c r="K19" s="81">
        <v>3.5000000000000003E-2</v>
      </c>
      <c r="L19" s="82">
        <v>0.02</v>
      </c>
      <c r="M19" s="80">
        <v>3.5000000000000003E-2</v>
      </c>
      <c r="N19" s="80">
        <v>0.02</v>
      </c>
      <c r="O19" s="83" t="s">
        <v>117</v>
      </c>
      <c r="P19" s="84"/>
      <c r="Q19" s="84"/>
      <c r="R19" s="84"/>
    </row>
    <row r="20" spans="1:26">
      <c r="C20" s="85">
        <v>2332</v>
      </c>
      <c r="D20" s="85">
        <v>1511</v>
      </c>
      <c r="E20" s="85">
        <v>965</v>
      </c>
      <c r="F20" s="86">
        <v>163</v>
      </c>
      <c r="G20" s="87">
        <v>106</v>
      </c>
      <c r="H20" s="88">
        <v>68</v>
      </c>
      <c r="I20" s="89">
        <v>0.46326666666666666</v>
      </c>
      <c r="J20" s="90">
        <v>1.9188104089219331</v>
      </c>
      <c r="K20" s="91">
        <v>0.39244195142277988</v>
      </c>
      <c r="L20" s="92">
        <v>1.6009812088633062</v>
      </c>
      <c r="M20" s="90">
        <v>0.37890902062421039</v>
      </c>
      <c r="N20" s="90">
        <v>1.5694083453910281</v>
      </c>
      <c r="O20" s="93" t="s">
        <v>118</v>
      </c>
      <c r="P20" s="73"/>
      <c r="Q20" s="73"/>
      <c r="R20" s="73"/>
    </row>
    <row r="21" spans="1:26">
      <c r="C21" s="94">
        <v>769.8768197088466</v>
      </c>
      <c r="D21" s="94">
        <v>648.04446103438272</v>
      </c>
      <c r="E21" s="94">
        <v>518.29059243801294</v>
      </c>
      <c r="F21" s="95">
        <v>26.945688689809632</v>
      </c>
      <c r="G21" s="96">
        <v>22.681556136203398</v>
      </c>
      <c r="H21" s="97">
        <v>18.140170735330454</v>
      </c>
      <c r="I21" s="98">
        <v>2.7777777777777777</v>
      </c>
      <c r="J21" s="99">
        <v>2.2222222222222223</v>
      </c>
      <c r="K21" s="100">
        <v>1.6666666666666665</v>
      </c>
      <c r="L21" s="101">
        <v>1.3888888888888888</v>
      </c>
      <c r="M21" s="99">
        <v>1.1388888888888888</v>
      </c>
      <c r="N21" s="99">
        <v>0.3</v>
      </c>
      <c r="O21" s="102" t="s">
        <v>119</v>
      </c>
      <c r="P21" s="103"/>
      <c r="Q21" s="103"/>
      <c r="R21" s="103"/>
    </row>
    <row r="22" spans="1:26">
      <c r="C22" s="104">
        <v>1259.7984322508398</v>
      </c>
      <c r="D22" s="104">
        <v>894.30135622744808</v>
      </c>
      <c r="E22" s="104">
        <v>495</v>
      </c>
      <c r="F22" s="105">
        <v>44.092945128779398</v>
      </c>
      <c r="G22" s="106">
        <v>31.300547467960687</v>
      </c>
      <c r="H22" s="107">
        <v>17.325000000000003</v>
      </c>
      <c r="I22" s="108">
        <v>2</v>
      </c>
      <c r="J22" s="109">
        <v>0.3</v>
      </c>
      <c r="K22" s="110">
        <v>1.8055555555555556</v>
      </c>
      <c r="L22" s="111">
        <v>0.3</v>
      </c>
      <c r="M22" s="109">
        <v>1.5</v>
      </c>
      <c r="N22" s="109">
        <v>0.3</v>
      </c>
      <c r="O22" s="112" t="s">
        <v>120</v>
      </c>
      <c r="P22" s="113"/>
      <c r="Q22" s="113"/>
      <c r="R22" s="113"/>
    </row>
    <row r="23" spans="1:26">
      <c r="C23" s="114">
        <v>174</v>
      </c>
      <c r="D23" s="114">
        <v>174</v>
      </c>
      <c r="E23" s="114">
        <v>174</v>
      </c>
      <c r="F23" s="115">
        <v>3</v>
      </c>
      <c r="G23" s="116">
        <v>3</v>
      </c>
      <c r="H23" s="117">
        <v>3</v>
      </c>
      <c r="I23" s="118">
        <v>0</v>
      </c>
      <c r="J23" s="119">
        <v>0.20588235294117646</v>
      </c>
      <c r="K23" s="120">
        <v>0</v>
      </c>
      <c r="L23" s="121">
        <v>0.20588235294117646</v>
      </c>
      <c r="M23" s="119">
        <v>0</v>
      </c>
      <c r="N23" s="119">
        <v>0.20588235294117646</v>
      </c>
      <c r="O23" s="122" t="s">
        <v>121</v>
      </c>
      <c r="P23" s="103"/>
      <c r="Q23" s="103"/>
      <c r="R23" s="103"/>
    </row>
    <row r="26" spans="1:26" ht="17.25" thickBot="1">
      <c r="C26" s="123" t="s">
        <v>122</v>
      </c>
      <c r="T26" s="123" t="s">
        <v>123</v>
      </c>
    </row>
    <row r="27" spans="1:26" ht="14.65" thickTop="1">
      <c r="A27" s="124" t="s">
        <v>124</v>
      </c>
      <c r="B27" s="124" t="s">
        <v>125</v>
      </c>
      <c r="C27" s="124" t="str">
        <f>C2&amp;"~"&amp;C3</f>
        <v>invcost~2020</v>
      </c>
      <c r="D27" s="124" t="str">
        <f t="shared" ref="D27:N27" si="1">D2&amp;"~"&amp;D3</f>
        <v>invcost~2030</v>
      </c>
      <c r="E27" s="124" t="str">
        <f t="shared" si="1"/>
        <v>invcost~2050</v>
      </c>
      <c r="F27" s="124" t="str">
        <f t="shared" si="1"/>
        <v>fixom~2020</v>
      </c>
      <c r="G27" s="124" t="str">
        <f t="shared" si="1"/>
        <v>fixom~2030</v>
      </c>
      <c r="H27" s="124" t="str">
        <f t="shared" si="1"/>
        <v>fixom~2050</v>
      </c>
      <c r="I27" s="124" t="str">
        <f t="shared" si="1"/>
        <v>input~GASNGA~2015</v>
      </c>
      <c r="J27" s="124" t="s">
        <v>32</v>
      </c>
      <c r="K27" s="124" t="str">
        <f t="shared" si="1"/>
        <v>input~GASNGA~2030</v>
      </c>
      <c r="L27" s="124" t="str">
        <f t="shared" si="1"/>
        <v>efficiency~2030</v>
      </c>
      <c r="M27" s="124" t="str">
        <f t="shared" si="1"/>
        <v>input~GASNGA~2050</v>
      </c>
      <c r="N27" s="124" t="str">
        <f t="shared" si="1"/>
        <v>efficiency~2050</v>
      </c>
      <c r="O27" s="124" t="s">
        <v>126</v>
      </c>
      <c r="P27" s="124" t="s">
        <v>127</v>
      </c>
      <c r="Q27" s="124" t="s">
        <v>128</v>
      </c>
      <c r="T27" s="124" t="s">
        <v>129</v>
      </c>
      <c r="U27" s="124" t="s">
        <v>126</v>
      </c>
      <c r="V27" s="124" t="s">
        <v>130</v>
      </c>
      <c r="W27" s="124" t="s">
        <v>131</v>
      </c>
      <c r="X27" s="124" t="s">
        <v>132</v>
      </c>
      <c r="Y27" s="124" t="s">
        <v>133</v>
      </c>
      <c r="Z27" s="124" t="s">
        <v>134</v>
      </c>
    </row>
    <row r="28" spans="1:26">
      <c r="A28" t="s">
        <v>135</v>
      </c>
      <c r="B28" t="s">
        <v>136</v>
      </c>
      <c r="C28" s="125">
        <f>C8</f>
        <v>1609.9999999999998</v>
      </c>
      <c r="D28" s="125">
        <f>D8</f>
        <v>740</v>
      </c>
      <c r="E28" s="126">
        <v>450</v>
      </c>
      <c r="F28" s="125">
        <f>F8</f>
        <v>49.000000000000007</v>
      </c>
      <c r="G28" s="125">
        <f>G8</f>
        <v>15</v>
      </c>
      <c r="H28" s="125">
        <f>H8</f>
        <v>10</v>
      </c>
      <c r="I28" s="127"/>
      <c r="J28" s="127">
        <f>1/J8</f>
        <v>0.71942446043165476</v>
      </c>
      <c r="K28" s="127"/>
      <c r="L28" s="127">
        <f>1/L8</f>
        <v>0.84033613445378152</v>
      </c>
      <c r="M28" s="127"/>
      <c r="N28" s="127">
        <f>1/N8</f>
        <v>0.85470085470085477</v>
      </c>
      <c r="O28" t="s">
        <v>137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21</v>
      </c>
      <c r="X28" t="s">
        <v>22</v>
      </c>
      <c r="Y28" t="s">
        <v>82</v>
      </c>
      <c r="Z28" t="s">
        <v>138</v>
      </c>
    </row>
    <row r="29" spans="1:26">
      <c r="A29" t="s">
        <v>135</v>
      </c>
      <c r="B29" t="s">
        <v>136</v>
      </c>
      <c r="C29" s="125">
        <f>C10</f>
        <v>1265</v>
      </c>
      <c r="D29" s="125">
        <f>D10</f>
        <v>600</v>
      </c>
      <c r="E29" s="126">
        <v>350</v>
      </c>
      <c r="F29" s="125">
        <f>F10</f>
        <v>28</v>
      </c>
      <c r="G29" s="125">
        <f>G10</f>
        <v>14</v>
      </c>
      <c r="H29" s="125">
        <f>H10</f>
        <v>9</v>
      </c>
      <c r="I29" s="127"/>
      <c r="J29" s="127">
        <f>1/J10</f>
        <v>0.71674311926605505</v>
      </c>
      <c r="K29" s="127"/>
      <c r="L29" s="127">
        <f>1/L10</f>
        <v>0.78864353312302837</v>
      </c>
      <c r="M29" s="127"/>
      <c r="N29" s="127">
        <f>1/N10</f>
        <v>0.84745762711864414</v>
      </c>
      <c r="O29" t="s">
        <v>139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21</v>
      </c>
      <c r="X29" t="s">
        <v>22</v>
      </c>
      <c r="Y29" t="s">
        <v>82</v>
      </c>
      <c r="Z29" t="s">
        <v>138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E835C-3075-4969-8E89-4B2973AA2817}">
  <dimension ref="B3:Y14"/>
  <sheetViews>
    <sheetView workbookViewId="0">
      <selection activeCell="M21" sqref="M21"/>
    </sheetView>
  </sheetViews>
  <sheetFormatPr defaultRowHeight="14.25"/>
  <cols>
    <col min="2" max="2" width="9.19921875" bestFit="1" customWidth="1"/>
    <col min="3" max="3" width="10.46484375" bestFit="1" customWidth="1"/>
    <col min="4" max="4" width="31.86328125" bestFit="1" customWidth="1"/>
    <col min="5" max="5" width="11.59765625" bestFit="1" customWidth="1"/>
    <col min="6" max="6" width="8.6640625" bestFit="1" customWidth="1"/>
    <col min="7" max="7" width="9.59765625" bestFit="1" customWidth="1"/>
    <col min="8" max="8" width="9" bestFit="1" customWidth="1"/>
    <col min="9" max="9" width="5.19921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9.19921875" bestFit="1" customWidth="1"/>
    <col min="20" max="20" width="37.9296875" bestFit="1" customWidth="1"/>
    <col min="21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128"/>
      <c r="C3" s="128"/>
      <c r="D3" s="128"/>
      <c r="E3" s="128"/>
      <c r="F3" s="128"/>
      <c r="G3" s="128"/>
      <c r="H3" s="128" t="s">
        <v>140</v>
      </c>
      <c r="I3" s="128"/>
      <c r="J3" s="128"/>
      <c r="K3" s="128"/>
      <c r="L3" s="128"/>
      <c r="M3" s="128"/>
      <c r="N3" s="128"/>
      <c r="O3" s="128"/>
      <c r="P3" s="128"/>
      <c r="Q3" s="128"/>
      <c r="R3" s="128" t="s">
        <v>123</v>
      </c>
      <c r="S3" s="128"/>
      <c r="T3" s="128"/>
      <c r="U3" s="128"/>
      <c r="V3" s="128"/>
      <c r="W3" s="128"/>
      <c r="X3" s="128"/>
      <c r="Y3" s="128"/>
    </row>
    <row r="4" spans="2:25">
      <c r="B4" s="128" t="s">
        <v>126</v>
      </c>
      <c r="C4" t="s">
        <v>125</v>
      </c>
      <c r="D4" t="s">
        <v>124</v>
      </c>
      <c r="E4" t="s">
        <v>141</v>
      </c>
      <c r="F4" t="s">
        <v>142</v>
      </c>
      <c r="G4" t="s">
        <v>143</v>
      </c>
      <c r="H4" t="s">
        <v>144</v>
      </c>
      <c r="I4">
        <v>2030</v>
      </c>
      <c r="J4">
        <v>0</v>
      </c>
      <c r="K4" s="128" t="s">
        <v>145</v>
      </c>
      <c r="L4" s="128" t="s">
        <v>146</v>
      </c>
      <c r="M4" s="128" t="s">
        <v>127</v>
      </c>
      <c r="N4" s="128" t="s">
        <v>93</v>
      </c>
      <c r="O4" s="128" t="s">
        <v>147</v>
      </c>
      <c r="P4" s="128" t="s">
        <v>148</v>
      </c>
      <c r="Q4" s="128"/>
      <c r="R4" s="128" t="s">
        <v>129</v>
      </c>
      <c r="S4" s="128" t="s">
        <v>126</v>
      </c>
      <c r="T4" s="128" t="s">
        <v>130</v>
      </c>
      <c r="U4" s="128" t="s">
        <v>132</v>
      </c>
      <c r="V4" s="128" t="s">
        <v>131</v>
      </c>
      <c r="W4" s="128" t="s">
        <v>133</v>
      </c>
      <c r="X4" s="128" t="s">
        <v>149</v>
      </c>
      <c r="Y4" s="128" t="s">
        <v>134</v>
      </c>
    </row>
    <row r="5" spans="2:25">
      <c r="B5" t="s">
        <v>150</v>
      </c>
      <c r="C5" t="s">
        <v>17</v>
      </c>
      <c r="F5" t="s">
        <v>83</v>
      </c>
      <c r="K5" s="128">
        <v>0.90249999999999997</v>
      </c>
      <c r="L5" s="129">
        <f>24/6</f>
        <v>4</v>
      </c>
      <c r="M5" s="128">
        <v>10</v>
      </c>
      <c r="N5" s="128">
        <v>150</v>
      </c>
      <c r="O5" s="129">
        <v>1</v>
      </c>
      <c r="P5" s="128">
        <v>1</v>
      </c>
      <c r="Q5" s="128"/>
      <c r="R5" s="128" t="s">
        <v>64</v>
      </c>
      <c r="S5" s="128" t="str">
        <f>B5</f>
        <v>ev_battery</v>
      </c>
      <c r="T5" s="128" t="s">
        <v>151</v>
      </c>
      <c r="U5" s="128" t="s">
        <v>22</v>
      </c>
      <c r="V5" s="128" t="s">
        <v>22</v>
      </c>
      <c r="W5" s="128" t="s">
        <v>82</v>
      </c>
      <c r="X5" s="128"/>
      <c r="Y5" s="128"/>
    </row>
    <row r="6" spans="2:25">
      <c r="B6" s="128"/>
      <c r="F6" t="s">
        <v>81</v>
      </c>
      <c r="K6" s="128"/>
      <c r="L6" s="130">
        <v>1</v>
      </c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</row>
    <row r="7" spans="2:25">
      <c r="B7" s="128"/>
      <c r="D7" t="s">
        <v>152</v>
      </c>
      <c r="E7" t="s">
        <v>153</v>
      </c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</row>
    <row r="8" spans="2:25" ht="17.649999999999999">
      <c r="B8" s="131"/>
      <c r="E8" s="132"/>
      <c r="F8" t="s">
        <v>154</v>
      </c>
      <c r="G8" t="str">
        <f>E7</f>
        <v>AuxStoIN</v>
      </c>
      <c r="H8" t="s">
        <v>155</v>
      </c>
      <c r="I8">
        <v>1</v>
      </c>
      <c r="J8">
        <v>3</v>
      </c>
      <c r="K8" s="133"/>
      <c r="L8" s="133"/>
      <c r="M8" s="133"/>
      <c r="N8" s="133"/>
      <c r="O8" s="133"/>
      <c r="P8" s="133"/>
      <c r="Q8" s="131"/>
      <c r="R8" s="131"/>
      <c r="S8" s="131"/>
      <c r="T8" s="131"/>
      <c r="U8" s="131"/>
      <c r="V8" s="131"/>
      <c r="W8" s="134"/>
      <c r="X8" s="134"/>
      <c r="Y8" s="134"/>
    </row>
    <row r="11" spans="2:25">
      <c r="B11" s="135" t="s">
        <v>156</v>
      </c>
      <c r="C11" s="135"/>
      <c r="D11" s="135"/>
      <c r="E11" s="135"/>
      <c r="F11" s="135"/>
      <c r="G11" s="135"/>
      <c r="H11" s="135"/>
      <c r="I11" s="135"/>
    </row>
    <row r="12" spans="2:25">
      <c r="B12" s="135" t="s">
        <v>157</v>
      </c>
      <c r="C12" s="135" t="s">
        <v>158</v>
      </c>
      <c r="D12" s="135" t="s">
        <v>159</v>
      </c>
      <c r="E12" s="135" t="s">
        <v>160</v>
      </c>
      <c r="F12" s="135" t="s">
        <v>161</v>
      </c>
      <c r="G12" s="135" t="s">
        <v>162</v>
      </c>
      <c r="H12" s="135" t="s">
        <v>163</v>
      </c>
      <c r="I12" s="135" t="s">
        <v>164</v>
      </c>
    </row>
    <row r="13" spans="2:25">
      <c r="B13" s="135" t="s">
        <v>165</v>
      </c>
      <c r="C13" s="135" t="s">
        <v>153</v>
      </c>
      <c r="D13" s="135" t="s">
        <v>166</v>
      </c>
      <c r="E13" s="135" t="s">
        <v>167</v>
      </c>
      <c r="F13" s="135"/>
      <c r="G13" s="136" t="s">
        <v>82</v>
      </c>
      <c r="H13" s="135"/>
      <c r="I13" s="135"/>
    </row>
    <row r="14" spans="2:25">
      <c r="C14" s="135" t="s">
        <v>168</v>
      </c>
      <c r="D14" s="135" t="s">
        <v>169</v>
      </c>
      <c r="E14" s="135" t="s">
        <v>167</v>
      </c>
      <c r="F14" s="135"/>
      <c r="G14" s="136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B8938-351B-48E0-8DEA-9578DE0B6630}">
  <dimension ref="B11:V29"/>
  <sheetViews>
    <sheetView tabSelected="1" workbookViewId="0"/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23" t="s">
        <v>123</v>
      </c>
      <c r="L11" s="123" t="s">
        <v>170</v>
      </c>
      <c r="N11" s="137"/>
      <c r="O11" s="137"/>
      <c r="P11" s="137"/>
      <c r="Q11" s="137"/>
    </row>
    <row r="12" spans="2:22" ht="15" thickTop="1" thickBot="1">
      <c r="B12" s="138" t="s">
        <v>129</v>
      </c>
      <c r="C12" s="138" t="s">
        <v>126</v>
      </c>
      <c r="D12" s="138" t="s">
        <v>130</v>
      </c>
      <c r="E12" s="138" t="s">
        <v>171</v>
      </c>
      <c r="F12" s="138" t="s">
        <v>172</v>
      </c>
      <c r="G12" s="138" t="s">
        <v>133</v>
      </c>
      <c r="J12" s="138" t="s">
        <v>173</v>
      </c>
      <c r="K12" s="138" t="s">
        <v>125</v>
      </c>
      <c r="L12" s="138" t="s">
        <v>124</v>
      </c>
      <c r="M12" s="138" t="s">
        <v>174</v>
      </c>
      <c r="N12" s="138" t="s">
        <v>175</v>
      </c>
      <c r="O12" s="138" t="s">
        <v>176</v>
      </c>
      <c r="P12" s="138">
        <v>2022</v>
      </c>
      <c r="Q12" s="138">
        <v>0</v>
      </c>
      <c r="R12" s="138" t="s">
        <v>93</v>
      </c>
      <c r="S12" s="138" t="s">
        <v>177</v>
      </c>
    </row>
    <row r="13" spans="2:22">
      <c r="B13" s="137" t="s">
        <v>178</v>
      </c>
      <c r="C13" s="137" t="s">
        <v>179</v>
      </c>
      <c r="E13" s="137" t="s">
        <v>22</v>
      </c>
      <c r="F13" t="s">
        <v>21</v>
      </c>
      <c r="G13" t="s">
        <v>82</v>
      </c>
      <c r="J13" s="137" t="str">
        <f>C13</f>
        <v>ElcAgg_Solar</v>
      </c>
      <c r="L13" s="137" t="s">
        <v>136</v>
      </c>
      <c r="M13" s="137">
        <v>1</v>
      </c>
      <c r="N13" s="137">
        <v>8.76</v>
      </c>
      <c r="O13" s="137"/>
      <c r="P13" s="137"/>
      <c r="Q13" s="137"/>
    </row>
    <row r="14" spans="2:22">
      <c r="B14" s="137" t="s">
        <v>178</v>
      </c>
      <c r="C14" s="137" t="s">
        <v>180</v>
      </c>
      <c r="E14" s="137" t="s">
        <v>22</v>
      </c>
      <c r="F14" t="s">
        <v>21</v>
      </c>
      <c r="G14" t="s">
        <v>82</v>
      </c>
      <c r="H14" s="137"/>
      <c r="I14" s="137"/>
      <c r="J14" s="137" t="str">
        <f>C14</f>
        <v>ElcAgg_Wind</v>
      </c>
      <c r="L14" s="137" t="s">
        <v>136</v>
      </c>
      <c r="M14" s="137">
        <v>1</v>
      </c>
      <c r="N14" s="137">
        <v>8.76</v>
      </c>
      <c r="O14" s="137"/>
      <c r="P14" s="137"/>
      <c r="Q14" s="137"/>
    </row>
    <row r="15" spans="2:22">
      <c r="B15" t="s">
        <v>181</v>
      </c>
      <c r="C15" t="s">
        <v>182</v>
      </c>
      <c r="D15" s="137" t="s">
        <v>183</v>
      </c>
      <c r="E15" s="137" t="s">
        <v>22</v>
      </c>
      <c r="F15" t="s">
        <v>21</v>
      </c>
      <c r="G15" s="137"/>
      <c r="H15" s="137"/>
      <c r="I15" s="137"/>
      <c r="J15" s="137" t="str">
        <f>C15</f>
        <v>e_demand</v>
      </c>
      <c r="K15" s="137"/>
      <c r="L15" t="s">
        <v>184</v>
      </c>
      <c r="M15" s="137">
        <v>1</v>
      </c>
      <c r="N15" s="137">
        <v>8.76</v>
      </c>
      <c r="O15" s="137"/>
      <c r="P15" s="137"/>
      <c r="Q15" s="137"/>
      <c r="V15" t="s">
        <v>185</v>
      </c>
    </row>
    <row r="16" spans="2:22">
      <c r="B16" t="s">
        <v>181</v>
      </c>
      <c r="C16" t="s">
        <v>186</v>
      </c>
      <c r="D16" s="137" t="s">
        <v>187</v>
      </c>
      <c r="E16" s="137" t="s">
        <v>22</v>
      </c>
      <c r="F16" t="s">
        <v>21</v>
      </c>
      <c r="G16" s="137"/>
      <c r="H16" s="137"/>
      <c r="I16" s="137"/>
      <c r="J16" s="137" t="str">
        <f>C16</f>
        <v>h2_demand</v>
      </c>
      <c r="K16" s="137" t="s">
        <v>135</v>
      </c>
      <c r="L16" t="s">
        <v>188</v>
      </c>
      <c r="M16" s="137">
        <v>1</v>
      </c>
      <c r="N16" s="137">
        <v>8.76</v>
      </c>
      <c r="O16" s="137"/>
      <c r="P16" s="137"/>
      <c r="Q16" s="137"/>
    </row>
    <row r="17" spans="2:22">
      <c r="B17" t="s">
        <v>181</v>
      </c>
      <c r="C17" t="s">
        <v>189</v>
      </c>
      <c r="D17" t="s">
        <v>190</v>
      </c>
      <c r="E17" s="137" t="s">
        <v>22</v>
      </c>
      <c r="F17" t="s">
        <v>21</v>
      </c>
      <c r="G17" s="137"/>
      <c r="H17" s="137"/>
      <c r="I17" s="137"/>
      <c r="J17" t="str">
        <f>C17</f>
        <v>h_demand</v>
      </c>
      <c r="K17" s="137"/>
      <c r="L17" t="s">
        <v>191</v>
      </c>
      <c r="M17" s="137">
        <v>1</v>
      </c>
      <c r="N17" s="137">
        <v>8.76</v>
      </c>
      <c r="O17" s="137"/>
      <c r="P17" s="137"/>
      <c r="Q17" s="137"/>
    </row>
    <row r="18" spans="2:22">
      <c r="B18" t="s">
        <v>192</v>
      </c>
      <c r="C18" t="s">
        <v>193</v>
      </c>
      <c r="D18" s="137"/>
      <c r="E18" s="137" t="s">
        <v>22</v>
      </c>
      <c r="F18" t="s">
        <v>21</v>
      </c>
      <c r="G18" t="s">
        <v>82</v>
      </c>
      <c r="H18" s="137"/>
      <c r="I18" s="137"/>
      <c r="J18" s="137" t="str">
        <f>C20</f>
        <v>fossil_supply</v>
      </c>
      <c r="K18" s="137"/>
      <c r="L18" s="137" t="s">
        <v>75</v>
      </c>
      <c r="M18" s="137"/>
      <c r="N18" s="137"/>
      <c r="O18" s="137">
        <f t="shared" ref="O18:O22" si="0">V18*3.6</f>
        <v>7.2</v>
      </c>
      <c r="P18" s="137"/>
      <c r="V18" s="137">
        <v>2</v>
      </c>
    </row>
    <row r="19" spans="2:22">
      <c r="B19" t="s">
        <v>194</v>
      </c>
      <c r="C19" t="s">
        <v>195</v>
      </c>
      <c r="D19" s="137"/>
      <c r="E19" s="137" t="s">
        <v>22</v>
      </c>
      <c r="F19" t="s">
        <v>21</v>
      </c>
      <c r="G19" t="s">
        <v>82</v>
      </c>
      <c r="H19" s="137"/>
      <c r="I19" s="137"/>
      <c r="K19" s="137"/>
      <c r="L19" s="137" t="s">
        <v>16</v>
      </c>
      <c r="M19" s="137"/>
      <c r="N19" s="137"/>
      <c r="O19" s="137">
        <f t="shared" si="0"/>
        <v>18</v>
      </c>
      <c r="P19" s="137"/>
      <c r="V19" s="137">
        <v>5</v>
      </c>
    </row>
    <row r="20" spans="2:22">
      <c r="B20" s="137" t="s">
        <v>192</v>
      </c>
      <c r="C20" s="137" t="s">
        <v>196</v>
      </c>
      <c r="D20" s="137" t="s">
        <v>197</v>
      </c>
      <c r="E20" s="137" t="s">
        <v>22</v>
      </c>
      <c r="F20" t="s">
        <v>21</v>
      </c>
      <c r="G20" s="137"/>
      <c r="H20" s="137"/>
      <c r="I20" s="137"/>
      <c r="K20" s="137"/>
      <c r="L20" s="137" t="s">
        <v>198</v>
      </c>
      <c r="M20" s="137"/>
      <c r="N20" s="137"/>
      <c r="O20" s="137">
        <f>V20*3.6</f>
        <v>36</v>
      </c>
      <c r="P20" s="137"/>
      <c r="V20">
        <v>10</v>
      </c>
    </row>
    <row r="21" spans="2:22">
      <c r="B21" s="137" t="s">
        <v>192</v>
      </c>
      <c r="C21" s="137" t="s">
        <v>199</v>
      </c>
      <c r="D21" s="137" t="s">
        <v>200</v>
      </c>
      <c r="E21" s="137" t="s">
        <v>22</v>
      </c>
      <c r="F21" t="s">
        <v>21</v>
      </c>
      <c r="G21" s="137"/>
      <c r="H21" s="137"/>
      <c r="I21" s="137"/>
      <c r="J21" s="137" t="str">
        <f>C21</f>
        <v>renewable</v>
      </c>
      <c r="K21" s="137"/>
      <c r="L21" s="137" t="s">
        <v>201</v>
      </c>
      <c r="M21" s="137"/>
      <c r="N21" s="137"/>
      <c r="O21" s="137">
        <f t="shared" si="0"/>
        <v>0.36000000000000004</v>
      </c>
      <c r="P21" s="137"/>
      <c r="V21">
        <v>0.1</v>
      </c>
    </row>
    <row r="22" spans="2:22">
      <c r="B22" s="137" t="s">
        <v>192</v>
      </c>
      <c r="C22" s="137" t="s">
        <v>202</v>
      </c>
      <c r="D22" s="137" t="s">
        <v>203</v>
      </c>
      <c r="E22" s="137" t="s">
        <v>22</v>
      </c>
      <c r="F22" t="s">
        <v>21</v>
      </c>
      <c r="G22" s="137"/>
      <c r="H22" s="137"/>
      <c r="I22" s="137"/>
      <c r="K22" s="137"/>
      <c r="L22" s="137" t="s">
        <v>204</v>
      </c>
      <c r="M22" s="137"/>
      <c r="N22" s="137"/>
      <c r="O22" s="137">
        <f t="shared" si="0"/>
        <v>0.36000000000000004</v>
      </c>
      <c r="P22" s="137"/>
      <c r="V22">
        <v>0.1</v>
      </c>
    </row>
    <row r="23" spans="2:22">
      <c r="B23" s="137" t="s">
        <v>192</v>
      </c>
      <c r="C23" s="137" t="s">
        <v>205</v>
      </c>
      <c r="D23" s="137" t="s">
        <v>206</v>
      </c>
      <c r="E23" s="137" t="s">
        <v>22</v>
      </c>
      <c r="F23" t="s">
        <v>21</v>
      </c>
      <c r="G23" s="137"/>
      <c r="H23" s="137"/>
      <c r="I23" s="137"/>
      <c r="L23" s="137" t="s">
        <v>77</v>
      </c>
      <c r="M23" s="137"/>
      <c r="N23" s="137"/>
      <c r="O23" s="137">
        <f>V23*3.6</f>
        <v>25.2</v>
      </c>
      <c r="P23" s="137"/>
      <c r="V23" s="137">
        <v>7</v>
      </c>
    </row>
    <row r="24" spans="2:22">
      <c r="B24" s="137" t="s">
        <v>192</v>
      </c>
      <c r="C24" t="s">
        <v>207</v>
      </c>
      <c r="D24" t="s">
        <v>208</v>
      </c>
      <c r="E24" s="137" t="s">
        <v>22</v>
      </c>
      <c r="F24" t="s">
        <v>21</v>
      </c>
      <c r="G24" s="137"/>
      <c r="H24" s="137"/>
      <c r="I24" s="137"/>
      <c r="J24" s="137" t="str">
        <f>C22</f>
        <v>nuclear_fuel</v>
      </c>
      <c r="K24" s="137"/>
      <c r="L24" s="137" t="s">
        <v>76</v>
      </c>
      <c r="M24" s="137"/>
      <c r="N24" s="137"/>
      <c r="O24" s="137">
        <f>V24*3.6</f>
        <v>0.36000000000000004</v>
      </c>
      <c r="P24" s="137"/>
      <c r="V24">
        <v>0.1</v>
      </c>
    </row>
    <row r="25" spans="2:22">
      <c r="B25" s="137" t="s">
        <v>192</v>
      </c>
      <c r="C25" t="s">
        <v>209</v>
      </c>
      <c r="D25" t="s">
        <v>210</v>
      </c>
      <c r="E25" s="137" t="s">
        <v>22</v>
      </c>
      <c r="F25" t="s">
        <v>21</v>
      </c>
      <c r="G25" s="137"/>
      <c r="H25" s="137"/>
      <c r="I25" s="137"/>
      <c r="J25" s="137" t="str">
        <f>C23</f>
        <v>solar_potential</v>
      </c>
      <c r="K25" s="137"/>
      <c r="L25" s="137" t="s">
        <v>211</v>
      </c>
      <c r="M25" s="137"/>
      <c r="N25" s="137"/>
      <c r="O25" s="137">
        <f>V25*3.6</f>
        <v>0.36000000000000004</v>
      </c>
      <c r="P25" s="137"/>
      <c r="V25">
        <v>0.1</v>
      </c>
    </row>
    <row r="26" spans="2:22">
      <c r="B26" s="137"/>
      <c r="C26" s="137"/>
      <c r="D26" s="137"/>
      <c r="E26" s="137"/>
      <c r="F26" s="137"/>
      <c r="G26" s="137"/>
      <c r="H26" s="137"/>
      <c r="I26" s="137"/>
      <c r="J26" s="137" t="str">
        <f>C24</f>
        <v>winon_potential</v>
      </c>
      <c r="K26" s="137"/>
      <c r="L26" s="137" t="s">
        <v>212</v>
      </c>
      <c r="M26" s="137"/>
      <c r="N26" s="137"/>
      <c r="O26" s="137">
        <f>V26*3.6</f>
        <v>0.36000000000000004</v>
      </c>
      <c r="P26" s="137"/>
      <c r="V26">
        <v>0.1</v>
      </c>
    </row>
    <row r="27" spans="2:22">
      <c r="B27" s="137"/>
      <c r="C27" s="137"/>
      <c r="D27" s="137"/>
      <c r="E27" s="137"/>
      <c r="F27" s="137"/>
      <c r="G27" s="137"/>
      <c r="H27" s="137"/>
      <c r="I27" s="137"/>
      <c r="J27" s="137" t="str">
        <f>C25</f>
        <v>winoff_potential</v>
      </c>
      <c r="K27" s="137"/>
      <c r="L27" s="137" t="s">
        <v>213</v>
      </c>
      <c r="M27" s="137"/>
      <c r="N27" s="137"/>
      <c r="O27" s="137">
        <f t="shared" ref="O27" si="1">V27*3.6</f>
        <v>0.36000000000000004</v>
      </c>
      <c r="P27" s="137"/>
      <c r="V27">
        <v>0.1</v>
      </c>
    </row>
    <row r="28" spans="2:22">
      <c r="J28" t="str">
        <f>C18</f>
        <v>Trd_electricity import</v>
      </c>
      <c r="L28" t="str">
        <f>$V$29</f>
        <v>ELC</v>
      </c>
      <c r="P28">
        <v>0</v>
      </c>
      <c r="Q28">
        <v>3</v>
      </c>
      <c r="R28">
        <v>1000</v>
      </c>
      <c r="S28">
        <v>50</v>
      </c>
    </row>
    <row r="29" spans="2:22">
      <c r="J29" t="str">
        <f>C19</f>
        <v>Trd_electricity export</v>
      </c>
      <c r="K29" t="str">
        <f>$V$29</f>
        <v>ELC</v>
      </c>
      <c r="P29">
        <v>0</v>
      </c>
      <c r="Q29">
        <v>3</v>
      </c>
      <c r="R29">
        <v>1000</v>
      </c>
      <c r="S29">
        <v>50</v>
      </c>
      <c r="V29" s="13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conventional</vt:lpstr>
      <vt:lpstr>H2 prod</vt:lpstr>
      <vt:lpstr>EV Battery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2026-09-03T19:13:23Z</dcterms:created>
  <dcterms:modified xsi:type="dcterms:W3CDTF">2026-09-03T19:13:24Z</dcterms:modified>
</cp:coreProperties>
</file>